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omments8.xml" ContentType="application/vnd.openxmlformats-officedocument.spreadsheetml.comment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Glossary" sheetId="2" state="visible" r:id="rId4"/>
    <sheet name="Sources &amp; Mistakes" sheetId="3" state="visible" r:id="rId5"/>
    <sheet name="1. Company Info" sheetId="4" state="visible" r:id="rId6"/>
    <sheet name="2. Financials" sheetId="5" state="visible" r:id="rId7"/>
    <sheet name="3. Checklist" sheetId="6" state="visible" r:id="rId8"/>
    <sheet name="4. Valuation" sheetId="7" state="visible" r:id="rId9"/>
    <sheet name="5. Rating Summary" sheetId="8" state="visible" r:id="rId10"/>
    <sheet name="6. Fundamentals Scorecard" sheetId="9" state="visible" r:id="rId11"/>
    <sheet name="7. Technical Review" sheetId="10" state="visible" r:id="rId12"/>
    <sheet name="8. Investor Summary" sheetId="11" state="visible" r:id="rId13"/>
    <sheet name="9. Analyst Summary" sheetId="12" state="visible" r:id="rId14"/>
  </sheets>
  <definedNames>
    <definedName function="false" hidden="true" localSheetId="5" name="_xlnm._FilterDatabase" vbProcedure="false">'3. Checklist'!$A$4:$T$68</definedName>
    <definedName function="false" hidden="false" localSheetId="8" name="_xlnm.Print_Area" vbProcedure="false">'6. Fundamentals Scorecard'!$A$1:$J$45</definedName>
    <definedName function="false" hidden="false" localSheetId="9" name="_xlnm.Print_Area" vbProcedure="false">'7. Technical Review'!$A$1:$H$80</definedName>
    <definedName function="false" hidden="false" localSheetId="10" name="_xlnm.Print_Area" vbProcedure="false">'8. Investor Summary'!$A$1:$F$52</definedName>
    <definedName function="false" hidden="false" localSheetId="11" name="_xlnm.Print_Area" vbProcedure="false">'9. Analyst Summary'!$A$1:$H$49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2" authorId="0">
      <text>
        <r>
          <rPr>
            <sz val="10"/>
            <rFont val="Arial"/>
            <family val="2"/>
          </rPr>
          <t xml:space="preserve">What is the company, why is it mispriced, and what will make the price move?</t>
        </r>
      </text>
    </comment>
    <comment ref="C45" authorId="0">
      <text>
        <r>
          <rPr>
            <sz val="10"/>
            <rFont val="Arial"/>
            <family val="2"/>
          </rPr>
          <t xml:space="preserve">Specific numbers or events, e.g. 'if subscriber growth falls below 5%'.</t>
        </r>
      </text>
    </comment>
    <comment ref="C46" authorId="0">
      <text>
        <r>
          <rPr>
            <sz val="10"/>
            <rFont val="Arial"/>
            <family val="2"/>
          </rPr>
          <t xml:space="preserve">Be honest — this is where your reviewer helps you most.</t>
        </r>
      </text>
    </comment>
    <comment ref="C47" authorId="0">
      <text>
        <r>
          <rPr>
            <sz val="10"/>
            <rFont val="Arial"/>
            <family val="2"/>
          </rPr>
          <t xml:space="preserve">If your final rating differs from the calculated one, say what and why.</t>
        </r>
      </text>
    </comment>
  </commentList>
</comments>
</file>

<file path=xl/sharedStrings.xml><?xml version="1.0" encoding="utf-8"?>
<sst xmlns="http://schemas.openxmlformats.org/spreadsheetml/2006/main" count="1627" uniqueCount="1329">
  <si>
    <t xml:space="preserve">Leago Rifumo Capital — Stock Analysis Checklist</t>
  </si>
  <si>
    <t xml:space="preserve">For intern and first-year analysts. Work through the tabs in order: 1 → 5. Budget about 2–3 days for a first full analysis.</t>
  </si>
  <si>
    <t xml:space="preserve">How to use this workbook</t>
  </si>
  <si>
    <t xml:space="preserve">Step 1  Company Info</t>
  </si>
  <si>
    <t xml:space="preserve">Basic details, share price and market data. Takes 15 minutes. The sheet checks your market cap against a published figure to catch unit mistakes.</t>
  </si>
  <si>
    <t xml:space="preserve">Step 2  Financials</t>
  </si>
  <si>
    <t xml:space="preserve">Copy 3 years + latest year from the annual reports into the yellow cells. ~20 ratios calculate themselves, each with a plain-English explanation. Fix any 'CHECK' in the data checks.</t>
  </si>
  <si>
    <t xml:space="preserve">Step 3  Checklist</t>
  </si>
  <si>
    <t xml:space="preserve">50 questions in 10 sections. For each: read 'Why it matters' and 'Where to find it', find the evidence, write it in your notes with the source, then score 1–5. Numeric items get a suggested score — you decide the final one.</t>
  </si>
  <si>
    <t xml:space="preserve">Step 4  Valuation</t>
  </si>
  <si>
    <t xml:space="preserve">Pick peers, set your assumptions, get three valuations and a blended target price. Clear every FLAG in the sanity checks.</t>
  </si>
  <si>
    <t xml:space="preserve">Step 5  Rating Summary</t>
  </si>
  <si>
    <t xml:space="preserve">Your BUY / HOLD / SELL rating appears once ≥80% of items are scored and you have a target price. Write your thesis, then send to your reviewer.</t>
  </si>
  <si>
    <t xml:space="preserve">Step 6  Fundamentals Scorecard</t>
  </si>
  <si>
    <t xml:space="preserve">One printable page: ~30 key ratios, each flagged GREAT / OK / WEAK against editable limits, with an overall health score. Fills itself from Steps 1, 2 and 4.</t>
  </si>
  <si>
    <t xml:space="preserve">Step 7  Technical Review</t>
  </si>
  <si>
    <t xml:space="preserve">Chart data → green/amber/red timing signals → an automatic TIMING CALL and tranche plan, plus the 9 LRC timing rules. Never changes the rating; feeds checklist items I4 (trend) and J5 (liquidity).</t>
  </si>
  <si>
    <t xml:space="preserve">Step 8  Investor Summary</t>
  </si>
  <si>
    <t xml:space="preserve">Last tab. One printable page explaining the thesis to an everyday investor in plain English. Numbers fill in automatically; replace the yellow prompts with your own words — no jargon.</t>
  </si>
  <si>
    <t xml:space="preserve">Step 9  Analyst Summary</t>
  </si>
  <si>
    <t xml:space="preserve">Final tab. One-page tear sheet for your reviewer / investment committee: snapshot, thesis, valuation, financials, scores, risks, catalysts, open questions and the BOTTOM LINE.</t>
  </si>
  <si>
    <t xml:space="preserve">Tip</t>
  </si>
  <si>
    <t xml:space="preserve">Columns E–G on the Checklist (guidance) can be collapsed with the [–] button above them once you know the questions.</t>
  </si>
  <si>
    <t xml:space="preserve">Colour code</t>
  </si>
  <si>
    <t xml:space="preserve">Yellow cell, blue text</t>
  </si>
  <si>
    <t xml:space="preserve">You type here</t>
  </si>
  <si>
    <t xml:space="preserve">Grey cell</t>
  </si>
  <si>
    <t xml:space="preserve">Calculates automatically — don't type over it</t>
  </si>
  <si>
    <t xml:space="preserve">Green text</t>
  </si>
  <si>
    <t xml:space="preserve">Pulled from another sheet</t>
  </si>
  <si>
    <t xml:space="preserve">Red 'CHECK' / 'FLAG'</t>
  </si>
  <si>
    <t xml:space="preserve">Something to fix or explain</t>
  </si>
  <si>
    <t xml:space="preserve">Scoring scale (Step 3)</t>
  </si>
  <si>
    <t xml:space="preserve">5</t>
  </si>
  <si>
    <t xml:space="preserve">Strong evidence for BUY</t>
  </si>
  <si>
    <t xml:space="preserve">4</t>
  </si>
  <si>
    <t xml:space="preserve">Supports BUY</t>
  </si>
  <si>
    <t xml:space="preserve">3</t>
  </si>
  <si>
    <t xml:space="preserve">Neutral / average</t>
  </si>
  <si>
    <t xml:space="preserve">2</t>
  </si>
  <si>
    <t xml:space="preserve">A concern</t>
  </si>
  <si>
    <t xml:space="preserve">1</t>
  </si>
  <si>
    <t xml:space="preserve">Serious red flag</t>
  </si>
  <si>
    <t xml:space="preserve">N/A</t>
  </si>
  <si>
    <t xml:space="preserve">Doesn't apply (e.g. gross margin for a bank). Excluded from the score.</t>
  </si>
  <si>
    <t xml:space="preserve">Section J (risks)</t>
  </si>
  <si>
    <t xml:space="preserve">5 = LOW risk, 1 = HIGH risk</t>
  </si>
  <si>
    <t xml:space="preserve">How the rating is decided</t>
  </si>
  <si>
    <t xml:space="preserve">BUY</t>
  </si>
  <si>
    <t xml:space="preserve">Upside ≥ 15%  AND  overall score ≥ 3.5  AND  no critical item (B3 disruption, F1 debt, G2 leadership, G4 accounting) scored 2 or lower</t>
  </si>
  <si>
    <t xml:space="preserve">SELL</t>
  </si>
  <si>
    <t xml:space="preserve">Downside of 10% or more  OR  overall score below 2.5</t>
  </si>
  <si>
    <t xml:space="preserve">HOLD</t>
  </si>
  <si>
    <t xml:space="preserve">Everything in between</t>
  </si>
  <si>
    <t xml:space="preserve">INCOMPLETE</t>
  </si>
  <si>
    <t xml:space="preserve">Less than 80% of items scored, or no target price yet</t>
  </si>
  <si>
    <t xml:space="preserve">Important</t>
  </si>
  <si>
    <t xml:space="preserve">The calculated rating is a starting point. Your reviewer can override it — with a written reason.</t>
  </si>
  <si>
    <t xml:space="preserve">Adjust for the industry</t>
  </si>
  <si>
    <t xml:space="preserve">Banks &amp; insurers</t>
  </si>
  <si>
    <t xml:space="preserve">Gross margin, EBITDA, current ratio and net debt don't apply — mark N/A. Focus on ROE, price/book, cost-to-income, credit loss ratio, capital ratio (CET1).</t>
  </si>
  <si>
    <t xml:space="preserve">Mining &amp; resources</t>
  </si>
  <si>
    <t xml:space="preserve">Results swing with commodity prices and the rand. Use mid-cycle prices, check all-in sustaining costs and where mines sit on the cost curve. Capex will be high.</t>
  </si>
  <si>
    <t xml:space="preserve">Property (REITs)</t>
  </si>
  <si>
    <t xml:space="preserve">Use distribution per share, loan-to-value and NAV discount instead of EPS and P/E.</t>
  </si>
  <si>
    <t xml:space="preserve">Retail</t>
  </si>
  <si>
    <t xml:space="preserve">Gross margins of 20–40% are normal. Check like-for-like sales, trading density and stock turn.</t>
  </si>
  <si>
    <t xml:space="preserve">Growth / loss-making</t>
  </si>
  <si>
    <t xml:space="preserve">P/E won't work. Use EV/Sales and the DCF, and check cash runway (months of cash left).</t>
  </si>
  <si>
    <t xml:space="preserve">Not investment advice. Internal training template — check every figure against the company's own documents.</t>
  </si>
  <si>
    <t xml:space="preserve">Glossary — plain-English definitions</t>
  </si>
  <si>
    <t xml:space="preserve">Look up any term you don't know. Add your own at the bottom.</t>
  </si>
  <si>
    <t xml:space="preserve">Term</t>
  </si>
  <si>
    <t xml:space="preserve">What it means</t>
  </si>
  <si>
    <t xml:space="preserve">Simple example</t>
  </si>
  <si>
    <t xml:space="preserve">Annual / integrated report</t>
  </si>
  <si>
    <t xml:space="preserve">The company's yearly report with audited financial statements. In SA usually called the integrated annual report.</t>
  </si>
  <si>
    <t xml:space="preserve">Read the CEO letter, segment results and notes.</t>
  </si>
  <si>
    <t xml:space="preserve">SENS</t>
  </si>
  <si>
    <t xml:space="preserve">The JSE's Stock Exchange News Service. Where JSE companies publish results and announcements.</t>
  </si>
  <si>
    <t xml:space="preserve">Directors' share dealings appear on SENS.</t>
  </si>
  <si>
    <t xml:space="preserve">10-K / 10-Q</t>
  </si>
  <si>
    <t xml:space="preserve">US annual (10-K) and quarterly (10-Q) reports, filed on SEC EDGAR.</t>
  </si>
  <si>
    <t xml:space="preserve">Revenue (turnover)</t>
  </si>
  <si>
    <t xml:space="preserve">Total sales before any costs.</t>
  </si>
  <si>
    <t xml:space="preserve">Gross profit / margin</t>
  </si>
  <si>
    <t xml:space="preserve">Revenue minus direct costs of making or buying the product. Margin = gross profit ÷ revenue.</t>
  </si>
  <si>
    <t xml:space="preserve">R100 sales, R60 cost of goods → R40 gross profit, 40% margin.</t>
  </si>
  <si>
    <t xml:space="preserve">Operating profit (EBIT)</t>
  </si>
  <si>
    <t xml:space="preserve">Profit after all operating costs, before interest and tax.</t>
  </si>
  <si>
    <t xml:space="preserve">EBITDA</t>
  </si>
  <si>
    <t xml:space="preserve">EBIT + depreciation + amortisation. A rough measure of operating cash profit.</t>
  </si>
  <si>
    <t xml:space="preserve">Net income</t>
  </si>
  <si>
    <t xml:space="preserve">Final profit after interest and tax, belonging to shareholders.</t>
  </si>
  <si>
    <t xml:space="preserve">EPS</t>
  </si>
  <si>
    <t xml:space="preserve">Earnings per share = net income ÷ number of shares.</t>
  </si>
  <si>
    <t xml:space="preserve">R1bn profit ÷ 500m shares = R2.00 EPS.</t>
  </si>
  <si>
    <t xml:space="preserve">HEPS</t>
  </si>
  <si>
    <t xml:space="preserve">Headline EPS: SA measure that strips out certain one-off gains/losses (e.g. selling property). JSE companies report it.</t>
  </si>
  <si>
    <t xml:space="preserve">Diluted shares</t>
  </si>
  <si>
    <t xml:space="preserve">Share count including options and convertibles that could become shares.</t>
  </si>
  <si>
    <t xml:space="preserve">Free cash flow (FCF)</t>
  </si>
  <si>
    <t xml:space="preserve">Cash from operations minus capital expenditure. The cash truly available to owners.</t>
  </si>
  <si>
    <t xml:space="preserve">Capex</t>
  </si>
  <si>
    <t xml:space="preserve">Capital expenditure: money spent on long-term assets (factories, equipment, software).</t>
  </si>
  <si>
    <t xml:space="preserve">Net debt</t>
  </si>
  <si>
    <t xml:space="preserve">Total debt minus cash. Negative = net cash.</t>
  </si>
  <si>
    <t xml:space="preserve">Current ratio</t>
  </si>
  <si>
    <t xml:space="preserve">Current assets ÷ current liabilities. Ability to pay bills due within a year.</t>
  </si>
  <si>
    <t xml:space="preserve">ROE</t>
  </si>
  <si>
    <t xml:space="preserve">Return on equity = net income ÷ shareholders' equity.</t>
  </si>
  <si>
    <t xml:space="preserve">ROIC</t>
  </si>
  <si>
    <t xml:space="preserve">Return on invested capital = after-tax operating profit ÷ (debt + equity − cash).</t>
  </si>
  <si>
    <t xml:space="preserve">ROIC 20% with WACC 12% → creating value.</t>
  </si>
  <si>
    <t xml:space="preserve">Market capitalisation</t>
  </si>
  <si>
    <t xml:space="preserve">Share price × shares outstanding. What the market values the equity at.</t>
  </si>
  <si>
    <t xml:space="preserve">Enterprise value (EV)</t>
  </si>
  <si>
    <t xml:space="preserve">Market cap + net debt. The value of the whole business.</t>
  </si>
  <si>
    <t xml:space="preserve">P/E ratio</t>
  </si>
  <si>
    <t xml:space="preserve">Share price ÷ EPS. Trailing uses last year's EPS; forward uses next year's estimate.</t>
  </si>
  <si>
    <t xml:space="preserve">Price R40, EPS R4 → 10x.</t>
  </si>
  <si>
    <t xml:space="preserve">EV/EBITDA</t>
  </si>
  <si>
    <t xml:space="preserve">Enterprise value ÷ EBITDA. Compares companies regardless of debt.</t>
  </si>
  <si>
    <t xml:space="preserve">FCF yield</t>
  </si>
  <si>
    <t xml:space="preserve">FCF ÷ market cap. Like an interest rate on the business's cash.</t>
  </si>
  <si>
    <t xml:space="preserve">Dividend yield</t>
  </si>
  <si>
    <t xml:space="preserve">Dividend per share ÷ share price.</t>
  </si>
  <si>
    <t xml:space="preserve">Beta</t>
  </si>
  <si>
    <t xml:space="preserve">How much a share moves relative to the market. 1.5 = moves 50% more.</t>
  </si>
  <si>
    <t xml:space="preserve">Risk-free rate</t>
  </si>
  <si>
    <t xml:space="preserve">Return on a government bond — the 'safe' return.</t>
  </si>
  <si>
    <t xml:space="preserve">Equity risk premium (ERP)</t>
  </si>
  <si>
    <t xml:space="preserve">Extra return investors demand for owning shares instead of bonds.</t>
  </si>
  <si>
    <t xml:space="preserve">CAPM</t>
  </si>
  <si>
    <t xml:space="preserve">Cost of equity = risk-free rate + beta × ERP.</t>
  </si>
  <si>
    <t xml:space="preserve">4% + 1.2 × 6% = 11.2%.</t>
  </si>
  <si>
    <t xml:space="preserve">WACC</t>
  </si>
  <si>
    <t xml:space="preserve">Weighted average cost of capital: the blended return required by shareholders and lenders. Used as the DCF discount rate.</t>
  </si>
  <si>
    <t xml:space="preserve">DCF</t>
  </si>
  <si>
    <t xml:space="preserve">Discounted cash flow: value = today's value of all future free cash flows.</t>
  </si>
  <si>
    <t xml:space="preserve">Discount factor</t>
  </si>
  <si>
    <t xml:space="preserve">1 ÷ (1 + WACC)^years. Converts a future amount into today's money.</t>
  </si>
  <si>
    <t xml:space="preserve">R100 in 2 years at 10% = R100 × 0.826 = R82.60.</t>
  </si>
  <si>
    <t xml:space="preserve">Terminal value</t>
  </si>
  <si>
    <t xml:space="preserve">The value of all cash flows after the forecast period (here, after year 5).</t>
  </si>
  <si>
    <t xml:space="preserve">Terminal growth</t>
  </si>
  <si>
    <t xml:space="preserve">The growth rate assumed forever after year 5. Must be low (2–5%).</t>
  </si>
  <si>
    <t xml:space="preserve">CAGR</t>
  </si>
  <si>
    <t xml:space="preserve">Compound annual growth rate: the average yearly growth over several years.</t>
  </si>
  <si>
    <t xml:space="preserve">R100 → R133 over 3 yrs = 10% CAGR.</t>
  </si>
  <si>
    <t xml:space="preserve">Consensus</t>
  </si>
  <si>
    <t xml:space="preserve">The average of professional analysts' forecasts or ratings.</t>
  </si>
  <si>
    <t xml:space="preserve">Guidance</t>
  </si>
  <si>
    <t xml:space="preserve">Management's own forecast for the coming period.</t>
  </si>
  <si>
    <t xml:space="preserve">Catalyst</t>
  </si>
  <si>
    <t xml:space="preserve">An event that could make the market change its view on the share.</t>
  </si>
  <si>
    <t xml:space="preserve">Moat</t>
  </si>
  <si>
    <t xml:space="preserve">A lasting competitive advantage that protects profits.</t>
  </si>
  <si>
    <t xml:space="preserve">Dilution</t>
  </si>
  <si>
    <t xml:space="preserve">When new shares are issued, each existing share owns less of the company.</t>
  </si>
  <si>
    <t xml:space="preserve">Share-based compensation</t>
  </si>
  <si>
    <t xml:space="preserve">Paying staff in shares or options. A real cost to shareholders.</t>
  </si>
  <si>
    <t xml:space="preserve">Upside / downside</t>
  </si>
  <si>
    <t xml:space="preserve">Target price ÷ current price − 1.</t>
  </si>
  <si>
    <t xml:space="preserve">Target R120, price R100 → +20% upside.</t>
  </si>
  <si>
    <t xml:space="preserve">Basis point (bp)</t>
  </si>
  <si>
    <t xml:space="preserve">One-hundredth of a percentage point. 50bp = 0.5%.</t>
  </si>
  <si>
    <t xml:space="preserve">ZAc vs ZAR</t>
  </si>
  <si>
    <t xml:space="preserve">JSE prices are quoted in cents (ZAc). R1 = 100c. Always convert.</t>
  </si>
  <si>
    <t xml:space="preserve">Price 4,500c = R45.00.</t>
  </si>
  <si>
    <t xml:space="preserve">Where to find data — and the mistakes everyone makes once</t>
  </si>
  <si>
    <t xml:space="preserve">Always cite your source (document + page) in the Checklist so your reviewer can check it.</t>
  </si>
  <si>
    <t xml:space="preserve">Where to find the data</t>
  </si>
  <si>
    <t xml:space="preserve">Source</t>
  </si>
  <si>
    <t xml:space="preserve">What you'll find</t>
  </si>
  <si>
    <t xml:space="preserve">Notes</t>
  </si>
  <si>
    <t xml:space="preserve">Company investor-relations website</t>
  </si>
  <si>
    <t xml:space="preserve">Annual/integrated reports, results booklets, presentations, webcasts</t>
  </si>
  <si>
    <t xml:space="preserve">Always start here. Primary source.</t>
  </si>
  <si>
    <t xml:space="preserve">JSE SENS</t>
  </si>
  <si>
    <t xml:space="preserve">All JSE announcements: results, trading statements, director dealings, deals</t>
  </si>
  <si>
    <t xml:space="preserve">Trading statements give early warning of results.</t>
  </si>
  <si>
    <t xml:space="preserve">SEC EDGAR (US companies)</t>
  </si>
  <si>
    <t xml:space="preserve">10-K, 10-Q, 8-K, proxy statements, Form 4 insider trades</t>
  </si>
  <si>
    <t xml:space="preserve">sec.gov/edgar</t>
  </si>
  <si>
    <t xml:space="preserve">Results presentation &amp; webcast Q&amp;A</t>
  </si>
  <si>
    <t xml:space="preserve">Management tone, guidance, answers to analysts' tough questions</t>
  </si>
  <si>
    <t xml:space="preserve">The Q&amp;A is often more useful than the slides.</t>
  </si>
  <si>
    <t xml:space="preserve">Market data sites / terminal (e.g. Bloomberg, Iress, Sharenet, StockAnalysis)</t>
  </si>
  <si>
    <t xml:space="preserve">Prices, market cap, beta, consensus, historical multiples</t>
  </si>
  <si>
    <t xml:space="preserve">Check against company documents — these sites contain errors.</t>
  </si>
  <si>
    <t xml:space="preserve">SARB / national treasury</t>
  </si>
  <si>
    <t xml:space="preserve">Government bond yields (risk-free rate), repo rate, inflation</t>
  </si>
  <si>
    <t xml:space="preserve">Damodaran Online (NYU)</t>
  </si>
  <si>
    <t xml:space="preserve">Equity risk premiums by country, industry margins and multiples</t>
  </si>
  <si>
    <t xml:space="preserve">Free; widely used for ERP and country risk.</t>
  </si>
  <si>
    <t xml:space="preserve">Competitors' reports</t>
  </si>
  <si>
    <t xml:space="preserve">Industry trends, market share, peer margins</t>
  </si>
  <si>
    <t xml:space="preserve">Read at least one competitor's latest results.</t>
  </si>
  <si>
    <t xml:space="preserve">Common mistakes — check yours before submitting</t>
  </si>
  <si>
    <t xml:space="preserve">Mistake</t>
  </si>
  <si>
    <t xml:space="preserve">How to avoid it</t>
  </si>
  <si>
    <t xml:space="preserve">Done? (Y)</t>
  </si>
  <si>
    <t xml:space="preserve">Cents vs Rand</t>
  </si>
  <si>
    <t xml:space="preserve">JSE share prices and often EPS/DPS are in cents. Divide by 100. The market-cap check in Step 1 will catch this.</t>
  </si>
  <si>
    <t xml:space="preserve">Millions vs billions vs thousands</t>
  </si>
  <si>
    <t xml:space="preserve">Use ONE unit for all financial statement numbers; shares always in millions.</t>
  </si>
  <si>
    <t xml:space="preserve">Mixing up units in per-share value</t>
  </si>
  <si>
    <t xml:space="preserve">Equity value (millions) ÷ shares (millions) = value per share. Don't divide millions by billions.</t>
  </si>
  <si>
    <t xml:space="preserve">Stale share price</t>
  </si>
  <si>
    <t xml:space="preserve">Update the price on the day you submit. Upside changes daily.</t>
  </si>
  <si>
    <t xml:space="preserve">Comparing trailing with forward multiples</t>
  </si>
  <si>
    <t xml:space="preserve">Compare forward P/E with forward P/E. Write the basis in the peer notes.</t>
  </si>
  <si>
    <t xml:space="preserve">Different net debt in different places</t>
  </si>
  <si>
    <t xml:space="preserve">Use the Step 2 net debt everywhere. Decide if leases are included and be consistent.</t>
  </si>
  <si>
    <t xml:space="preserve">Wrong discounting of the terminal value</t>
  </si>
  <si>
    <t xml:space="preserve">Discount the terminal value at the year-5 factor — not year 4 or 4.5.</t>
  </si>
  <si>
    <t xml:space="preserve">Terminal growth too high</t>
  </si>
  <si>
    <t xml:space="preserve">Keep it at or below long-run nominal GDP growth (usually 2–5%).</t>
  </si>
  <si>
    <t xml:space="preserve">Arithmetic that doesn't tie</t>
  </si>
  <si>
    <t xml:space="preserve">Check that segments add up to the total and that your blended target equals the weighted sum shown.</t>
  </si>
  <si>
    <t xml:space="preserve">Using 'adjusted' numbers without saying so</t>
  </si>
  <si>
    <t xml:space="preserve">Label every figure as reported (IFRS/GAAP) or adjusted/headline.</t>
  </si>
  <si>
    <t xml:space="preserve">Copying data sites without checking</t>
  </si>
  <si>
    <t xml:space="preserve">Verify key numbers (revenue, profit, debt, shares) against the annual report.</t>
  </si>
  <si>
    <t xml:space="preserve">Target price horizon unclear</t>
  </si>
  <si>
    <t xml:space="preserve">State it: '12-month target'. Don't call a 3-month target '6-month'.</t>
  </si>
  <si>
    <t xml:space="preserve">Confirmation bias</t>
  </si>
  <si>
    <t xml:space="preserve">Write the bear case as seriously as the bull case. Ask: what would make me wrong?</t>
  </si>
  <si>
    <t xml:space="preserve">No sources</t>
  </si>
  <si>
    <t xml:space="preserve">Every number in your notes needs a source and page so your reviewer can check it.</t>
  </si>
  <si>
    <t xml:space="preserve">Step 1 — Company Info &amp; Market Data</t>
  </si>
  <si>
    <t xml:space="preserve">Fill in the yellow cells. Grey cells calculate automatically. Hover over a cell's red corner (if any) for help.</t>
  </si>
  <si>
    <t xml:space="preserve">Item</t>
  </si>
  <si>
    <t xml:space="preserve">Your input</t>
  </si>
  <si>
    <t xml:space="preserve">What to enter / tip</t>
  </si>
  <si>
    <t xml:space="preserve">About the company</t>
  </si>
  <si>
    <t xml:space="preserve">Company name</t>
  </si>
  <si>
    <t xml:space="preserve">Full legal name, e.g. 'Shoprite Holdings Ltd'.</t>
  </si>
  <si>
    <t xml:space="preserve">Ticker</t>
  </si>
  <si>
    <t xml:space="preserve">e.g. SHP (JSE) or ADBE (NASDAQ).</t>
  </si>
  <si>
    <t xml:space="preserve">Exchange</t>
  </si>
  <si>
    <t xml:space="preserve">JSE, NYSE, NASDAQ, LSE…</t>
  </si>
  <si>
    <t xml:space="preserve">Sector / industry</t>
  </si>
  <si>
    <t xml:space="preserve">Use the exchange's classification (JSE uses ICB).</t>
  </si>
  <si>
    <t xml:space="preserve">Reporting currency</t>
  </si>
  <si>
    <t xml:space="preserve">ZAR, USD, GBP… All money figures in this workbook must be in this ONE currency.</t>
  </si>
  <si>
    <t xml:space="preserve">Units of the financial statements</t>
  </si>
  <si>
    <t xml:space="preserve">e.g. 'R millions'. Enter every Financials number in these units.</t>
  </si>
  <si>
    <t xml:space="preserve">Analyst (you)</t>
  </si>
  <si>
    <t xml:space="preserve">Reviewer (senior analyst)</t>
  </si>
  <si>
    <t xml:space="preserve">Who checks your work.</t>
  </si>
  <si>
    <t xml:space="preserve">Date started</t>
  </si>
  <si>
    <t xml:space="preserve">Share price &amp; market data</t>
  </si>
  <si>
    <t xml:space="preserve">Current share price</t>
  </si>
  <si>
    <t xml:space="preserve">Per share, in the reporting currency. JSE quotes in CENTS (ZAc): divide by 100 to get Rand!</t>
  </si>
  <si>
    <t xml:space="preserve">Price date</t>
  </si>
  <si>
    <t xml:space="preserve">Refresh the price before submitting. Older than 7 days = flagged.</t>
  </si>
  <si>
    <t xml:space="preserve">52-week high</t>
  </si>
  <si>
    <t xml:space="preserve">From any market data site.</t>
  </si>
  <si>
    <t xml:space="preserve">52-week low</t>
  </si>
  <si>
    <t xml:space="preserve">Measures how much the share moves vs the market (1.0 = same as market).</t>
  </si>
  <si>
    <t xml:space="preserve">Published market cap (in your units)</t>
  </si>
  <si>
    <t xml:space="preserve">Copy from a data site. Used to check you got price, shares and units right.</t>
  </si>
  <si>
    <t xml:space="preserve">Forecasts &amp; consensus</t>
  </si>
  <si>
    <t xml:space="preserve">Next-12-month EPS estimate</t>
  </si>
  <si>
    <t xml:space="preserve">Your forecast, or consensus. Per share, same currency as price. State which you used in the notes.</t>
  </si>
  <si>
    <t xml:space="preserve">Consensus target price</t>
  </si>
  <si>
    <t xml:space="preserve">Average analyst target price (if available).</t>
  </si>
  <si>
    <t xml:space="preserve">Consensus rating</t>
  </si>
  <si>
    <t xml:space="preserve">e.g. Buy / Hold / Sell.</t>
  </si>
  <si>
    <t xml:space="preserve">Next results / key event date</t>
  </si>
  <si>
    <t xml:space="preserve">e.g. 'Interim results, 15 Mar 2027'.</t>
  </si>
  <si>
    <t xml:space="preserve">Calculated market statistics (do not type here)</t>
  </si>
  <si>
    <t xml:space="preserve">Price × diluted shares (in millions → same units as Financials).</t>
  </si>
  <si>
    <t xml:space="preserve">Check vs published market cap</t>
  </si>
  <si>
    <t xml:space="preserve">Within 5% = OK. Off by ~100x usually means cents vs Rand.</t>
  </si>
  <si>
    <t xml:space="preserve">Market cap + net debt. What it would cost to buy the whole business.</t>
  </si>
  <si>
    <t xml:space="preserve">Trailing P/E</t>
  </si>
  <si>
    <t xml:space="preserve">Price ÷ latest EPS. How many years of current profit you pay for.</t>
  </si>
  <si>
    <t xml:space="preserve">Forward P/E</t>
  </si>
  <si>
    <t xml:space="preserve">Price ÷ next-12-month EPS. Compare to peers on THIS basis (forward vs forward).</t>
  </si>
  <si>
    <t xml:space="preserve">EV / EBITDA</t>
  </si>
  <si>
    <t xml:space="preserve">Valuation that ignores debt structure. Good for comparing companies with different debt.</t>
  </si>
  <si>
    <t xml:space="preserve">FCF ÷ market cap. Compare with the government bond yield.</t>
  </si>
  <si>
    <t xml:space="preserve">Dividend per share ÷ price.</t>
  </si>
  <si>
    <t xml:space="preserve">Price / book</t>
  </si>
  <si>
    <t xml:space="preserve">Market cap ÷ equity. Key for banks and insurers.</t>
  </si>
  <si>
    <t xml:space="preserve">Position in 52-week range</t>
  </si>
  <si>
    <t xml:space="preserve">0% = at 52-week low, 100% = at the high.</t>
  </si>
  <si>
    <t xml:space="preserve">Days since price date</t>
  </si>
  <si>
    <t xml:space="preserve">More than 7 days old = refresh the price.</t>
  </si>
  <si>
    <t xml:space="preserve">Step 2 — Financial Statements &amp; Auto Ratios</t>
  </si>
  <si>
    <t xml:space="preserve">Enter 3 historical years + the latest year (or trailing 12 months) in the yellow cells, oldest on the left. All in the units from Step 1. Ratios below calculate themselves.</t>
  </si>
  <si>
    <t xml:space="preserve">Line item</t>
  </si>
  <si>
    <t xml:space="preserve">Year 1 (oldest)</t>
  </si>
  <si>
    <t xml:space="preserve">Year 2</t>
  </si>
  <si>
    <t xml:space="preserve">Year 3</t>
  </si>
  <si>
    <t xml:space="preserve">Latest year / TTM</t>
  </si>
  <si>
    <t xml:space="preserve">How to read it / where to find it</t>
  </si>
  <si>
    <t xml:space="preserve">Year label (e.g. FY2024)</t>
  </si>
  <si>
    <t xml:space="preserve">Type the year names. Use the same year-end every time.</t>
  </si>
  <si>
    <t xml:space="preserve">Income statement</t>
  </si>
  <si>
    <t xml:space="preserve">Top line. Income statement.</t>
  </si>
  <si>
    <t xml:space="preserve">Gross profit</t>
  </si>
  <si>
    <t xml:space="preserve">Revenue − cost of sales. Banks/insurers: leave blank.</t>
  </si>
  <si>
    <t xml:space="preserve">Profit before interest and tax. Use the reported figure.</t>
  </si>
  <si>
    <t xml:space="preserve">Depreciation &amp; amortisation</t>
  </si>
  <si>
    <t xml:space="preserve">Cash flow statement or notes. Needed for EBITDA.</t>
  </si>
  <si>
    <t xml:space="preserve">Interest expense (enter as positive)</t>
  </si>
  <si>
    <t xml:space="preserve">Finance costs line on the income statement.</t>
  </si>
  <si>
    <t xml:space="preserve">Net income to shareholders</t>
  </si>
  <si>
    <t xml:space="preserve">Profit attributable to ordinary shareholders.</t>
  </si>
  <si>
    <t xml:space="preserve">Diluted EPS (per share)</t>
  </si>
  <si>
    <t xml:space="preserve">Per share, NOT in millions. JSE reports often in cents: convert to Rand.</t>
  </si>
  <si>
    <t xml:space="preserve">Dividend per share</t>
  </si>
  <si>
    <t xml:space="preserve">Per share, same currency as EPS.</t>
  </si>
  <si>
    <t xml:space="preserve">Diluted shares outstanding (millions)</t>
  </si>
  <si>
    <t xml:space="preserve">Weighted diluted shares, in MILLIONS. Notes to the EPS line.</t>
  </si>
  <si>
    <t xml:space="preserve">Balance sheet (end of each year)</t>
  </si>
  <si>
    <t xml:space="preserve">Cash &amp; short-term investments</t>
  </si>
  <si>
    <t xml:space="preserve">Cash + short-term deposits/investments.</t>
  </si>
  <si>
    <t xml:space="preserve">Total current assets</t>
  </si>
  <si>
    <t xml:space="preserve">Total current liabilities</t>
  </si>
  <si>
    <t xml:space="preserve">Total debt (incl. lease liabilities)</t>
  </si>
  <si>
    <t xml:space="preserve">Short + long-term borrowings + leases. Be consistent every year.</t>
  </si>
  <si>
    <t xml:space="preserve">Total shareholders' equity</t>
  </si>
  <si>
    <t xml:space="preserve">Attributable to ordinary shareholders.</t>
  </si>
  <si>
    <t xml:space="preserve">Cash flow statement</t>
  </si>
  <si>
    <t xml:space="preserve">Cash from operating activities</t>
  </si>
  <si>
    <t xml:space="preserve">Cash flow statement, first subtotal.</t>
  </si>
  <si>
    <t xml:space="preserve">Capital expenditure (enter as positive)</t>
  </si>
  <si>
    <t xml:space="preserve">Purchases of PP&amp;E + intangibles.</t>
  </si>
  <si>
    <t xml:space="preserve">Cash flow statement add-back or notes. Important for tech companies.</t>
  </si>
  <si>
    <t xml:space="preserve">Share buybacks (enter as positive)</t>
  </si>
  <si>
    <t xml:space="preserve">Financing section.</t>
  </si>
  <si>
    <t xml:space="preserve">Dividends paid (enter as positive)</t>
  </si>
  <si>
    <t xml:space="preserve">Effective tax rate (latest year)</t>
  </si>
  <si>
    <t xml:space="preserve">Tax expense ÷ profit before tax. Used for ROIC. SA company rate is 27% if unsure.</t>
  </si>
  <si>
    <t xml:space="preserve">Auto-calculated ratios (do not type here)</t>
  </si>
  <si>
    <t xml:space="preserve">Ratio</t>
  </si>
  <si>
    <t xml:space="preserve">Year 1</t>
  </si>
  <si>
    <t xml:space="preserve">Latest</t>
  </si>
  <si>
    <t xml:space="preserve">What it tells you</t>
  </si>
  <si>
    <t xml:space="preserve">Revenue growth (y/y)</t>
  </si>
  <si>
    <t xml:space="preserve">How fast sales are growing. Compare with inflation (~4–5% in SA) and peers.</t>
  </si>
  <si>
    <t xml:space="preserve">Gross margin</t>
  </si>
  <si>
    <t xml:space="preserve">Share of each sale left after direct costs. High = pricing power. Varies hugely by industry.</t>
  </si>
  <si>
    <t xml:space="preserve">Operating margin</t>
  </si>
  <si>
    <t xml:space="preserve">Profit from operations per R1 of sales. Rising = getting more efficient.</t>
  </si>
  <si>
    <t xml:space="preserve">Net margin</t>
  </si>
  <si>
    <t xml:space="preserve">Bottom-line profit per R1 of sales.</t>
  </si>
  <si>
    <t xml:space="preserve">Operating profit + depreciation &amp; amortisation. Rough proxy for operating cash profit.</t>
  </si>
  <si>
    <t xml:space="preserve">EPS growth (y/y)</t>
  </si>
  <si>
    <t xml:space="preserve">Growth in profit per share — what shareholders actually get.</t>
  </si>
  <si>
    <t xml:space="preserve">Operating cash flow − capex. The cash left for dividends, buybacks, debt repayment.</t>
  </si>
  <si>
    <t xml:space="preserve">FCF margin</t>
  </si>
  <si>
    <t xml:space="preserve">FCF per R1 of sales.</t>
  </si>
  <si>
    <t xml:space="preserve">Cash conversion (FCF ÷ net income)</t>
  </si>
  <si>
    <t xml:space="preserve">Is profit turning into cash? Below 0.8x for years = question the earnings.</t>
  </si>
  <si>
    <t xml:space="preserve">Capex as % of revenue</t>
  </si>
  <si>
    <t xml:space="preserve">How much it must reinvest just to keep going. Miners/telcos high; software low.</t>
  </si>
  <si>
    <t xml:space="preserve">Share-based comp as % of revenue</t>
  </si>
  <si>
    <t xml:space="preserve">A real cost paid in shares. High SBC flatters 'adjusted' profit and FCF.</t>
  </si>
  <si>
    <t xml:space="preserve">Net debt (debt − cash)</t>
  </si>
  <si>
    <t xml:space="preserve">Negative = net cash (good). Positive = owes more than it holds.</t>
  </si>
  <si>
    <t xml:space="preserve">Net debt ÷ EBITDA</t>
  </si>
  <si>
    <t xml:space="preserve">Years of EBITDA to repay net debt. Below 1x comfortable; above 3x risky.</t>
  </si>
  <si>
    <t xml:space="preserve">Interest cover (EBIT ÷ interest)</t>
  </si>
  <si>
    <t xml:space="preserve">How many times profit covers interest. Below 3x is a warning.</t>
  </si>
  <si>
    <t xml:space="preserve">Short-term assets ÷ short-term liabilities. Below 1x can be fine if it's due to prepaid/deferred revenue — check why.</t>
  </si>
  <si>
    <t xml:space="preserve">Return on equity (ROE)</t>
  </si>
  <si>
    <t xml:space="preserve">Profit ÷ shareholders' equity. High ROE from high debt or buybacks is less impressive.</t>
  </si>
  <si>
    <t xml:space="preserve">Return on invested capital (ROIC)</t>
  </si>
  <si>
    <t xml:space="preserve">After-tax operating profit ÷ (debt + equity − cash). Should beat the cost of capital (WACC).</t>
  </si>
  <si>
    <t xml:space="preserve">Change in share count (y/y)</t>
  </si>
  <si>
    <t xml:space="preserve">Negative = buybacks shrinking the count (good). Positive = dilution.</t>
  </si>
  <si>
    <t xml:space="preserve">Shareholder payout ÷ FCF</t>
  </si>
  <si>
    <t xml:space="preserve">(Dividends + buybacks) ÷ FCF. Above 100% means it's paying out more than it earns in cash.</t>
  </si>
  <si>
    <t xml:space="preserve">Multi-year trends</t>
  </si>
  <si>
    <t xml:space="preserve">Revenue growth per year over 3 years (CAGR)</t>
  </si>
  <si>
    <t xml:space="preserve">Smooths out one good or bad year.</t>
  </si>
  <si>
    <t xml:space="preserve">EPS growth per year over 3 years (CAGR)</t>
  </si>
  <si>
    <t xml:space="preserve">Change in operating margin, latest vs previous year</t>
  </si>
  <si>
    <t xml:space="preserve">In percentage points. +0.02 = margin up 2 points.</t>
  </si>
  <si>
    <t xml:space="preserve">Change in gross margin, latest vs 3 years ago</t>
  </si>
  <si>
    <t xml:space="preserve">Falling gross margin can mean losing pricing power.</t>
  </si>
  <si>
    <t xml:space="preserve">Data checks</t>
  </si>
  <si>
    <t xml:space="preserve">Gross profit ≤ revenue (latest)</t>
  </si>
  <si>
    <t xml:space="preserve">EPS × shares ≈ net income (within 10%)</t>
  </si>
  <si>
    <t xml:space="preserve">If this says CHECK, EPS is probably in cents, or shares not in millions.</t>
  </si>
  <si>
    <t xml:space="preserve">Capex entered as a positive number</t>
  </si>
  <si>
    <t xml:space="preserve">Step 3 — Analysis Checklist (score every item 1–5)</t>
  </si>
  <si>
    <t xml:space="preserve">Read the question, find the evidence, compare with the BUY / HOLD / SELL columns, then score. Grey 'Suggested' scores come from your numbers — accept or override them with your judgement. Use N/A if an item doesn't apply.</t>
  </si>
  <si>
    <t xml:space="preserve">ID</t>
  </si>
  <si>
    <t xml:space="preserve">Section</t>
  </si>
  <si>
    <t xml:space="preserve">Check item</t>
  </si>
  <si>
    <t xml:space="preserve">Question to answer</t>
  </si>
  <si>
    <t xml:space="preserve">Why it matters</t>
  </si>
  <si>
    <t xml:space="preserve">Where to find it</t>
  </si>
  <si>
    <t xml:space="preserve">Example of good evidence</t>
  </si>
  <si>
    <t xml:space="preserve">BUY looks like (4–5)</t>
  </si>
  <si>
    <t xml:space="preserve">HOLD looks like (3)</t>
  </si>
  <si>
    <t xml:space="preserve">SELL looks like (1–2)</t>
  </si>
  <si>
    <t xml:space="preserve">Critical?</t>
  </si>
  <si>
    <t xml:space="preserve">Metric (auto)</t>
  </si>
  <si>
    <t xml:space="preserve">Suggested score</t>
  </si>
  <si>
    <t xml:space="preserve">Your score (1–5 or N/A)</t>
  </si>
  <si>
    <t xml:space="preserve">Score used</t>
  </si>
  <si>
    <t xml:space="preserve">Status</t>
  </si>
  <si>
    <t xml:space="preserve">Your evidence / notes</t>
  </si>
  <si>
    <t xml:space="preserve">Source (document, page)</t>
  </si>
  <si>
    <t xml:space="preserve">Auto BUY level</t>
  </si>
  <si>
    <t xml:space="preserve">Auto SELL level</t>
  </si>
  <si>
    <t xml:space="preserve">A. Understand the business</t>
  </si>
  <si>
    <t xml:space="preserve">A1</t>
  </si>
  <si>
    <t xml:space="preserve">A</t>
  </si>
  <si>
    <t xml:space="preserve">Explain the business simply</t>
  </si>
  <si>
    <t xml:space="preserve">Can you explain in 2 sentences what it sells, to whom, and how it makes money?</t>
  </si>
  <si>
    <t xml:space="preserve">If you can't explain it, you can't value it.</t>
  </si>
  <si>
    <t xml:space="preserve">Annual report: business overview; investor presentation</t>
  </si>
  <si>
    <t xml:space="preserve">'Sells subscription design &amp; PDF software to creatives and companies; ~95% of revenue is subscriptions.'</t>
  </si>
  <si>
    <t xml:space="preserve">Clear, simple model you can explain</t>
  </si>
  <si>
    <t xml:space="preserve">Understand most of it</t>
  </si>
  <si>
    <t xml:space="preserve">Can't explain how it makes money</t>
  </si>
  <si>
    <t xml:space="preserve">N</t>
  </si>
  <si>
    <t xml:space="preserve">Judgement</t>
  </si>
  <si>
    <t xml:space="preserve">A2</t>
  </si>
  <si>
    <t xml:space="preserve">Recurring revenue</t>
  </si>
  <si>
    <t xml:space="preserve">What share of revenue repeats every year (subscriptions, contracts, consumables)?</t>
  </si>
  <si>
    <t xml:space="preserve">Recurring revenue is more predictable, so it's worth more.</t>
  </si>
  <si>
    <t xml:space="preserve">Segment note; revenue note in annual report</t>
  </si>
  <si>
    <t xml:space="preserve">'Subscription = 97% of Q3 revenue.'</t>
  </si>
  <si>
    <t xml:space="preserve">Over 70% recurring</t>
  </si>
  <si>
    <t xml:space="preserve">40–70%</t>
  </si>
  <si>
    <t xml:space="preserve">Under 40% / one-off sales</t>
  </si>
  <si>
    <t xml:space="preserve">A3</t>
  </si>
  <si>
    <t xml:space="preserve">Customer &amp; product concentration</t>
  </si>
  <si>
    <t xml:space="preserve">Does any one customer, product or country make up a big share of sales?</t>
  </si>
  <si>
    <t xml:space="preserve">Losing one big customer or market can hurt badly.</t>
  </si>
  <si>
    <t xml:space="preserve">Segment &amp; geographic notes; risk factors</t>
  </si>
  <si>
    <t xml:space="preserve">'No customer above 10%; biggest segment 69%.'</t>
  </si>
  <si>
    <t xml:space="preserve">No customer &gt;10%; well spread</t>
  </si>
  <si>
    <t xml:space="preserve">Some dependence</t>
  </si>
  <si>
    <t xml:space="preserve">One customer/product dominates</t>
  </si>
  <si>
    <t xml:space="preserve">A4</t>
  </si>
  <si>
    <t xml:space="preserve">Competitive advantage (moat)</t>
  </si>
  <si>
    <t xml:space="preserve">What stops competitors from taking its customers? (brand, network, switching costs, scale, licences, low cost)</t>
  </si>
  <si>
    <t xml:space="preserve">A moat protects profits for longer.</t>
  </si>
  <si>
    <t xml:space="preserve">Your own analysis; industry reports; competitor reports</t>
  </si>
  <si>
    <t xml:space="preserve">'Customers' files and workflows are built in its software: costly to switch.'</t>
  </si>
  <si>
    <t xml:space="preserve">Clear, lasting advantage</t>
  </si>
  <si>
    <t xml:space="preserve">Some advantage, under pressure</t>
  </si>
  <si>
    <t xml:space="preserve">No real advantage</t>
  </si>
  <si>
    <t xml:space="preserve">A5</t>
  </si>
  <si>
    <t xml:space="preserve">Pricing power</t>
  </si>
  <si>
    <t xml:space="preserve">Can it raise prices above inflation without losing customers?</t>
  </si>
  <si>
    <t xml:space="preserve">Pricing power protects margins when costs rise.</t>
  </si>
  <si>
    <t xml:space="preserve">Results commentary; price-increase history; margin trend</t>
  </si>
  <si>
    <t xml:space="preserve">'Raised prices 2 years running; churn stable.'</t>
  </si>
  <si>
    <t xml:space="preserve">Regular price rises, volumes hold</t>
  </si>
  <si>
    <t xml:space="preserve">Prices keep pace with inflation</t>
  </si>
  <si>
    <t xml:space="preserve">Discounting / losing share on price</t>
  </si>
  <si>
    <t xml:space="preserve">A6</t>
  </si>
  <si>
    <t xml:space="preserve">Read the source documents</t>
  </si>
  <si>
    <t xml:space="preserve">Have you read the latest annual report, results announcement and results presentation?</t>
  </si>
  <si>
    <t xml:space="preserve">Data sites contain errors. Primary documents are the truth.</t>
  </si>
  <si>
    <t xml:space="preserve">Company investor relations website; JSE SENS; SEC EDGAR</t>
  </si>
  <si>
    <t xml:space="preserve">'Read FY25 integrated report, H1 results, CEO presentation.'</t>
  </si>
  <si>
    <t xml:space="preserve">All read, key notes taken</t>
  </si>
  <si>
    <t xml:space="preserve">Partly read</t>
  </si>
  <si>
    <t xml:space="preserve">Only used data websites</t>
  </si>
  <si>
    <t xml:space="preserve">B. Industry &amp; competition</t>
  </si>
  <si>
    <t xml:space="preserve">B1</t>
  </si>
  <si>
    <t xml:space="preserve">B</t>
  </si>
  <si>
    <t xml:space="preserve">Industry growth</t>
  </si>
  <si>
    <t xml:space="preserve">Is the industry growing faster than the economy?</t>
  </si>
  <si>
    <t xml:space="preserve">It's easier to grow in a growing market.</t>
  </si>
  <si>
    <t xml:space="preserve">Industry reports; competitors' results; Stats SA / sector bodies</t>
  </si>
  <si>
    <t xml:space="preserve">'Market growing ~10% a year as AI increases content demand.'</t>
  </si>
  <si>
    <t xml:space="preserve">Growing faster than GDP</t>
  </si>
  <si>
    <t xml:space="preserve">Growing with GDP</t>
  </si>
  <si>
    <t xml:space="preserve">Shrinking</t>
  </si>
  <si>
    <t xml:space="preserve">B2</t>
  </si>
  <si>
    <t xml:space="preserve">Competition</t>
  </si>
  <si>
    <t xml:space="preserve">Who are the main competitors, and is the company winning or losing market share?</t>
  </si>
  <si>
    <t xml:space="preserve">Losing share is an early warning sign.</t>
  </si>
  <si>
    <t xml:space="preserve">Competitors' results; industry data; news</t>
  </si>
  <si>
    <t xml:space="preserve">'Gaining share in enterprise; losing at the low end to Canva.'</t>
  </si>
  <si>
    <t xml:space="preserve">Gaining share; few strong rivals</t>
  </si>
  <si>
    <t xml:space="preserve">Stable share</t>
  </si>
  <si>
    <t xml:space="preserve">Losing share; price wars</t>
  </si>
  <si>
    <t xml:space="preserve">B3</t>
  </si>
  <si>
    <t xml:space="preserve">Disruption threat</t>
  </si>
  <si>
    <t xml:space="preserve">Could new technology or a new business model make this product unnecessary?</t>
  </si>
  <si>
    <t xml:space="preserve">Disruption can destroy a business that looks fine today.</t>
  </si>
  <si>
    <t xml:space="preserve">News, industry research, management Q&amp;A</t>
  </si>
  <si>
    <t xml:space="preserve">'AI image tools could replace casual users; company's own AI products growing 150%.'</t>
  </si>
  <si>
    <t xml:space="preserve">Low; company leads the change</t>
  </si>
  <si>
    <t xml:space="preserve">Moderate; company adapting</t>
  </si>
  <si>
    <t xml:space="preserve">High; company falling behind</t>
  </si>
  <si>
    <t xml:space="preserve">Y</t>
  </si>
  <si>
    <t xml:space="preserve">B4</t>
  </si>
  <si>
    <t xml:space="preserve">Regulation &amp; legal</t>
  </si>
  <si>
    <t xml:space="preserve">Are there laws, licences, court cases or government actions that could change profits?</t>
  </si>
  <si>
    <t xml:space="preserve">Regulation can cap prices or add costs overnight.</t>
  </si>
  <si>
    <t xml:space="preserve">Risk factors; legal note; news</t>
  </si>
  <si>
    <t xml:space="preserve">'Consumer-protection case settled for $150m; now closed.'</t>
  </si>
  <si>
    <t xml:space="preserve">No material issues</t>
  </si>
  <si>
    <t xml:space="preserve">Manageable / settled</t>
  </si>
  <si>
    <t xml:space="preserve">Major open issue</t>
  </si>
  <si>
    <t xml:space="preserve">B5</t>
  </si>
  <si>
    <t xml:space="preserve">Economic sensitivity</t>
  </si>
  <si>
    <t xml:space="preserve">How much do sales fall in a recession or when interest rates rise?</t>
  </si>
  <si>
    <t xml:space="preserve">Cyclical companies need a bigger safety margin.</t>
  </si>
  <si>
    <t xml:space="preserve">Performance in 2008/2020; management commentary</t>
  </si>
  <si>
    <t xml:space="preserve">'Revenue grew through 2020 — subscriptions held up.'</t>
  </si>
  <si>
    <t xml:space="preserve">Defensive; little impact</t>
  </si>
  <si>
    <t xml:space="preserve">Some impact</t>
  </si>
  <si>
    <t xml:space="preserve">Highly cyclical, at risk now</t>
  </si>
  <si>
    <t xml:space="preserve">C. Growth</t>
  </si>
  <si>
    <t xml:space="preserve">C1</t>
  </si>
  <si>
    <t xml:space="preserve">C</t>
  </si>
  <si>
    <t xml:space="preserve">Revenue growth (latest year)</t>
  </si>
  <si>
    <t xml:space="preserve">How fast did revenue grow last year?</t>
  </si>
  <si>
    <t xml:space="preserve">Growth drives future profits.</t>
  </si>
  <si>
    <t xml:space="preserve">Financials sheet (auto)</t>
  </si>
  <si>
    <t xml:space="preserve">'+12% vs peer median +10%.'</t>
  </si>
  <si>
    <t xml:space="preserve">≥10% (or above peers)</t>
  </si>
  <si>
    <t xml:space="preserve">0–10%</t>
  </si>
  <si>
    <t xml:space="preserve">Falling revenue</t>
  </si>
  <si>
    <t xml:space="preserve">C2</t>
  </si>
  <si>
    <t xml:space="preserve">Revenue growth over 3 years</t>
  </si>
  <si>
    <t xml:space="preserve">What's the average yearly growth over 3 years?</t>
  </si>
  <si>
    <t xml:space="preserve">Shows if growth is steady, not a one-off.</t>
  </si>
  <si>
    <t xml:space="preserve">'3-yr CAGR 10.2%; every year between 10–12%.'</t>
  </si>
  <si>
    <t xml:space="preserve">≥8% a year</t>
  </si>
  <si>
    <t xml:space="preserve">0–8%</t>
  </si>
  <si>
    <t xml:space="preserve">C3</t>
  </si>
  <si>
    <t xml:space="preserve">EPS growth</t>
  </si>
  <si>
    <t xml:space="preserve">Is earnings per share growing?</t>
  </si>
  <si>
    <t xml:space="preserve">EPS growth is what drives the share price over time.</t>
  </si>
  <si>
    <t xml:space="preserve">'EPS +7% y/y; boosted by buybacks.'</t>
  </si>
  <si>
    <t xml:space="preserve">≥10%</t>
  </si>
  <si>
    <t xml:space="preserve">Falling EPS</t>
  </si>
  <si>
    <t xml:space="preserve">C4</t>
  </si>
  <si>
    <t xml:space="preserve">Guidance &amp; outlook</t>
  </si>
  <si>
    <t xml:space="preserve">What does management expect for next year? Is it above or below what analysts expect?</t>
  </si>
  <si>
    <t xml:space="preserve">The market reacts to guidance vs expectations.</t>
  </si>
  <si>
    <t xml:space="preserve">Results announcement 'outlook' section; consensus</t>
  </si>
  <si>
    <t xml:space="preserve">'FY guide raised twice; Q4 guide only in line.'</t>
  </si>
  <si>
    <t xml:space="preserve">Guidance raised / above consensus</t>
  </si>
  <si>
    <t xml:space="preserve">In line</t>
  </si>
  <si>
    <t xml:space="preserve">Cut / below consensus</t>
  </si>
  <si>
    <t xml:space="preserve">C5</t>
  </si>
  <si>
    <t xml:space="preserve">Future growth drivers</t>
  </si>
  <si>
    <t xml:space="preserve">Which new products, markets or acquisitions will drive growth? Are they big enough to matter?</t>
  </si>
  <si>
    <t xml:space="preserve">Growth must come from somewhere specific.</t>
  </si>
  <si>
    <t xml:space="preserve">Investor presentation; strategy section</t>
  </si>
  <si>
    <t xml:space="preserve">'AI products growing 150% but still only 3% of revenue.'</t>
  </si>
  <si>
    <t xml:space="preserve">Clear drivers, already material</t>
  </si>
  <si>
    <t xml:space="preserve">Promising but small</t>
  </si>
  <si>
    <t xml:space="preserve">No clear drivers</t>
  </si>
  <si>
    <t xml:space="preserve">D. Profitability</t>
  </si>
  <si>
    <t xml:space="preserve">D1</t>
  </si>
  <si>
    <t xml:space="preserve">D</t>
  </si>
  <si>
    <t xml:space="preserve">What % of revenue is left after direct costs?</t>
  </si>
  <si>
    <t xml:space="preserve">High gross margin = pricing power. COMPARE WITH PEERS — levels differ by industry (retail ~20–25%, software ~80%+).</t>
  </si>
  <si>
    <t xml:space="preserve">'89% vs software peers ~75%.'</t>
  </si>
  <si>
    <t xml:space="preserve">≥40% (or above peers)</t>
  </si>
  <si>
    <t xml:space="preserve">20–40%</t>
  </si>
  <si>
    <t xml:space="preserve">&lt;20% (or below peers)</t>
  </si>
  <si>
    <t xml:space="preserve">D2</t>
  </si>
  <si>
    <t xml:space="preserve">What % of revenue is operating profit?</t>
  </si>
  <si>
    <t xml:space="preserve">Shows how efficiently the business is run. Compare with peers.</t>
  </si>
  <si>
    <t xml:space="preserve">'36% vs peer median 25%.'</t>
  </si>
  <si>
    <t xml:space="preserve">≥15% (or above peers)</t>
  </si>
  <si>
    <t xml:space="preserve">5–15%</t>
  </si>
  <si>
    <t xml:space="preserve">&lt;5% / losses</t>
  </si>
  <si>
    <t xml:space="preserve">D3</t>
  </si>
  <si>
    <t xml:space="preserve">Margin trend</t>
  </si>
  <si>
    <t xml:space="preserve">Is the operating margin going up or down?</t>
  </si>
  <si>
    <t xml:space="preserve">Falling margins often come before falling profits.</t>
  </si>
  <si>
    <t xml:space="preserve">'Down 0.9 points: higher AI costs.'</t>
  </si>
  <si>
    <t xml:space="preserve">Up ≥1 point</t>
  </si>
  <si>
    <t xml:space="preserve">Roughly flat</t>
  </si>
  <si>
    <t xml:space="preserve">Down ≥2 points</t>
  </si>
  <si>
    <t xml:space="preserve">D4</t>
  </si>
  <si>
    <t xml:space="preserve">How much profit does it earn on shareholders' money?</t>
  </si>
  <si>
    <t xml:space="preserve">High ROE = efficient use of capital. Check it's not just from high debt.</t>
  </si>
  <si>
    <t xml:space="preserve">'62% — flattered by buybacks reducing equity.'</t>
  </si>
  <si>
    <t xml:space="preserve">≥15%</t>
  </si>
  <si>
    <t xml:space="preserve">8–15%</t>
  </si>
  <si>
    <t xml:space="preserve">&lt;8%</t>
  </si>
  <si>
    <t xml:space="preserve">D5</t>
  </si>
  <si>
    <t xml:space="preserve">Does it earn more on its capital than its cost of capital (WACC)?</t>
  </si>
  <si>
    <t xml:space="preserve">ROIC above WACC = the company creates value as it grows.</t>
  </si>
  <si>
    <t xml:space="preserve">Financials sheet (auto); WACC on Valuation sheet</t>
  </si>
  <si>
    <t xml:space="preserve">'ROIC 59% vs WACC 12.5%.'</t>
  </si>
  <si>
    <t xml:space="preserve">≥12% (well above WACC)</t>
  </si>
  <si>
    <t xml:space="preserve">Around WACC</t>
  </si>
  <si>
    <t xml:space="preserve">Below WACC (&lt;6%)</t>
  </si>
  <si>
    <t xml:space="preserve">D6</t>
  </si>
  <si>
    <t xml:space="preserve">Quality of earnings</t>
  </si>
  <si>
    <t xml:space="preserve">Are 'adjusted' / 'headline' earnings far above reported earnings? Any one-off gains?</t>
  </si>
  <si>
    <t xml:space="preserve">Big adjustments can hide real costs.</t>
  </si>
  <si>
    <t xml:space="preserve">Results: reconciliation of headline/adjusted earnings</t>
  </si>
  <si>
    <t xml:space="preserve">'Adjusted profit 21% above reported — mainly share-based pay.'</t>
  </si>
  <si>
    <t xml:space="preserve">Small, clear adjustments</t>
  </si>
  <si>
    <t xml:space="preserve">Some adjustments</t>
  </si>
  <si>
    <t xml:space="preserve">Large, recurring 'one-offs'</t>
  </si>
  <si>
    <t xml:space="preserve">E. Cash flow</t>
  </si>
  <si>
    <t xml:space="preserve">E1</t>
  </si>
  <si>
    <t xml:space="preserve">E</t>
  </si>
  <si>
    <t xml:space="preserve">Free cash flow margin</t>
  </si>
  <si>
    <t xml:space="preserve">How much of revenue becomes free cash?</t>
  </si>
  <si>
    <t xml:space="preserve">Cash pays dividends and debt — profit alone doesn't.</t>
  </si>
  <si>
    <t xml:space="preserve">'FCF margin 41%.'</t>
  </si>
  <si>
    <t xml:space="preserve">2–10%</t>
  </si>
  <si>
    <t xml:space="preserve">&lt;2% / negative</t>
  </si>
  <si>
    <t xml:space="preserve">E2</t>
  </si>
  <si>
    <t xml:space="preserve">Cash conversion</t>
  </si>
  <si>
    <t xml:space="preserve">Is profit turning into cash? (FCF ÷ net income)</t>
  </si>
  <si>
    <t xml:space="preserve">Profit without cash is a red flag for accounting quality.</t>
  </si>
  <si>
    <t xml:space="preserve">'1.45x — strong.'</t>
  </si>
  <si>
    <t xml:space="preserve">≥1.0x</t>
  </si>
  <si>
    <t xml:space="preserve">0.7–1.0x</t>
  </si>
  <si>
    <t xml:space="preserve">&lt;0.7x</t>
  </si>
  <si>
    <t xml:space="preserve">E3</t>
  </si>
  <si>
    <t xml:space="preserve">Capital intensity</t>
  </si>
  <si>
    <t xml:space="preserve">How much must it reinvest each year? (capex ÷ revenue)</t>
  </si>
  <si>
    <t xml:space="preserve">Lower capex = more cash for shareholders.</t>
  </si>
  <si>
    <t xml:space="preserve">'Capex under 1% of revenue.'</t>
  </si>
  <si>
    <t xml:space="preserve">≤5%</t>
  </si>
  <si>
    <t xml:space="preserve">E4</t>
  </si>
  <si>
    <t xml:space="preserve">Share-based pay</t>
  </si>
  <si>
    <t xml:space="preserve">How big is share-based compensation vs revenue?</t>
  </si>
  <si>
    <t xml:space="preserve">It's a real cost: it dilutes your ownership.</t>
  </si>
  <si>
    <t xml:space="preserve">'SBC 7% of revenue — significant.'</t>
  </si>
  <si>
    <t xml:space="preserve">≤2%</t>
  </si>
  <si>
    <t xml:space="preserve">2–8%</t>
  </si>
  <si>
    <t xml:space="preserve">≥8%</t>
  </si>
  <si>
    <t xml:space="preserve">F. Balance sheet &amp; capital allocation</t>
  </si>
  <si>
    <t xml:space="preserve">F1</t>
  </si>
  <si>
    <t xml:space="preserve">F</t>
  </si>
  <si>
    <t xml:space="preserve">Debt level</t>
  </si>
  <si>
    <t xml:space="preserve">Net debt ÷ EBITDA: how many years to repay debt?</t>
  </si>
  <si>
    <t xml:space="preserve">Too much debt can sink a company in a bad year.</t>
  </si>
  <si>
    <t xml:space="preserve">'0.1x — almost no net debt.'</t>
  </si>
  <si>
    <t xml:space="preserve">≤1.0x or net cash</t>
  </si>
  <si>
    <t xml:space="preserve">1–3x</t>
  </si>
  <si>
    <t xml:space="preserve">≥3x</t>
  </si>
  <si>
    <t xml:space="preserve">F2</t>
  </si>
  <si>
    <t xml:space="preserve">Interest cover</t>
  </si>
  <si>
    <t xml:space="preserve">How many times does operating profit cover interest?</t>
  </si>
  <si>
    <t xml:space="preserve">Below 3x, a profit dip can make interest hard to pay.</t>
  </si>
  <si>
    <t xml:space="preserve">'Covers interest 35x.'</t>
  </si>
  <si>
    <t xml:space="preserve">≥8x</t>
  </si>
  <si>
    <t xml:space="preserve">3–8x</t>
  </si>
  <si>
    <t xml:space="preserve">≤3x</t>
  </si>
  <si>
    <t xml:space="preserve">F3</t>
  </si>
  <si>
    <t xml:space="preserve">Liquidity</t>
  </si>
  <si>
    <t xml:space="preserve">Current ratio: can it pay its short-term bills?</t>
  </si>
  <si>
    <t xml:space="preserve">Running out of cash is how companies fail. (Below 1x can be fine if due to customer prepayments.)</t>
  </si>
  <si>
    <t xml:space="preserve">'0.77x — but due to deferred revenue, and R5.6bn cash.'</t>
  </si>
  <si>
    <t xml:space="preserve">≥1.5x (or &lt;1x explained)</t>
  </si>
  <si>
    <t xml:space="preserve">1.0–1.5x</t>
  </si>
  <si>
    <t xml:space="preserve">&lt;1.0x, unexplained</t>
  </si>
  <si>
    <t xml:space="preserve">F4</t>
  </si>
  <si>
    <t xml:space="preserve">Share count</t>
  </si>
  <si>
    <t xml:space="preserve">Is the number of shares going down (buybacks) or up (dilution)?</t>
  </si>
  <si>
    <t xml:space="preserve">Dilution means your slice of the company shrinks.</t>
  </si>
  <si>
    <t xml:space="preserve">'Shares down 5.8% y/y.'</t>
  </si>
  <si>
    <t xml:space="preserve">Falling ≥1% a year</t>
  </si>
  <si>
    <t xml:space="preserve">Flat</t>
  </si>
  <si>
    <t xml:space="preserve">Rising ≥2%</t>
  </si>
  <si>
    <t xml:space="preserve">F5</t>
  </si>
  <si>
    <t xml:space="preserve">Affordable shareholder payouts</t>
  </si>
  <si>
    <t xml:space="preserve">Are dividends + buybacks paid out of free cash flow, not new debt?</t>
  </si>
  <si>
    <t xml:space="preserve">Borrowing to pay shareholders isn't sustainable.</t>
  </si>
  <si>
    <t xml:space="preserve">'Payout 115% of FCF — part funded by debt.'</t>
  </si>
  <si>
    <t xml:space="preserve">≤60% of FCF</t>
  </si>
  <si>
    <t xml:space="preserve">60–100%</t>
  </si>
  <si>
    <t xml:space="preserve">≥100% of FCF</t>
  </si>
  <si>
    <t xml:space="preserve">F6</t>
  </si>
  <si>
    <t xml:space="preserve">Acquisitions track record</t>
  </si>
  <si>
    <t xml:space="preserve">Have past acquisitions been sensible and well-priced? Any write-offs?</t>
  </si>
  <si>
    <t xml:space="preserve">Bad deals destroy shareholder value.</t>
  </si>
  <si>
    <t xml:space="preserve">Annual reports; impairment notes; news</t>
  </si>
  <si>
    <t xml:space="preserve">'Small bolt-ons; no write-offs in 5 years.'</t>
  </si>
  <si>
    <t xml:space="preserve">Disciplined, value-adding</t>
  </si>
  <si>
    <t xml:space="preserve">Mixed record</t>
  </si>
  <si>
    <t xml:space="preserve">Overpaid / write-offs</t>
  </si>
  <si>
    <t xml:space="preserve">G. Management &amp; governance</t>
  </si>
  <si>
    <t xml:space="preserve">G1</t>
  </si>
  <si>
    <t xml:space="preserve">G</t>
  </si>
  <si>
    <t xml:space="preserve">Management track record</t>
  </si>
  <si>
    <t xml:space="preserve">Has management done what it said it would in the past?</t>
  </si>
  <si>
    <t xml:space="preserve">Credible managers = more reliable forecasts.</t>
  </si>
  <si>
    <t xml:space="preserve">Compare old presentations/guidance with results</t>
  </si>
  <si>
    <t xml:space="preserve">'Met or beat guidance 8 quarters in a row.'</t>
  </si>
  <si>
    <t xml:space="preserve">Consistently delivers</t>
  </si>
  <si>
    <t xml:space="preserve">Mixed</t>
  </si>
  <si>
    <t xml:space="preserve">Regularly misses / changes story</t>
  </si>
  <si>
    <t xml:space="preserve">G2</t>
  </si>
  <si>
    <t xml:space="preserve">Leadership stability</t>
  </si>
  <si>
    <t xml:space="preserve">Any recent or upcoming CEO/CFO changes?</t>
  </si>
  <si>
    <t xml:space="preserve">New leaders often change strategy or 'kitchen-sink' results.</t>
  </si>
  <si>
    <t xml:space="preserve">SENS / 8-K announcements; news</t>
  </si>
  <si>
    <t xml:space="preserve">'New CEO from 1 Dec; product head leaving.'</t>
  </si>
  <si>
    <t xml:space="preserve">Stable, proven team</t>
  </si>
  <si>
    <t xml:space="preserve">Planned, orderly change</t>
  </si>
  <si>
    <t xml:space="preserve">Sudden departures</t>
  </si>
  <si>
    <t xml:space="preserve">G3</t>
  </si>
  <si>
    <t xml:space="preserve">Insider ownership &amp; trades</t>
  </si>
  <si>
    <t xml:space="preserve">Do directors own meaningful shares? Are they buying or selling?</t>
  </si>
  <si>
    <t xml:space="preserve">Owners act like owners. Heavy selling is a warning.</t>
  </si>
  <si>
    <t xml:space="preserve">Directors' dealings (SENS); Form 4 (US); remuneration report</t>
  </si>
  <si>
    <t xml:space="preserve">'Directors own 0.3%; only routine sales.'</t>
  </si>
  <si>
    <t xml:space="preserve">Meaningful ownership; buying</t>
  </si>
  <si>
    <t xml:space="preserve">Small stake, routine trades</t>
  </si>
  <si>
    <t xml:space="preserve">Heavy selling</t>
  </si>
  <si>
    <t xml:space="preserve">G4</t>
  </si>
  <si>
    <t xml:space="preserve">Accounting &amp; audit</t>
  </si>
  <si>
    <t xml:space="preserve">Clean audit opinion? Any restatements, auditor changes or late results?</t>
  </si>
  <si>
    <t xml:space="preserve">Accounting problems can wipe out a share (think Steinhoff).</t>
  </si>
  <si>
    <t xml:space="preserve">Auditor's report; news; JSE/SEC notices</t>
  </si>
  <si>
    <t xml:space="preserve">'Clean opinion, same auditor, no restatements.'</t>
  </si>
  <si>
    <t xml:space="preserve">Clean</t>
  </si>
  <si>
    <t xml:space="preserve">Minor concerns</t>
  </si>
  <si>
    <t xml:space="preserve">Restatement / qualified opinion</t>
  </si>
  <si>
    <t xml:space="preserve">G5</t>
  </si>
  <si>
    <t xml:space="preserve">Shareholder rights</t>
  </si>
  <si>
    <t xml:space="preserve">One share = one vote? Any controlling shareholder or BEE/lock-in structure?</t>
  </si>
  <si>
    <t xml:space="preserve">Minority shareholders may have little say.</t>
  </si>
  <si>
    <t xml:space="preserve">Annual report: shareholder analysis; MOI/proxy</t>
  </si>
  <si>
    <t xml:space="preserve">'Single share class, no controlling shareholder.'</t>
  </si>
  <si>
    <t xml:space="preserve">Fair, single class</t>
  </si>
  <si>
    <t xml:space="preserve">Some special structures</t>
  </si>
  <si>
    <t xml:space="preserve">Controller can ignore minorities</t>
  </si>
  <si>
    <t xml:space="preserve">G6</t>
  </si>
  <si>
    <t xml:space="preserve">ESG issues</t>
  </si>
  <si>
    <t xml:space="preserve">Any environmental, social or governance issues that could cost money or reputation?</t>
  </si>
  <si>
    <t xml:space="preserve">ESG problems can become fines, boycotts or lost licences.</t>
  </si>
  <si>
    <t xml:space="preserve">Sustainability report; news; controversies</t>
  </si>
  <si>
    <t xml:space="preserve">'Creator backlash over AI training data; low carbon footprint.'</t>
  </si>
  <si>
    <t xml:space="preserve">Low / well managed</t>
  </si>
  <si>
    <t xml:space="preserve">Some issues, managed</t>
  </si>
  <si>
    <t xml:space="preserve">Serious and unmanaged</t>
  </si>
  <si>
    <t xml:space="preserve">H. Valuation</t>
  </si>
  <si>
    <t xml:space="preserve">H1</t>
  </si>
  <si>
    <t xml:space="preserve">H</t>
  </si>
  <si>
    <t xml:space="preserve">Upside to target price</t>
  </si>
  <si>
    <t xml:space="preserve">How much could the share rise to your blended target?</t>
  </si>
  <si>
    <t xml:space="preserve">This is the core of the rating.</t>
  </si>
  <si>
    <t xml:space="preserve">Valuation sheet (auto)</t>
  </si>
  <si>
    <t xml:space="preserve">'+20% to R315 target.'</t>
  </si>
  <si>
    <t xml:space="preserve">≥15% upside</t>
  </si>
  <si>
    <t xml:space="preserve">−10% to +15%</t>
  </si>
  <si>
    <t xml:space="preserve">≤ −10%</t>
  </si>
  <si>
    <t xml:space="preserve">H2</t>
  </si>
  <si>
    <t xml:space="preserve">Cheap vs peers?</t>
  </si>
  <si>
    <t xml:space="preserve">Forward P/E premium or discount to the peer median</t>
  </si>
  <si>
    <t xml:space="preserve">A discount is an opportunity only if fundamentals are as good.</t>
  </si>
  <si>
    <t xml:space="preserve">'60% discount despite better margins.'</t>
  </si>
  <si>
    <t xml:space="preserve">≥20% discount, not deserved</t>
  </si>
  <si>
    <t xml:space="preserve">Within ±20%</t>
  </si>
  <si>
    <t xml:space="preserve">≥20% premium, not earned</t>
  </si>
  <si>
    <t xml:space="preserve">H3</t>
  </si>
  <si>
    <t xml:space="preserve">Cheap vs its own history?</t>
  </si>
  <si>
    <t xml:space="preserve">Is today's P/E low compared with the company's own last 5 years?</t>
  </si>
  <si>
    <t xml:space="preserve">Shares tend to revert toward normal valuations — unless the business changed.</t>
  </si>
  <si>
    <t xml:space="preserve">Data sites: historical P/E charts</t>
  </si>
  <si>
    <t xml:space="preserve">'P/E 10x vs 5-yr average 30x.'</t>
  </si>
  <si>
    <t xml:space="preserve">Bottom of 5-yr range</t>
  </si>
  <si>
    <t xml:space="preserve">Middle</t>
  </si>
  <si>
    <t xml:space="preserve">Top of range</t>
  </si>
  <si>
    <t xml:space="preserve">H4</t>
  </si>
  <si>
    <t xml:space="preserve">Free cash flow yield</t>
  </si>
  <si>
    <t xml:space="preserve">FCF ÷ market cap — the cash 'yield' you buy</t>
  </si>
  <si>
    <t xml:space="preserve">Compare to the government bond yield.</t>
  </si>
  <si>
    <t xml:space="preserve">Company Info sheet (auto)</t>
  </si>
  <si>
    <t xml:space="preserve">'10% FCF yield vs 4.3% bond yield.'</t>
  </si>
  <si>
    <t xml:space="preserve">≥6%</t>
  </si>
  <si>
    <t xml:space="preserve">3–6%</t>
  </si>
  <si>
    <t xml:space="preserve">≤3%</t>
  </si>
  <si>
    <t xml:space="preserve">H5</t>
  </si>
  <si>
    <t xml:space="preserve">Robust to assumptions?</t>
  </si>
  <si>
    <t xml:space="preserve">In the sensitivity table, is the value still above today's price if WACC is 1 point higher?</t>
  </si>
  <si>
    <t xml:space="preserve">A good idea shouldn't need perfect assumptions.</t>
  </si>
  <si>
    <t xml:space="preserve">Valuation sheet: section G</t>
  </si>
  <si>
    <t xml:space="preserve">'Upside in 20 of 25 cells.'</t>
  </si>
  <si>
    <t xml:space="preserve">Upside in most cells</t>
  </si>
  <si>
    <t xml:space="preserve">About half</t>
  </si>
  <si>
    <t xml:space="preserve">Downside in most cells</t>
  </si>
  <si>
    <t xml:space="preserve">H6</t>
  </si>
  <si>
    <t xml:space="preserve">Risk / reward</t>
  </si>
  <si>
    <t xml:space="preserve">Bull upside ÷ bear downside</t>
  </si>
  <si>
    <t xml:space="preserve">You want to make more if right than you lose if wrong.</t>
  </si>
  <si>
    <t xml:space="preserve">'Bull +47% vs bear −27% = 1.7x.'</t>
  </si>
  <si>
    <t xml:space="preserve">≥2x</t>
  </si>
  <si>
    <t xml:space="preserve">1–2x</t>
  </si>
  <si>
    <t xml:space="preserve">≤1x</t>
  </si>
  <si>
    <t xml:space="preserve">I. Catalysts &amp; market view</t>
  </si>
  <si>
    <t xml:space="preserve">I1</t>
  </si>
  <si>
    <t xml:space="preserve">I</t>
  </si>
  <si>
    <t xml:space="preserve">Is there a dated event in the next 6–12 months that could move the share? (results, product launch, deal, rate cut)</t>
  </si>
  <si>
    <t xml:space="preserve">Without a catalyst, a cheap share can stay cheap.</t>
  </si>
  <si>
    <t xml:space="preserve">Results calendar; company announcements</t>
  </si>
  <si>
    <t xml:space="preserve">'Full-year results in Dec — first under new CEO.'</t>
  </si>
  <si>
    <t xml:space="preserve">Clear, dated catalyst</t>
  </si>
  <si>
    <t xml:space="preserve">Possible catalyst</t>
  </si>
  <si>
    <t xml:space="preserve">None</t>
  </si>
  <si>
    <t xml:space="preserve">I2</t>
  </si>
  <si>
    <t xml:space="preserve">Your different view</t>
  </si>
  <si>
    <t xml:space="preserve">What do YOU believe that the market doesn't — and what evidence will prove it?</t>
  </si>
  <si>
    <t xml:space="preserve">If you agree with everyone, there's no reason for the share to move.</t>
  </si>
  <si>
    <t xml:space="preserve">Your thesis</t>
  </si>
  <si>
    <t xml:space="preserve">'Market thinks AI kills the product; data shows AI revenue growing 150%. Proof: next 2 quarters.'</t>
  </si>
  <si>
    <t xml:space="preserve">Clear, testable view</t>
  </si>
  <si>
    <t xml:space="preserve">Partly different</t>
  </si>
  <si>
    <t xml:space="preserve">Same as consensus</t>
  </si>
  <si>
    <t xml:space="preserve">I3</t>
  </si>
  <si>
    <t xml:space="preserve">Analyst estimate changes</t>
  </si>
  <si>
    <t xml:space="preserve">Are other analysts raising or cutting their forecasts and targets?</t>
  </si>
  <si>
    <t xml:space="preserve">Rising estimates usually support the share price.</t>
  </si>
  <si>
    <t xml:space="preserve">Consensus data; broker notes; news</t>
  </si>
  <si>
    <t xml:space="preserve">'3 raised targets, 2 cut after results.'</t>
  </si>
  <si>
    <t xml:space="preserve">Mostly rising</t>
  </si>
  <si>
    <t xml:space="preserve">Mostly falling</t>
  </si>
  <si>
    <t xml:space="preserve">I4</t>
  </si>
  <si>
    <t xml:space="preserve">Share price trend</t>
  </si>
  <si>
    <t xml:space="preserve">Is the share price trending up, sideways or down?</t>
  </si>
  <si>
    <t xml:space="preserve">Fighting a strong downtrend is risky; timing matters.</t>
  </si>
  <si>
    <t xml:space="preserve">Price chart (1-yr, 200-day average)</t>
  </si>
  <si>
    <t xml:space="preserve">'Down 30% in a year; flat for 3 months.'</t>
  </si>
  <si>
    <t xml:space="preserve">Uptrend</t>
  </si>
  <si>
    <t xml:space="preserve">Sideways</t>
  </si>
  <si>
    <t xml:space="preserve">Downtrend</t>
  </si>
  <si>
    <t xml:space="preserve">I5</t>
  </si>
  <si>
    <t xml:space="preserve">Big investors' activity</t>
  </si>
  <si>
    <t xml:space="preserve">Are large funds buying or selling?</t>
  </si>
  <si>
    <t xml:space="preserve">Big funds have big research teams.</t>
  </si>
  <si>
    <t xml:space="preserve">Shareholder register; 13F filings (US); news</t>
  </si>
  <si>
    <t xml:space="preserve">'Active funds mostly selling; some contrarian buying.'</t>
  </si>
  <si>
    <t xml:space="preserve">Net buying</t>
  </si>
  <si>
    <t xml:space="preserve">Net selling</t>
  </si>
  <si>
    <t xml:space="preserve">J. Risks (5 = LOW risk)</t>
  </si>
  <si>
    <t xml:space="preserve">J1</t>
  </si>
  <si>
    <t xml:space="preserve">J</t>
  </si>
  <si>
    <t xml:space="preserve">Biggest risk to your view</t>
  </si>
  <si>
    <t xml:space="preserve">What's the ONE thing most likely to make you wrong, and how bad would it be?</t>
  </si>
  <si>
    <t xml:space="preserve">Knowing your key risk tells you what to watch.</t>
  </si>
  <si>
    <t xml:space="preserve">Your analysis; risk factors section</t>
  </si>
  <si>
    <t xml:space="preserve">'AI tools cut paid users faster than AI products grow.'</t>
  </si>
  <si>
    <t xml:space="preserve">Low impact / unlikely</t>
  </si>
  <si>
    <t xml:space="preserve">Moderate</t>
  </si>
  <si>
    <t xml:space="preserve">Severe and likely</t>
  </si>
  <si>
    <t xml:space="preserve">J2</t>
  </si>
  <si>
    <t xml:space="preserve">Market risk (beta)</t>
  </si>
  <si>
    <t xml:space="preserve">How much more than the market does the share move?</t>
  </si>
  <si>
    <t xml:space="preserve">High-beta shares fall harder in sell-offs.</t>
  </si>
  <si>
    <t xml:space="preserve">Company Info (beta)</t>
  </si>
  <si>
    <t xml:space="preserve">'Beta 1.42 — more volatile than the market.'</t>
  </si>
  <si>
    <t xml:space="preserve">Beta ≤1.0</t>
  </si>
  <si>
    <t xml:space="preserve">1.0–1.3</t>
  </si>
  <si>
    <t xml:space="preserve">≥1.3</t>
  </si>
  <si>
    <t xml:space="preserve">J3</t>
  </si>
  <si>
    <t xml:space="preserve">Currency &amp; country risk</t>
  </si>
  <si>
    <t xml:space="preserve">Is it exposed to exchange rates, one country, or political risk?</t>
  </si>
  <si>
    <t xml:space="preserve">A weak or volatile rand, or a single-country exposure, can swamp good operations.</t>
  </si>
  <si>
    <t xml:space="preserve">Geographic split; currency note</t>
  </si>
  <si>
    <t xml:space="preserve">'60% of revenue offshore — benefits from weak rand.'</t>
  </si>
  <si>
    <t xml:space="preserve">Low / natural hedge</t>
  </si>
  <si>
    <t xml:space="preserve">High, unhedged</t>
  </si>
  <si>
    <t xml:space="preserve">J4</t>
  </si>
  <si>
    <t xml:space="preserve">Execution risk</t>
  </si>
  <si>
    <t xml:space="preserve">Does the plan depend on a big project, turnaround or acquisition going right?</t>
  </si>
  <si>
    <t xml:space="preserve">Big plans often run late and over budget.</t>
  </si>
  <si>
    <t xml:space="preserve">Strategy section; capex plans</t>
  </si>
  <si>
    <t xml:space="preserve">'No big projects; organic growth.'</t>
  </si>
  <si>
    <t xml:space="preserve">Low</t>
  </si>
  <si>
    <t xml:space="preserve">High</t>
  </si>
  <si>
    <t xml:space="preserve">J5</t>
  </si>
  <si>
    <t xml:space="preserve">Share liquidity</t>
  </si>
  <si>
    <t xml:space="preserve">Does the share trade enough to buy and sell easily? (daily value traded)</t>
  </si>
  <si>
    <t xml:space="preserve">Illiquid shares are hard to exit in a hurry — common for JSE small caps.</t>
  </si>
  <si>
    <t xml:space="preserve">Exchange data; data sites</t>
  </si>
  <si>
    <t xml:space="preserve">'Trades &gt;R50m a day.'</t>
  </si>
  <si>
    <t xml:space="preserve">Highly liquid</t>
  </si>
  <si>
    <t xml:space="preserve">Adequate</t>
  </si>
  <si>
    <t xml:space="preserve">Thinly traded</t>
  </si>
  <si>
    <t xml:space="preserve">Step 4 — Valuation: what is the share worth?</t>
  </si>
  <si>
    <t xml:space="preserve">Three methods → one blended target price. Yellow = your assumptions (explain each one in the notes column). Money in Financials units; per-share values in the share-price currency.</t>
  </si>
  <si>
    <t xml:space="preserve">A. Peer comparison — pick 4 to 6 listed companies that do similar things</t>
  </si>
  <si>
    <t xml:space="preserve">Peer company</t>
  </si>
  <si>
    <t xml:space="preserve">Revenue growth</t>
  </si>
  <si>
    <t xml:space="preserve">Notes (basis, source, date)</t>
  </si>
  <si>
    <t xml:space="preserve">Peer median</t>
  </si>
  <si>
    <t xml:space="preserve">Our company</t>
  </si>
  <si>
    <t xml:space="preserve">Premium / (discount) to peers</t>
  </si>
  <si>
    <t xml:space="preserve">A discount is only an opportunity if growth and margins are as good as peers'. Ask: WHY is it cheaper?</t>
  </si>
  <si>
    <t xml:space="preserve">B. Method 1 — Forward P/E (what peers pay for each R1 of profit)</t>
  </si>
  <si>
    <t xml:space="preserve">Next-12-month EPS</t>
  </si>
  <si>
    <t xml:space="preserve">From Step 1.</t>
  </si>
  <si>
    <t xml:space="preserve">Target P/E multiple</t>
  </si>
  <si>
    <t xml:space="preserve">Start from the peer median, then justify any discount or premium (growth, risk, quality).</t>
  </si>
  <si>
    <t xml:space="preserve">Method 1 value per share</t>
  </si>
  <si>
    <t xml:space="preserve">C. Method 2 — Discounted cash flow (DCF): value of all future free cash flow</t>
  </si>
  <si>
    <t xml:space="preserve">Discount rate (WACC) helper</t>
  </si>
  <si>
    <t xml:space="preserve">10-year government bond yield in the company's currency (SA 10-yr for ZAR stocks; US 10-yr Treasury for USD).</t>
  </si>
  <si>
    <t xml:space="preserve">Equity risk premium</t>
  </si>
  <si>
    <t xml:space="preserve">Extra return investors demand for shares over bonds. Damodaran publishes country estimates.</t>
  </si>
  <si>
    <t xml:space="preserve">Cost of equity (CAPM)</t>
  </si>
  <si>
    <t xml:space="preserve">Risk-free + beta × equity risk premium.</t>
  </si>
  <si>
    <t xml:space="preserve">Pre-tax cost of debt</t>
  </si>
  <si>
    <t xml:space="preserve">Roughly: interest expense ÷ total debt, or the company's bond yield.</t>
  </si>
  <si>
    <t xml:space="preserve">Tax rate</t>
  </si>
  <si>
    <t xml:space="preserve">From Step 2.</t>
  </si>
  <si>
    <t xml:space="preserve">Debt as % of (debt + market cap)</t>
  </si>
  <si>
    <t xml:space="preserve">Calculated from market values.</t>
  </si>
  <si>
    <t xml:space="preserve">WACC (calculated)</t>
  </si>
  <si>
    <t xml:space="preserve">Weighted average of cost of equity and after-tax cost of debt.</t>
  </si>
  <si>
    <t xml:space="preserve">WACC override (optional)</t>
  </si>
  <si>
    <t xml:space="preserve">Leave blank to use the calculated WACC. If you override, explain why.</t>
  </si>
  <si>
    <t xml:space="preserve">WACC used</t>
  </si>
  <si>
    <t xml:space="preserve">Terminal growth rate</t>
  </si>
  <si>
    <t xml:space="preserve">Long-run growth forever. Keep at or below long-run inflation + real GDP (usually 2–5%). Must be below WACC.</t>
  </si>
  <si>
    <t xml:space="preserve">FCF margin assumed</t>
  </si>
  <si>
    <t xml:space="preserve">Compare with history (shown in column C). Don't assume a big improvement without a reason.</t>
  </si>
  <si>
    <t xml:space="preserve">Latest (actual)</t>
  </si>
  <si>
    <t xml:space="preserve">Year 4</t>
  </si>
  <si>
    <t xml:space="preserve">Year 5</t>
  </si>
  <si>
    <t xml:space="preserve">Revenue growth assumption</t>
  </si>
  <si>
    <t xml:space="preserve">Revenue</t>
  </si>
  <si>
    <t xml:space="preserve">Free cash flow (revenue × FCF margin)</t>
  </si>
  <si>
    <t xml:space="preserve">Years from today</t>
  </si>
  <si>
    <t xml:space="preserve">Discount factor = 1 ÷ (1+WACC)^years</t>
  </si>
  <si>
    <t xml:space="preserve">Present value of FCF</t>
  </si>
  <si>
    <t xml:space="preserve">Sum of present values (years 1–5)</t>
  </si>
  <si>
    <t xml:space="preserve">Terminal value at year 5</t>
  </si>
  <si>
    <t xml:space="preserve">Year-5 FCF × (1+g) ÷ (WACC − g). The value of everything after year 5.</t>
  </si>
  <si>
    <t xml:space="preserve">Present value of terminal value</t>
  </si>
  <si>
    <t xml:space="preserve">Discounted at the YEAR-5 factor (a common error is using a smaller number of years).</t>
  </si>
  <si>
    <t xml:space="preserve">Enterprise value</t>
  </si>
  <si>
    <t xml:space="preserve">Less: net debt</t>
  </si>
  <si>
    <t xml:space="preserve">From Step 2. Use the SAME net debt figure everywhere.</t>
  </si>
  <si>
    <t xml:space="preserve">Equity value</t>
  </si>
  <si>
    <t xml:space="preserve">Method 2 value per share</t>
  </si>
  <si>
    <t xml:space="preserve">Equity value (millions) ÷ shares (millions) = value per share.</t>
  </si>
  <si>
    <t xml:space="preserve">Terminal value as % of EV</t>
  </si>
  <si>
    <t xml:space="preserve">Above 75% means the answer depends mostly on your long-term guess. Be careful.</t>
  </si>
  <si>
    <t xml:space="preserve">D. Method 3 — EV / EBITDA multiple</t>
  </si>
  <si>
    <t xml:space="preserve">Next-year EBITDA (latest × (1 + year-1 growth))</t>
  </si>
  <si>
    <t xml:space="preserve">Target EV / EBITDA multiple</t>
  </si>
  <si>
    <t xml:space="preserve">Start from peer median; justify adjustments.</t>
  </si>
  <si>
    <t xml:space="preserve">Implied enterprise value</t>
  </si>
  <si>
    <t xml:space="preserve">Method 3 value per share</t>
  </si>
  <si>
    <t xml:space="preserve">E. Blended target price</t>
  </si>
  <si>
    <t xml:space="preserve">Method</t>
  </si>
  <si>
    <t xml:space="preserve">Value per share</t>
  </si>
  <si>
    <t xml:space="preserve">vs current price</t>
  </si>
  <si>
    <t xml:space="preserve">Weight</t>
  </si>
  <si>
    <t xml:space="preserve">Weight used</t>
  </si>
  <si>
    <t xml:space="preserve">Contribution</t>
  </si>
  <si>
    <t xml:space="preserve">1. Forward P/E</t>
  </si>
  <si>
    <t xml:space="preserve">2. DCF</t>
  </si>
  <si>
    <t xml:space="preserve">3. EV / EBITDA</t>
  </si>
  <si>
    <t xml:space="preserve">BLENDED TARGET PRICE</t>
  </si>
  <si>
    <t xml:space="preserve">If a method is blank, its weight is shared among the others.</t>
  </si>
  <si>
    <t xml:space="preserve">Why these weights? (one sentence)</t>
  </si>
  <si>
    <t xml:space="preserve">F. Scenarios — what if you're wrong?</t>
  </si>
  <si>
    <t xml:space="preserve">Scenario</t>
  </si>
  <si>
    <t xml:space="preserve">Price</t>
  </si>
  <si>
    <t xml:space="preserve">vs current</t>
  </si>
  <si>
    <t xml:space="preserve">Probability</t>
  </si>
  <si>
    <t xml:space="preserve">What has to happen (write it)</t>
  </si>
  <si>
    <t xml:space="preserve">Bear (things go wrong)</t>
  </si>
  <si>
    <t xml:space="preserve">Base (blended target)</t>
  </si>
  <si>
    <t xml:space="preserve">Bull (things go right)</t>
  </si>
  <si>
    <t xml:space="preserve">Probability-weighted value</t>
  </si>
  <si>
    <t xml:space="preserve">Upside ÷ downside (bull gain ÷ bear loss)</t>
  </si>
  <si>
    <t xml:space="preserve">2x or more = you can make twice what you could lose. Good risk/reward.</t>
  </si>
  <si>
    <t xml:space="preserve">G. DCF sensitivity — value per share if WACC (down) or terminal growth (across) is different</t>
  </si>
  <si>
    <t xml:space="preserve">WACC ↓  /  growth →</t>
  </si>
  <si>
    <t xml:space="preserve">Green = above today's price, red = below. If most cells are green, your upside doesn't depend on one lucky assumption.</t>
  </si>
  <si>
    <t xml:space="preserve">H. Valuation sanity checks — fix every FLAG before you submit</t>
  </si>
  <si>
    <t xml:space="preserve">Check</t>
  </si>
  <si>
    <t xml:space="preserve">Result</t>
  </si>
  <si>
    <t xml:space="preserve">Method weights add up to 100%</t>
  </si>
  <si>
    <t xml:space="preserve">Weights must total 100%.</t>
  </si>
  <si>
    <t xml:space="preserve">WACC is higher than terminal growth</t>
  </si>
  <si>
    <t xml:space="preserve">Otherwise the DCF formula breaks (infinite value).</t>
  </si>
  <si>
    <t xml:space="preserve">Terminal value ≤ 75% of EV</t>
  </si>
  <si>
    <t xml:space="preserve">Otherwise value depends mostly on far-future guesses.</t>
  </si>
  <si>
    <t xml:space="preserve">Terminal growth ≤ 5%</t>
  </si>
  <si>
    <t xml:space="preserve">No company grows faster than the economy forever.</t>
  </si>
  <si>
    <t xml:space="preserve">FCF margin within 10 points of latest actual</t>
  </si>
  <si>
    <t xml:space="preserve">Big jumps need a clear reason.</t>
  </si>
  <si>
    <t xml:space="preserve">Market cap matches published figure</t>
  </si>
  <si>
    <t xml:space="preserve">Catches cents-vs-Rand and millions-vs-billions mistakes.</t>
  </si>
  <si>
    <t xml:space="preserve">Price is less than 7 days old</t>
  </si>
  <si>
    <t xml:space="preserve">Upside is meaningless with a stale price.</t>
  </si>
  <si>
    <t xml:space="preserve">Target within ±50% of consensus target</t>
  </si>
  <si>
    <t xml:space="preserve">Not wrong if outside — but you must explain why you differ so much.</t>
  </si>
  <si>
    <t xml:space="preserve">Peers compared on the same basis (all forward)</t>
  </si>
  <si>
    <t xml:space="preserve">Don't mix trailing and forward multiples. Tick when done.</t>
  </si>
  <si>
    <t xml:space="preserve">Step 5 — Rating Summary: BUY / HOLD / SELL</t>
  </si>
  <si>
    <t xml:space="preserve">Calculated from your checklist scores and target price. Then write your thesis in your own words.</t>
  </si>
  <si>
    <t xml:space="preserve">Company</t>
  </si>
  <si>
    <t xml:space="preserve">Analyst / reviewer</t>
  </si>
  <si>
    <t xml:space="preserve">Section scores</t>
  </si>
  <si>
    <t xml:space="preserve">Code</t>
  </si>
  <si>
    <t xml:space="preserve">Items</t>
  </si>
  <si>
    <t xml:space="preserve">Scored</t>
  </si>
  <si>
    <t xml:space="preserve">Average (1–5)</t>
  </si>
  <si>
    <t xml:space="preserve">Weighted</t>
  </si>
  <si>
    <t xml:space="preserve">Total</t>
  </si>
  <si>
    <t xml:space="preserve">Rating rules (set by the senior analyst — don't change without approval)</t>
  </si>
  <si>
    <t xml:space="preserve">BUY needs upside of at least</t>
  </si>
  <si>
    <t xml:space="preserve">…AND an overall score of at least</t>
  </si>
  <si>
    <t xml:space="preserve">SELL if downside is</t>
  </si>
  <si>
    <t xml:space="preserve">…OR the overall score is below</t>
  </si>
  <si>
    <t xml:space="preserve">A critical item (B3, F1, G2, G4) scored this or lower blocks a BUY</t>
  </si>
  <si>
    <t xml:space="preserve">Share of items you must score before a rating appears</t>
  </si>
  <si>
    <t xml:space="preserve">Blended target price</t>
  </si>
  <si>
    <t xml:space="preserve">Upside / (downside)</t>
  </si>
  <si>
    <t xml:space="preserve">Overall score (1–5)</t>
  </si>
  <si>
    <t xml:space="preserve">Critical items at or below the threshold</t>
  </si>
  <si>
    <t xml:space="preserve">Checklist progress</t>
  </si>
  <si>
    <t xml:space="preserve">RATING</t>
  </si>
  <si>
    <t xml:space="preserve">Conviction</t>
  </si>
  <si>
    <t xml:space="preserve">Why this rating</t>
  </si>
  <si>
    <t xml:space="preserve">Write it up — in your own words</t>
  </si>
  <si>
    <t xml:space="preserve">My investment thesis (3 sentences)</t>
  </si>
  <si>
    <t xml:space="preserve">Top 3 reasons for the rating</t>
  </si>
  <si>
    <t xml:space="preserve">Top 3 risks</t>
  </si>
  <si>
    <t xml:space="preserve">What would make me change my mind?</t>
  </si>
  <si>
    <t xml:space="preserve">What I'm unsure about / need help with</t>
  </si>
  <si>
    <t xml:space="preserve">Override? (only with reviewer approval)</t>
  </si>
  <si>
    <t xml:space="preserve">Sign-off</t>
  </si>
  <si>
    <t xml:space="preserve">Name</t>
  </si>
  <si>
    <t xml:space="preserve">Date</t>
  </si>
  <si>
    <t xml:space="preserve">Comments</t>
  </si>
  <si>
    <t xml:space="preserve">Prepared by (analyst)</t>
  </si>
  <si>
    <t xml:space="preserve">Reviewed by (senior analyst)</t>
  </si>
  <si>
    <t xml:space="preserve">Approved (portfolio manager / IC)</t>
  </si>
  <si>
    <t xml:space="preserve">Fundamentals Scorecard — one-page ratio check</t>
  </si>
  <si>
    <t xml:space="preserve">Every ratio fills in automatically from Steps 1, 2 and 4. GREAT / OK / WEAK flags compare each value with the limits in columns G–H (editable, blue). Use the Override column only to correct a distorted value — and say why.</t>
  </si>
  <si>
    <t xml:space="preserve">GREAT</t>
  </si>
  <si>
    <t xml:space="preserve">Health score</t>
  </si>
  <si>
    <t xml:space="preserve">Health score = (2 × GREAT + 1 × OK) ÷ (2 × ratios assessed). STRONG ≥ 70%, MIXED 45–70%, WEAK &lt; 45%.</t>
  </si>
  <si>
    <t xml:space="preserve">Price / date</t>
  </si>
  <si>
    <t xml:space="preserve">OK</t>
  </si>
  <si>
    <t xml:space="preserve">Verdict</t>
  </si>
  <si>
    <t xml:space="preserve">This is a screen, not a rating — the BUY / HOLD / SELL call is on Step 5.</t>
  </si>
  <si>
    <t xml:space="preserve">Currency / units</t>
  </si>
  <si>
    <t xml:space="preserve">WEAK</t>
  </si>
  <si>
    <t xml:space="preserve">Ratios assessed</t>
  </si>
  <si>
    <t xml:space="preserve">Category</t>
  </si>
  <si>
    <t xml:space="preserve">How it's calculated</t>
  </si>
  <si>
    <t xml:space="preserve">Value</t>
  </si>
  <si>
    <t xml:space="preserve">Override</t>
  </si>
  <si>
    <t xml:space="preserve">Better if</t>
  </si>
  <si>
    <t xml:space="preserve">GREAT if</t>
  </si>
  <si>
    <t xml:space="preserve">WEAK if</t>
  </si>
  <si>
    <t xml:space="preserve">Flag</t>
  </si>
  <si>
    <t xml:space="preserve">Valuation</t>
  </si>
  <si>
    <t xml:space="preserve">Price ÷ next-12-month EPS</t>
  </si>
  <si>
    <t xml:space="preserve">Lower</t>
  </si>
  <si>
    <t xml:space="preserve">Years of next year's profit you pay. Lower = cheaper (compare with peers).</t>
  </si>
  <si>
    <t xml:space="preserve">Price ÷ last 12 months' EPS</t>
  </si>
  <si>
    <t xml:space="preserve">Same, on actual (not forecast) earnings.</t>
  </si>
  <si>
    <t xml:space="preserve">PEG ratio</t>
  </si>
  <si>
    <t xml:space="preserve">Forward P/E ÷ 3-yr EPS growth (%)</t>
  </si>
  <si>
    <t xml:space="preserve">P/E adjusted for growth. Below 1 = paying little for the growth.</t>
  </si>
  <si>
    <t xml:space="preserve">Enterprise value ÷ EBITDA</t>
  </si>
  <si>
    <t xml:space="preserve">Valuation including debt. Good for comparing companies with different debt.</t>
  </si>
  <si>
    <t xml:space="preserve">Market cap ÷ shareholders' equity</t>
  </si>
  <si>
    <t xml:space="preserve">Key for banks/insurers. Less useful for software (buybacks shrink equity).</t>
  </si>
  <si>
    <t xml:space="preserve">Free cash flow ÷ market cap</t>
  </si>
  <si>
    <t xml:space="preserve">Higher</t>
  </si>
  <si>
    <t xml:space="preserve">The cash 'interest rate' the business earns on its price.</t>
  </si>
  <si>
    <t xml:space="preserve">Earnings yield − bond yield</t>
  </si>
  <si>
    <t xml:space="preserve">(1 ÷ forward P/E) − risk-free rate</t>
  </si>
  <si>
    <t xml:space="preserve">Extra return over a government bond. Negative = bonds pay more than the shares earn.</t>
  </si>
  <si>
    <t xml:space="preserve">Blended target ÷ price − 1</t>
  </si>
  <si>
    <t xml:space="preserve">From Step 4. Drives the rating.</t>
  </si>
  <si>
    <t xml:space="preserve">Growth</t>
  </si>
  <si>
    <t xml:space="preserve">Latest revenue ÷ prior year − 1</t>
  </si>
  <si>
    <t xml:space="preserve">How fast sales grow. Compare with inflation and peers.</t>
  </si>
  <si>
    <t xml:space="preserve">Revenue growth, 3-yr CAGR</t>
  </si>
  <si>
    <t xml:space="preserve">(Latest ÷ 3 years ago)^(1/3) − 1</t>
  </si>
  <si>
    <t xml:space="preserve">Smooths out one-off years.</t>
  </si>
  <si>
    <t xml:space="preserve">Latest EPS ÷ prior year − 1</t>
  </si>
  <si>
    <t xml:space="preserve">Growth in profit per share.</t>
  </si>
  <si>
    <t xml:space="preserve">EPS growth, 3-yr CAGR</t>
  </si>
  <si>
    <t xml:space="preserve">Profitability</t>
  </si>
  <si>
    <t xml:space="preserve">Gross profit ÷ revenue</t>
  </si>
  <si>
    <t xml:space="preserve">Pricing power. Industry-dependent: retail ~25% is normal.</t>
  </si>
  <si>
    <t xml:space="preserve">Operating profit ÷ revenue</t>
  </si>
  <si>
    <t xml:space="preserve">Efficiency of the whole business.</t>
  </si>
  <si>
    <t xml:space="preserve">Net income ÷ revenue</t>
  </si>
  <si>
    <t xml:space="preserve">Net income ÷ equity</t>
  </si>
  <si>
    <t xml:space="preserve">Check it isn't driven by high debt.</t>
  </si>
  <si>
    <t xml:space="preserve">EBIT × (1 − tax) ÷ (debt + equity − cash)</t>
  </si>
  <si>
    <t xml:space="preserve">The best single measure of business quality.</t>
  </si>
  <si>
    <t xml:space="preserve">ROIC − WACC spread</t>
  </si>
  <si>
    <t xml:space="preserve">ROIC minus cost of capital</t>
  </si>
  <si>
    <t xml:space="preserve">Positive = creates value as it grows. Negative = growth destroys value.</t>
  </si>
  <si>
    <t xml:space="preserve">Cash flow</t>
  </si>
  <si>
    <t xml:space="preserve">Free cash flow ÷ revenue</t>
  </si>
  <si>
    <t xml:space="preserve">Share of sales that becomes free cash.</t>
  </si>
  <si>
    <t xml:space="preserve">Free cash flow ÷ net income</t>
  </si>
  <si>
    <t xml:space="preserve">Is profit real cash? Low for years = red flag.</t>
  </si>
  <si>
    <t xml:space="preserve">Capex intensity</t>
  </si>
  <si>
    <t xml:space="preserve">Capex ÷ revenue</t>
  </si>
  <si>
    <t xml:space="preserve">Reinvestment needed to stand still.</t>
  </si>
  <si>
    <t xml:space="preserve">Stock comp ÷ revenue</t>
  </si>
  <si>
    <t xml:space="preserve">A real cost paid in shares (dilution).</t>
  </si>
  <si>
    <t xml:space="preserve">Balance sheet</t>
  </si>
  <si>
    <t xml:space="preserve">(Debt − cash) ÷ EBITDA</t>
  </si>
  <si>
    <t xml:space="preserve">Years of EBITDA to repay debt. Negative = net cash.</t>
  </si>
  <si>
    <t xml:space="preserve">Debt ÷ equity</t>
  </si>
  <si>
    <t xml:space="preserve">Total debt ÷ equity</t>
  </si>
  <si>
    <t xml:space="preserve">Gearing. Buybacks can inflate it.</t>
  </si>
  <si>
    <t xml:space="preserve">EBIT ÷ interest expense</t>
  </si>
  <si>
    <t xml:space="preserve">Safety margin on interest payments.</t>
  </si>
  <si>
    <t xml:space="preserve">Current assets ÷ current liabilities</t>
  </si>
  <si>
    <t xml:space="preserve">Short-term liquidity. &lt;1x can be fine if due to customer prepayments.</t>
  </si>
  <si>
    <t xml:space="preserve">Shareholders</t>
  </si>
  <si>
    <t xml:space="preserve">Change in share count</t>
  </si>
  <si>
    <t xml:space="preserve">Shares ÷ prior year − 1</t>
  </si>
  <si>
    <t xml:space="preserve">Negative = buybacks; positive = dilution.</t>
  </si>
  <si>
    <t xml:space="preserve">Payout ÷ FCF</t>
  </si>
  <si>
    <t xml:space="preserve">(Dividends + buybacks) ÷ FCF</t>
  </si>
  <si>
    <t xml:space="preserve">Above 100% = paying out more cash than it makes.</t>
  </si>
  <si>
    <t xml:space="preserve">Dividend per share ÷ price</t>
  </si>
  <si>
    <t xml:space="preserve">Income return. No dividend shows n/a — fine for companies returning cash through buybacks.</t>
  </si>
  <si>
    <t xml:space="preserve">Risk</t>
  </si>
  <si>
    <t xml:space="preserve">Share volatility vs the market</t>
  </si>
  <si>
    <t xml:space="preserve">Above 1 = moves more than the market.</t>
  </si>
  <si>
    <t xml:space="preserve">• Limits are general rules of thumb for non-financial companies — the senior analyst should adjust them by sector (e.g. retail gross margins ~25% are normal; miners have high capex).</t>
  </si>
  <si>
    <t xml:space="preserve">• Banks &amp; insurers: ignore gross margin, EBITDA, current ratio and net debt rows — use ROE, price/book, cost-to-income and capital ratios instead.</t>
  </si>
  <si>
    <t xml:space="preserve">• Always compare valuation ratios with peers (Step 4, section A): a P/E of 20x is cheap for a 25%-grower and expensive for a 3%-grower — that's what the PEG ratio is for.</t>
  </si>
  <si>
    <t xml:space="preserve">• Orange Override cell = a value typed over the automatic one. Write the reason in the notes on the Checklist.</t>
  </si>
  <si>
    <t xml:space="preserve">Fundamentals decide WHAT to own. This page decides WHEN and HOW MUCH. It never changes the BUY / HOLD / SELL rating. Take inputs from any charting site (TradingView, Sharenet, Yahoo Finance) on the same date as the share price.</t>
  </si>
  <si>
    <t xml:space="preserve">A.  Chart inputs (yellow) — same date as the share price</t>
  </si>
  <si>
    <t xml:space="preserve">#</t>
  </si>
  <si>
    <t xml:space="preserve">Input</t>
  </si>
  <si>
    <t xml:space="preserve">Where to find it / tip</t>
  </si>
  <si>
    <t xml:space="preserve">Share price (from Step 1)</t>
  </si>
  <si>
    <t xml:space="preserve">Linked. Must be the same date as the chart data.</t>
  </si>
  <si>
    <t xml:space="preserve">50-day moving average</t>
  </si>
  <si>
    <t xml:space="preserve">Average closing price of the last 50 trading days (~2½ months).</t>
  </si>
  <si>
    <t xml:space="preserve">200-day moving average</t>
  </si>
  <si>
    <t xml:space="preserve">Average of the last 200 trading days (~10 months). The main long-term trend line.</t>
  </si>
  <si>
    <t xml:space="preserve">200-day average, one month ago</t>
  </si>
  <si>
    <t xml:space="preserve">Tells you whether the long-term trend line is rising or falling.</t>
  </si>
  <si>
    <t xml:space="preserve">RSI (14-day)</t>
  </si>
  <si>
    <t xml:space="preserve">0–100. Above 70 = rose too far, too fast. Below 30 = fell too far, too fast.</t>
  </si>
  <si>
    <t xml:space="preserve">Share price 6 months ago</t>
  </si>
  <si>
    <t xml:space="preserve">From the price history table.</t>
  </si>
  <si>
    <t xml:space="preserve">Share price 12 months ago</t>
  </si>
  <si>
    <t xml:space="preserve">Benchmark index</t>
  </si>
  <si>
    <t xml:space="preserve">JSE All Share (J203) for SA shares; S&amp;P 500 for US shares.</t>
  </si>
  <si>
    <t xml:space="preserve">Index return over 6 months</t>
  </si>
  <si>
    <t xml:space="preserve">e.g. 0.05 = +5%.</t>
  </si>
  <si>
    <t xml:space="preserve">Index return over 12 months</t>
  </si>
  <si>
    <t xml:space="preserve">Average daily value traded, 3 months (millions)</t>
  </si>
  <si>
    <t xml:space="preserve">Average daily volume × price, in the reporting currency, millions.</t>
  </si>
  <si>
    <t xml:space="preserve">Planned position size (millions)</t>
  </si>
  <si>
    <t xml:space="preserve">Ask the PM. Same currency, millions.</t>
  </si>
  <si>
    <t xml:space="preserve">Key support level</t>
  </si>
  <si>
    <t xml:space="preserve">A recent price floor where buyers stepped in (e.g. last major low).</t>
  </si>
  <si>
    <t xml:space="preserve">Key resistance level</t>
  </si>
  <si>
    <t xml:space="preserve">A recent ceiling where the price kept failing.</t>
  </si>
  <si>
    <t xml:space="preserve">Next results / major event date</t>
  </si>
  <si>
    <t xml:space="preserve">Results, trading statement, AGM or deal vote.</t>
  </si>
  <si>
    <t xml:space="preserve">RULE: buffer below support for review level</t>
  </si>
  <si>
    <t xml:space="preserve">Senior analyst sets this. Default 3%.</t>
  </si>
  <si>
    <t xml:space="preserve">RULE: max share of daily volume we trade</t>
  </si>
  <si>
    <t xml:space="preserve">Senior analyst sets this. Default 20%.</t>
  </si>
  <si>
    <t xml:space="preserve">B.  Technical entry rules — look at the chart, then tick each rule yourself:  ✔ = met   ✘ = not met   N/A = not relevant</t>
  </si>
  <si>
    <t xml:space="preserve">Rule (for a BUY entry)</t>
  </si>
  <si>
    <t xml:space="preserve">Data says</t>
  </si>
  <si>
    <t xml:space="preserve">YOUR TICK</t>
  </si>
  <si>
    <t xml:space="preserve">Must pass</t>
  </si>
  <si>
    <t xml:space="preserve">How to check on the chart</t>
  </si>
  <si>
    <t xml:space="preserve">Price is ABOVE the 200-day moving average</t>
  </si>
  <si>
    <t xml:space="preserve">☐</t>
  </si>
  <si>
    <t xml:space="preserve">Is the price line above the slow (200-day) line?</t>
  </si>
  <si>
    <t xml:space="preserve">200-day average is FLAT or RISING (not falling)</t>
  </si>
  <si>
    <t xml:space="preserve">Compare the 200-day line today vs a month ago.</t>
  </si>
  <si>
    <t xml:space="preserve">50-day average is ABOVE the 200-day average</t>
  </si>
  <si>
    <t xml:space="preserve">Fast line above slow line = 'golden cross'.</t>
  </si>
  <si>
    <t xml:space="preserve">Price is NOT stretched: within 15% of the 50-day average</t>
  </si>
  <si>
    <t xml:space="preserve">Big gap above the 50-day line = chasing; wait.</t>
  </si>
  <si>
    <t xml:space="preserve">RSI between 30 and 70 (not overbought / oversold)</t>
  </si>
  <si>
    <t xml:space="preserve">RSI panel under the chart.</t>
  </si>
  <si>
    <t xml:space="preserve">Share has BEATEN the index over 6 months</t>
  </si>
  <si>
    <t xml:space="preserve">Compare the share's 6-month % with the index.</t>
  </si>
  <si>
    <t xml:space="preserve">Upper half of 52-week range, OR a clear base / higher low</t>
  </si>
  <si>
    <t xml:space="preserve">Data only checks the range — a visible higher low on the chart also counts as met.</t>
  </si>
  <si>
    <t xml:space="preserve">Volume confirms: up-days on heavier volume than down-days (last month)</t>
  </si>
  <si>
    <t xml:space="preserve">judgement</t>
  </si>
  <si>
    <t xml:space="preserve">Look at the volume bars. Judgement only — no data check.</t>
  </si>
  <si>
    <t xml:space="preserve">Price is ABOVE the review level (support − buffer)</t>
  </si>
  <si>
    <t xml:space="preserve">Below the review level = thesis under question. Never buy.</t>
  </si>
  <si>
    <t xml:space="preserve">Reward ÷ risk to target is at least 3x</t>
  </si>
  <si>
    <t xml:space="preserve">Gain to target ÷ loss to review level.</t>
  </si>
  <si>
    <t xml:space="preserve">Position can be built in 5 days at ≤ max share of daily volume</t>
  </si>
  <si>
    <t xml:space="preserve">Days = position ÷ (daily value × max share).</t>
  </si>
  <si>
    <t xml:space="preserve">No results / major event in the next 2 weeks</t>
  </si>
  <si>
    <t xml:space="preserve">Check the results calendar and SENS / news.</t>
  </si>
  <si>
    <t xml:space="preserve">⚠ = your tick disagrees with the data — check the chart again and explain in the chart notes. Must pass = Y: a ✘ on this rule blocks clearance, whatever the score.</t>
  </si>
  <si>
    <t xml:space="preserve">C.  Technical score &amp; execution clearance (reacts to your ticks)</t>
  </si>
  <si>
    <t xml:space="preserve">RULE: score needed for clearance</t>
  </si>
  <si>
    <t xml:space="preserve">Set by the senior analyst / PM.</t>
  </si>
  <si>
    <t xml:space="preserve">Rules met (✔)</t>
  </si>
  <si>
    <t xml:space="preserve">Rules not met (✘)</t>
  </si>
  <si>
    <t xml:space="preserve">Not relevant (N/A)</t>
  </si>
  <si>
    <t xml:space="preserve">Still to tick (☐)</t>
  </si>
  <si>
    <t xml:space="preserve">Must-pass rules failed</t>
  </si>
  <si>
    <t xml:space="preserve">TECHNICAL SCORE  (met ÷ applicable)</t>
  </si>
  <si>
    <t xml:space="preserve">TECHNICAL CLEARANCE</t>
  </si>
  <si>
    <t xml:space="preserve">EXECUTION INSTRUCTION</t>
  </si>
  <si>
    <t xml:space="preserve">Trend (from data, for reference)</t>
  </si>
  <si>
    <t xml:space="preserve">Review level:</t>
  </si>
  <si>
    <t xml:space="preserve">Entry zone:</t>
  </si>
  <si>
    <t xml:space="preserve">D.  Execution ticket — for the technical trader / executor</t>
  </si>
  <si>
    <t xml:space="preserve">Stock / action</t>
  </si>
  <si>
    <t xml:space="preserve">First order size (% of planned position)</t>
  </si>
  <si>
    <t xml:space="preserve">First order value (millions)</t>
  </si>
  <si>
    <t xml:space="preserve">Entry zone (buy) / reference price</t>
  </si>
  <si>
    <t xml:space="preserve">Review / stop level</t>
  </si>
  <si>
    <t xml:space="preserve">Max share of daily volume per day</t>
  </si>
  <si>
    <t xml:space="preserve">Clearance valid until</t>
  </si>
  <si>
    <t xml:space="preserve">Analyst (cleared by) — name &amp; date</t>
  </si>
  <si>
    <t xml:space="preserve">Trader (executed by) — name, date &amp; avg price</t>
  </si>
  <si>
    <t xml:space="preserve">After the 'valid until' date, re-check the chart and re-tick before trading. A close below the review level forces a thesis review within 2 days (not an automatic sale).</t>
  </si>
  <si>
    <t xml:space="preserve">E.  Price chart — paste a 12-month chart with the 50- and 200-day averages, support and review level marked</t>
  </si>
  <si>
    <t xml:space="preserve">Paste chart here
(screenshot from TradingView / Sharenet / Yahoo: 1-year daily chart, 50- &amp; 200-day moving averages, RSI, volume)
Insert ▸ Pictures, or Ctrl+V, then resize to fit this box</t>
  </si>
  <si>
    <t xml:space="preserve">Chart date / source / notes</t>
  </si>
  <si>
    <t xml:space="preserve">OUR VIEW</t>
  </si>
  <si>
    <t xml:space="preserve">Share price today</t>
  </si>
  <si>
    <t xml:space="preserve">In one sentence</t>
  </si>
  <si>
    <t xml:space="preserve">What we think it's worth</t>
  </si>
  <si>
    <t xml:space="preserve">[One plain sentence: what kind of company, is it good, is it cheap, what's the catch.]</t>
  </si>
  <si>
    <t xml:space="preserve">Possible gain / (loss)</t>
  </si>
  <si>
    <t xml:space="preserve">Business health check</t>
  </si>
  <si>
    <t xml:space="preserve">1.  What does the company do?</t>
  </si>
  <si>
    <t xml:space="preserve">[2–3 sentences anyone can follow: what it sells, who pays, how it earns money. Use an everyday comparison.]</t>
  </si>
  <si>
    <t xml:space="preserve">2.  Why we like it</t>
  </si>
  <si>
    <t xml:space="preserve">[Reason 1 — in plain words, with one number.]</t>
  </si>
  <si>
    <t xml:space="preserve">[Reason 2 — in plain words, with one number.]</t>
  </si>
  <si>
    <t xml:space="preserve">[Reason 3 — in plain words, with one number.]</t>
  </si>
  <si>
    <t xml:space="preserve">3.  What worries us</t>
  </si>
  <si>
    <t xml:space="preserve">[Risk 1 — what could go wrong and why it matters.]</t>
  </si>
  <si>
    <t xml:space="preserve">[Risk 2 — what could go wrong and why it matters.]</t>
  </si>
  <si>
    <t xml:space="preserve">[Risk 3 — what could go wrong and why it matters.]</t>
  </si>
  <si>
    <t xml:space="preserve">4.  Is the share cheap?</t>
  </si>
  <si>
    <t xml:space="preserve">5.  What could happen to the share price?</t>
  </si>
  <si>
    <t xml:space="preserve">Gain / (loss)</t>
  </si>
  <si>
    <t xml:space="preserve">What would need to happen</t>
  </si>
  <si>
    <t xml:space="preserve">Bad case</t>
  </si>
  <si>
    <t xml:space="preserve">[In plain words]</t>
  </si>
  <si>
    <t xml:space="preserve">Our base case</t>
  </si>
  <si>
    <t xml:space="preserve">Good case</t>
  </si>
  <si>
    <t xml:space="preserve">6.  Why this rating?</t>
  </si>
  <si>
    <t xml:space="preserve">[Explain the rating in 3–4 plain sentences: the value gap, the main reason for any caution, and what it means for someone who owns / doesn't own the share.]</t>
  </si>
  <si>
    <t xml:space="preserve">7.  What to watch next</t>
  </si>
  <si>
    <t xml:space="preserve">[Event / sign 1, with a date if possible.]</t>
  </si>
  <si>
    <t xml:space="preserve">[Event / sign 2, with a date if possible.]</t>
  </si>
  <si>
    <t xml:space="preserve">[Event / sign 3, with a date if possible.]</t>
  </si>
  <si>
    <t xml:space="preserve">8.  Key facts in plain English</t>
  </si>
  <si>
    <t xml:space="preserve">Sales (last 12 months)</t>
  </si>
  <si>
    <t xml:space="preserve">Spare cash kept per 100 of sales</t>
  </si>
  <si>
    <t xml:space="preserve">Debt</t>
  </si>
  <si>
    <t xml:space="preserve">How bumpy is the share?</t>
  </si>
  <si>
    <t xml:space="preserve">Dividend</t>
  </si>
  <si>
    <t xml:space="preserve">Ratio health check</t>
  </si>
  <si>
    <t xml:space="preserve">Words you might not know</t>
  </si>
  <si>
    <t xml:space="preserve">Share price: what one share costs today.   Fair value / target: what we think one share is really worth.   P/E ratio: share price ÷ profit per share — roughly how many years of today's profit you are paying for.   Free cash flow: cash left over after paying all bills and investing in the business.   Share buyback: the company buys its own shares, so each remaining share owns a bigger slice.</t>
  </si>
  <si>
    <t xml:space="preserve">BUY = we expect a gain of 15% or more and the business passes our quality checks.   HOLD = worth owning, but the expected gain is smaller or there is a risk we want to see resolved first.   SELL = we expect the price to fall 10% or more, or quality is poor.</t>
  </si>
  <si>
    <t xml:space="preserve">General information only — not personal financial advice. Think about your own goals and how much risk you can take, never put all your money into one share, and speak to a registered financial adviser if you are unsure.</t>
  </si>
  <si>
    <t xml:space="preserve">Company logo
(Insert ▸ Pictures,
place in this box)</t>
  </si>
  <si>
    <t xml:space="preserve">Rating</t>
  </si>
  <si>
    <t xml:space="preserve">Target price</t>
  </si>
  <si>
    <t xml:space="preserve">Share price</t>
  </si>
  <si>
    <t xml:space="preserve">Upside</t>
  </si>
  <si>
    <t xml:space="preserve">Prob-weighted</t>
  </si>
  <si>
    <t xml:space="preserve">Checklist score</t>
  </si>
  <si>
    <t xml:space="preserve">Ratio health</t>
  </si>
  <si>
    <t xml:space="preserve">Market cap (bn)</t>
  </si>
  <si>
    <t xml:space="preserve">EV (bn)</t>
  </si>
  <si>
    <t xml:space="preserve">Fwd P/E</t>
  </si>
  <si>
    <t xml:space="preserve">Peer fwd P/E</t>
  </si>
  <si>
    <t xml:space="preserve">Consensus PT</t>
  </si>
  <si>
    <t xml:space="preserve">1. Investment thesis</t>
  </si>
  <si>
    <t xml:space="preserve">[Thesis point 1: what is mispriced and why — lead with the number.]</t>
  </si>
  <si>
    <t xml:space="preserve">[Thesis point 2: what is mispriced and why — lead with the number.]</t>
  </si>
  <si>
    <t xml:space="preserve">[Thesis point 3: what is mispriced and why — lead with the number.]</t>
  </si>
  <si>
    <t xml:space="preserve">2. Valuation</t>
  </si>
  <si>
    <t xml:space="preserve">Value / share</t>
  </si>
  <si>
    <t xml:space="preserve">vs price</t>
  </si>
  <si>
    <t xml:space="preserve">Key assumptions</t>
  </si>
  <si>
    <t xml:space="preserve">Blended target</t>
  </si>
  <si>
    <t xml:space="preserve">3. Key financials</t>
  </si>
  <si>
    <t xml:space="preserve">4. Checklist scores (1–5)</t>
  </si>
  <si>
    <t xml:space="preserve">Score</t>
  </si>
  <si>
    <t xml:space="preserve">Diluted EPS</t>
  </si>
  <si>
    <t xml:space="preserve">Net debt / EBITDA</t>
  </si>
  <si>
    <t xml:space="preserve">Shareholder payout / FCF</t>
  </si>
  <si>
    <t xml:space="preserve">Shares (m)</t>
  </si>
  <si>
    <t xml:space="preserve">5. Key risks</t>
  </si>
  <si>
    <t xml:space="preserve">6. Catalysts &amp; what to watch</t>
  </si>
  <si>
    <t xml:space="preserve">[Risk A — what, how likely, signal to watch]</t>
  </si>
  <si>
    <t xml:space="preserve">[Catalyst 1 — event + date]</t>
  </si>
  <si>
    <t xml:space="preserve">[Risk B — what, how likely, signal to watch]</t>
  </si>
  <si>
    <t xml:space="preserve">[Catalyst 2 — event + date]</t>
  </si>
  <si>
    <t xml:space="preserve">[Risk C — what, how likely, signal to watch]</t>
  </si>
  <si>
    <t xml:space="preserve">[Catalyst 3 — event + date]</t>
  </si>
  <si>
    <t xml:space="preserve">7. What I checked &amp; open questions for my reviewer</t>
  </si>
  <si>
    <t xml:space="preserve">[What I verified, which figures I corrected, data I couldn't get.]</t>
  </si>
  <si>
    <t xml:space="preserve">[Questions where I need my reviewer's judgement.]</t>
  </si>
  <si>
    <t xml:space="preserve">BOTTOM LINE</t>
  </si>
  <si>
    <t xml:space="preserve">[4–5 sentences: the call, the one reason that matters most, what would make you upgrade/downgrade, and the timing. Write it so the PM could read only this box.]</t>
  </si>
  <si>
    <t xml:space="preserve">Internal research — prepared by a junior analyst for review. Not investment advice. All figures in the reporting currency; sources and page references are on the Checklist tab.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</si>
</sst>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yyyy\-mm\-dd"/>
    <numFmt numFmtId="166" formatCode="#,##0.00;\(#,##0.00\);\-"/>
    <numFmt numFmtId="167" formatCode="0.00"/>
    <numFmt numFmtId="168" formatCode="#,##0;\(#,##0\);\-"/>
    <numFmt numFmtId="169" formatCode="0.0\x;\(0.0&quot;x)&quot;;\-"/>
    <numFmt numFmtId="170" formatCode="0.0%;\(0.0%\);\-"/>
    <numFmt numFmtId="171" formatCode="0"/>
    <numFmt numFmtId="172" formatCode="#,##0.0;\(#,##0.0\);\-"/>
    <numFmt numFmtId="173" formatCode="0.0&quot; days&quot;"/>
    <numFmt numFmtId="174" formatCode="0.000"/>
    <numFmt numFmtId="175" formatCode="0%"/>
    <numFmt numFmtId="176" formatCode="&quot;≤ &quot;0.0\x;&quot;≤ -&quot;0.0\x"/>
    <numFmt numFmtId="177" formatCode="&quot;≥ &quot;0.0\x;&quot;≥ -&quot;0.0\x"/>
    <numFmt numFmtId="178" formatCode="&quot;≤ &quot;0.00;&quot;≤ -&quot;0.00"/>
    <numFmt numFmtId="179" formatCode="&quot;≥ &quot;0.00;&quot;≥ -&quot;0.00"/>
    <numFmt numFmtId="180" formatCode="&quot;≥ &quot;0.0%;&quot;≥ -&quot;0.0%"/>
    <numFmt numFmtId="181" formatCode="&quot;≤ &quot;0.0%;&quot;≤ -&quot;0.0%"/>
    <numFmt numFmtId="182" formatCode="0.0&quot; d&quot;"/>
    <numFmt numFmtId="183" formatCode="0&quot; d&quot;"/>
    <numFmt numFmtId="184" formatCode="d\ mmm\ yyyy"/>
    <numFmt numFmtId="185" formatCode="\+0.0%;\-0.0%"/>
    <numFmt numFmtId="186" formatCode="#,##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8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A6A6A6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6"/>
      <name val="Arial"/>
      <family val="0"/>
      <charset val="1"/>
    </font>
    <font>
      <sz val="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9"/>
      <color rgb="FF2E75B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FFFF00"/>
        <bgColor rgb="FFFFD966"/>
      </patternFill>
    </fill>
    <fill>
      <patternFill patternType="solid">
        <fgColor rgb="FF63BE7B"/>
        <bgColor rgb="FF70AD47"/>
      </patternFill>
    </fill>
    <fill>
      <patternFill patternType="solid">
        <fgColor rgb="FFFFD966"/>
        <bgColor rgb="FFFFEB84"/>
      </patternFill>
    </fill>
    <fill>
      <patternFill patternType="solid">
        <fgColor rgb="FFF8696B"/>
        <bgColor rgb="FFFF7C80"/>
      </patternFill>
    </fill>
    <fill>
      <patternFill patternType="solid">
        <fgColor rgb="FFC00000"/>
        <bgColor rgb="FF9C0006"/>
      </patternFill>
    </fill>
    <fill>
      <patternFill patternType="solid">
        <fgColor rgb="FFF8CBAD"/>
        <bgColor rgb="FFFFC7CE"/>
      </patternFill>
    </fill>
    <fill>
      <patternFill patternType="solid">
        <fgColor rgb="FFC6EFCE"/>
        <bgColor rgb="FFD9E1F2"/>
      </patternFill>
    </fill>
    <fill>
      <patternFill patternType="solid">
        <fgColor rgb="FFFCE4D6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dashed">
        <color rgb="FF8EA9DB"/>
      </left>
      <right style="dashed">
        <color rgb="FF8EA9DB"/>
      </right>
      <top style="dashed">
        <color rgb="FF8EA9DB"/>
      </top>
      <bottom style="dashed">
        <color rgb="FF8EA9DB"/>
      </bottom>
      <diagonal/>
    </border>
    <border diagonalUp="false" diagonalDown="false"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 diagonalUp="false" diagonalDown="false">
      <left/>
      <right/>
      <top style="medium">
        <color rgb="FFB08D57"/>
      </top>
      <bottom/>
      <diagonal/>
    </border>
    <border diagonalUp="false" diagonalDown="false">
      <left style="medium">
        <color rgb="FFC00000"/>
      </left>
      <right style="medium">
        <color rgb="FFC00000"/>
      </right>
      <top/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9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2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9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FFEB9C"/>
        </patternFill>
      </fill>
    </dxf>
    <dxf>
      <fill>
        <patternFill>
          <bgColor rgb="FFFF7C80"/>
        </patternFill>
      </fill>
    </dxf>
    <dxf>
      <fill>
        <patternFill>
          <bgColor rgb="FFEDEDED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8CBAD"/>
        </patternFill>
      </fill>
    </dxf>
    <dxf>
      <fill>
        <patternFill>
          <bgColor rgb="FF63BE7B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63BE7B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8696B"/>
        </patternFill>
      </fill>
    </dxf>
    <dxf>
      <font>
        <name val="Arial"/>
        <charset val="1"/>
        <family val="0"/>
        <b val="1"/>
        <color rgb="FF808080"/>
      </font>
      <fill>
        <patternFill>
          <bgColor rgb="FFEDEDED"/>
        </patternFill>
      </fill>
    </dxf>
    <dxf>
      <fill>
        <patternFill>
          <bgColor rgb="FFF4B183"/>
        </patternFill>
      </fill>
    </dxf>
    <dxf>
      <font>
        <name val="Arial"/>
        <charset val="1"/>
        <family val="0"/>
        <b val="1"/>
        <color rgb="FFFFFFFF"/>
        <sz val="12"/>
      </font>
      <fill>
        <patternFill>
          <bgColor rgb="FF63BE7B"/>
        </patternFill>
      </fill>
    </dxf>
    <dxf>
      <font>
        <name val="Arial"/>
        <charset val="1"/>
        <family val="0"/>
        <b val="1"/>
        <color rgb="FF000000"/>
        <sz val="12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FFFFFF"/>
        <sz val="12"/>
      </font>
      <fill>
        <patternFill>
          <bgColor rgb="FFF8696B"/>
        </patternFill>
      </fill>
    </dxf>
    <dxf>
      <font>
        <name val="Arial"/>
        <charset val="1"/>
        <family val="0"/>
        <b val="1"/>
        <color rgb="FF006100"/>
        <sz val="14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4"/>
      </font>
      <fill>
        <patternFill>
          <bgColor rgb="FFFFC7CE"/>
        </patternFill>
      </fill>
    </dxf>
    <dxf>
      <font>
        <name val="Arial"/>
        <charset val="1"/>
        <family val="0"/>
        <color rgb="FF808080"/>
        <sz val="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  <sz val="9"/>
      </font>
    </dxf>
    <dxf>
      <font>
        <name val="Arial"/>
        <charset val="1"/>
        <family val="0"/>
        <b val="1"/>
        <color rgb="FF9C0006"/>
        <sz val="9"/>
      </font>
    </dxf>
    <dxf>
      <fill>
        <patternFill>
          <bgColor rgb="FFA9D08E"/>
        </patternFill>
      </fill>
    </dxf>
    <dxf>
      <fill>
        <patternFill>
          <bgColor rgb="FFFFD96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FCE4D6"/>
      <rgbColor rgb="FF9C0006"/>
      <rgbColor rgb="FF008000"/>
      <rgbColor rgb="FF000080"/>
      <rgbColor rgb="FF7F6000"/>
      <rgbColor rgb="FF800080"/>
      <rgbColor rgb="FF5B9BD5"/>
      <rgbColor rgb="FFBFBFBF"/>
      <rgbColor rgb="FF808080"/>
      <rgbColor rgb="FF8EA9DB"/>
      <rgbColor rgb="FF7030A0"/>
      <rgbColor rgb="FFFFF2CC"/>
      <rgbColor rgb="FFF2F2F2"/>
      <rgbColor rgb="FF660066"/>
      <rgbColor rgb="FFFF7C80"/>
      <rgbColor rgb="FF0066CC"/>
      <rgbColor rgb="FFD9D9D9"/>
      <rgbColor rgb="FF000080"/>
      <rgbColor rgb="FFFF00FF"/>
      <rgbColor rgb="FFFFD966"/>
      <rgbColor rgb="FFFFEB84"/>
      <rgbColor rgb="FF800080"/>
      <rgbColor rgb="FF800000"/>
      <rgbColor rgb="FFA5A5A5"/>
      <rgbColor rgb="FF0000FF"/>
      <rgbColor rgb="FFD9E1F2"/>
      <rgbColor rgb="FFEDEDED"/>
      <rgbColor rgb="FFC6EFCE"/>
      <rgbColor rgb="FFFFEB9C"/>
      <rgbColor rgb="FFA9D08E"/>
      <rgbColor rgb="FFF4B183"/>
      <rgbColor rgb="FFA6A6A6"/>
      <rgbColor rgb="FFF8CBAD"/>
      <rgbColor rgb="FF2E75B6"/>
      <rgbColor rgb="FF63BE7B"/>
      <rgbColor rgb="FF70AD47"/>
      <rgbColor rgb="FFFFC000"/>
      <rgbColor rgb="FFF8696B"/>
      <rgbColor rgb="FFED7D31"/>
      <rgbColor rgb="FF595959"/>
      <rgbColor rgb="FF878787"/>
      <rgbColor rgb="FF1F3864"/>
      <rgbColor rgb="FF00B050"/>
      <rgbColor rgb="FF006100"/>
      <rgbColor rgb="FF333300"/>
      <rgbColor rgb="FFFFC7CE"/>
      <rgbColor rgb="FFB08D57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score by section (1–5)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'5. Rating Summary'!G8</c:f>
              <c:strCache>
                <c:ptCount val="1"/>
                <c:pt idx="0">
                  <c:v>Average (1–5)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Rating Summary'!$B$9:$B$18</c:f>
              <c:strCache>
                <c:ptCount val="10"/>
                <c:pt idx="0">
                  <c:v>A. Understand the business</c:v>
                </c:pt>
                <c:pt idx="1">
                  <c:v>B. Industry &amp; competition</c:v>
                </c:pt>
                <c:pt idx="2">
                  <c:v>C. Growth</c:v>
                </c:pt>
                <c:pt idx="3">
                  <c:v>D. Profitability</c:v>
                </c:pt>
                <c:pt idx="4">
                  <c:v>E. Cash flow</c:v>
                </c:pt>
                <c:pt idx="5">
                  <c:v>F. Balance sheet &amp; capital allocation</c:v>
                </c:pt>
                <c:pt idx="6">
                  <c:v>G. Management &amp; governance</c:v>
                </c:pt>
                <c:pt idx="7">
                  <c:v>H. Valuation</c:v>
                </c:pt>
                <c:pt idx="8">
                  <c:v>I. Catalysts &amp; market view</c:v>
                </c:pt>
                <c:pt idx="9">
                  <c:v>J. Risks (5 = LOW risk)</c:v>
                </c:pt>
              </c:strCache>
            </c:strRef>
          </c:cat>
          <c:val>
            <c:numRef>
              <c:f>'5. Rating Summary'!$G$9:$G$18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29723134"/>
        <c:axId val="64751180"/>
      </c:barChart>
      <c:catAx>
        <c:axId val="2972313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51180"/>
        <c:crosses val="autoZero"/>
        <c:auto val="1"/>
        <c:lblAlgn val="ctr"/>
        <c:lblOffset val="100"/>
        <c:noMultiLvlLbl val="0"/>
      </c:catAx>
      <c:valAx>
        <c:axId val="64751180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231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5</xdr:row>
      <xdr:rowOff>160560</xdr:rowOff>
    </xdr:from>
    <xdr:to>
      <xdr:col>17</xdr:col>
      <xdr:colOff>147600</xdr:colOff>
      <xdr:row>20</xdr:row>
      <xdr:rowOff>182880</xdr:rowOff>
    </xdr:to>
    <xdr:graphicFrame>
      <xdr:nvGraphicFramePr>
        <xdr:cNvPr id="0" name="Chart 1"/>
        <xdr:cNvGraphicFramePr/>
      </xdr:nvGraphicFramePr>
      <xdr:xfrm>
        <a:off x="8928720" y="1143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1275840</xdr:colOff>
      <xdr:row>0</xdr:row>
      <xdr:rowOff>837720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1275840" cy="837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23.8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23.85" hidden="false" customHeight="false" outlineLevel="0" collapsed="false">
      <c r="A10" s="5" t="s">
        <v>13</v>
      </c>
      <c r="B10" s="6" t="s">
        <v>14</v>
      </c>
    </row>
    <row r="11" customFormat="false" ht="23.85" hidden="false" customHeight="false" outlineLevel="0" collapsed="false">
      <c r="A11" s="5" t="s">
        <v>15</v>
      </c>
      <c r="B11" s="6" t="s">
        <v>16</v>
      </c>
    </row>
    <row r="12" customFormat="false" ht="23.85" hidden="false" customHeight="false" outlineLevel="0" collapsed="false">
      <c r="A12" s="5" t="s">
        <v>17</v>
      </c>
      <c r="B12" s="6" t="s">
        <v>18</v>
      </c>
    </row>
    <row r="13" customFormat="false" ht="23.85" hidden="false" customHeight="false" outlineLevel="0" collapsed="false">
      <c r="A13" s="5" t="s">
        <v>19</v>
      </c>
      <c r="B13" s="6" t="s">
        <v>20</v>
      </c>
    </row>
    <row r="14" customFormat="false" ht="15" hidden="false" customHeight="false" outlineLevel="0" collapsed="false">
      <c r="A14" s="5" t="s">
        <v>21</v>
      </c>
      <c r="B14" s="6" t="s">
        <v>22</v>
      </c>
    </row>
    <row r="16" customFormat="false" ht="15" hidden="false" customHeight="false" outlineLevel="0" collapsed="false">
      <c r="A16" s="3" t="s">
        <v>23</v>
      </c>
      <c r="B16" s="4"/>
    </row>
    <row r="17" customFormat="false" ht="15" hidden="false" customHeight="false" outlineLevel="0" collapsed="false">
      <c r="A17" s="5" t="s">
        <v>24</v>
      </c>
      <c r="B17" s="6" t="s">
        <v>25</v>
      </c>
    </row>
    <row r="18" customFormat="false" ht="15" hidden="false" customHeight="false" outlineLevel="0" collapsed="false">
      <c r="A18" s="5" t="s">
        <v>26</v>
      </c>
      <c r="B18" s="6" t="s">
        <v>27</v>
      </c>
    </row>
    <row r="19" customFormat="false" ht="15" hidden="false" customHeight="false" outlineLevel="0" collapsed="false">
      <c r="A19" s="5" t="s">
        <v>28</v>
      </c>
      <c r="B19" s="6" t="s">
        <v>29</v>
      </c>
    </row>
    <row r="20" customFormat="false" ht="15" hidden="false" customHeight="false" outlineLevel="0" collapsed="false">
      <c r="A20" s="5" t="s">
        <v>30</v>
      </c>
      <c r="B20" s="6" t="s">
        <v>31</v>
      </c>
    </row>
    <row r="22" customFormat="false" ht="15" hidden="false" customHeight="false" outlineLevel="0" collapsed="false">
      <c r="A22" s="3" t="s">
        <v>32</v>
      </c>
      <c r="B22" s="4"/>
    </row>
    <row r="23" customFormat="false" ht="15" hidden="false" customHeight="false" outlineLevel="0" collapsed="false">
      <c r="A23" s="5" t="s">
        <v>33</v>
      </c>
      <c r="B23" s="6" t="s">
        <v>34</v>
      </c>
    </row>
    <row r="24" customFormat="false" ht="15" hidden="false" customHeight="false" outlineLevel="0" collapsed="false">
      <c r="A24" s="5" t="s">
        <v>35</v>
      </c>
      <c r="B24" s="6" t="s">
        <v>36</v>
      </c>
    </row>
    <row r="25" customFormat="false" ht="15" hidden="false" customHeight="false" outlineLevel="0" collapsed="false">
      <c r="A25" s="5" t="s">
        <v>37</v>
      </c>
      <c r="B25" s="6" t="s">
        <v>38</v>
      </c>
    </row>
    <row r="26" customFormat="false" ht="15" hidden="false" customHeight="false" outlineLevel="0" collapsed="false">
      <c r="A26" s="5" t="s">
        <v>39</v>
      </c>
      <c r="B26" s="6" t="s">
        <v>40</v>
      </c>
    </row>
    <row r="27" customFormat="false" ht="15" hidden="false" customHeight="false" outlineLevel="0" collapsed="false">
      <c r="A27" s="5" t="s">
        <v>41</v>
      </c>
      <c r="B27" s="6" t="s">
        <v>42</v>
      </c>
    </row>
    <row r="28" customFormat="false" ht="15" hidden="false" customHeight="false" outlineLevel="0" collapsed="false">
      <c r="A28" s="5" t="s">
        <v>43</v>
      </c>
      <c r="B28" s="6" t="s">
        <v>44</v>
      </c>
    </row>
    <row r="29" customFormat="false" ht="15" hidden="false" customHeight="false" outlineLevel="0" collapsed="false">
      <c r="A29" s="5" t="s">
        <v>45</v>
      </c>
      <c r="B29" s="6" t="s">
        <v>46</v>
      </c>
    </row>
    <row r="31" customFormat="false" ht="15" hidden="false" customHeight="false" outlineLevel="0" collapsed="false">
      <c r="A31" s="3" t="s">
        <v>47</v>
      </c>
      <c r="B31" s="4"/>
    </row>
    <row r="32" customFormat="false" ht="15" hidden="false" customHeight="false" outlineLevel="0" collapsed="false">
      <c r="A32" s="5" t="s">
        <v>48</v>
      </c>
      <c r="B32" s="6" t="s">
        <v>49</v>
      </c>
    </row>
    <row r="33" customFormat="false" ht="15" hidden="false" customHeight="false" outlineLevel="0" collapsed="false">
      <c r="A33" s="5" t="s">
        <v>50</v>
      </c>
      <c r="B33" s="6" t="s">
        <v>51</v>
      </c>
    </row>
    <row r="34" customFormat="false" ht="15" hidden="false" customHeight="false" outlineLevel="0" collapsed="false">
      <c r="A34" s="5" t="s">
        <v>52</v>
      </c>
      <c r="B34" s="6" t="s">
        <v>53</v>
      </c>
    </row>
    <row r="35" customFormat="false" ht="15" hidden="false" customHeight="false" outlineLevel="0" collapsed="false">
      <c r="A35" s="5" t="s">
        <v>54</v>
      </c>
      <c r="B35" s="6" t="s">
        <v>55</v>
      </c>
    </row>
    <row r="36" customFormat="false" ht="15" hidden="false" customHeight="false" outlineLevel="0" collapsed="false">
      <c r="A36" s="5" t="s">
        <v>56</v>
      </c>
      <c r="B36" s="6" t="s">
        <v>57</v>
      </c>
    </row>
    <row r="38" customFormat="false" ht="15" hidden="false" customHeight="false" outlineLevel="0" collapsed="false">
      <c r="A38" s="3" t="s">
        <v>58</v>
      </c>
      <c r="B38" s="4"/>
    </row>
    <row r="39" customFormat="false" ht="23.85" hidden="false" customHeight="false" outlineLevel="0" collapsed="false">
      <c r="A39" s="5" t="s">
        <v>59</v>
      </c>
      <c r="B39" s="6" t="s">
        <v>60</v>
      </c>
    </row>
    <row r="40" customFormat="false" ht="23.85" hidden="false" customHeight="false" outlineLevel="0" collapsed="false">
      <c r="A40" s="5" t="s">
        <v>61</v>
      </c>
      <c r="B40" s="6" t="s">
        <v>62</v>
      </c>
    </row>
    <row r="41" customFormat="false" ht="15" hidden="false" customHeight="false" outlineLevel="0" collapsed="false">
      <c r="A41" s="5" t="s">
        <v>63</v>
      </c>
      <c r="B41" s="6" t="s">
        <v>64</v>
      </c>
    </row>
    <row r="42" customFormat="false" ht="15" hidden="false" customHeight="false" outlineLevel="0" collapsed="false">
      <c r="A42" s="5" t="s">
        <v>65</v>
      </c>
      <c r="B42" s="6" t="s">
        <v>66</v>
      </c>
    </row>
    <row r="43" customFormat="false" ht="15" hidden="false" customHeight="false" outlineLevel="0" collapsed="false">
      <c r="A43" s="5" t="s">
        <v>67</v>
      </c>
      <c r="B43" s="6" t="s">
        <v>68</v>
      </c>
    </row>
    <row r="45" customFormat="false" ht="15" hidden="false" customHeight="false" outlineLevel="0" collapsed="false">
      <c r="A45" s="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7" t="s">
        <v>72</v>
      </c>
      <c r="B4" s="7" t="s">
        <v>73</v>
      </c>
      <c r="C4" s="7" t="s">
        <v>74</v>
      </c>
    </row>
    <row r="5" customFormat="false" ht="23.85" hidden="false" customHeight="false" outlineLevel="0" collapsed="false">
      <c r="A5" s="5" t="s">
        <v>75</v>
      </c>
      <c r="B5" s="6" t="s">
        <v>76</v>
      </c>
      <c r="C5" s="8" t="s">
        <v>77</v>
      </c>
    </row>
    <row r="6" customFormat="false" ht="23.85" hidden="false" customHeight="false" outlineLevel="0" collapsed="false">
      <c r="A6" s="5" t="s">
        <v>78</v>
      </c>
      <c r="B6" s="6" t="s">
        <v>79</v>
      </c>
      <c r="C6" s="8" t="s">
        <v>80</v>
      </c>
    </row>
    <row r="7" customFormat="false" ht="15" hidden="false" customHeight="false" outlineLevel="0" collapsed="false">
      <c r="A7" s="5" t="s">
        <v>81</v>
      </c>
      <c r="B7" s="6" t="s">
        <v>82</v>
      </c>
      <c r="C7" s="8"/>
    </row>
    <row r="8" customFormat="false" ht="15" hidden="false" customHeight="false" outlineLevel="0" collapsed="false">
      <c r="A8" s="5" t="s">
        <v>83</v>
      </c>
      <c r="B8" s="6" t="s">
        <v>84</v>
      </c>
      <c r="C8" s="8"/>
    </row>
    <row r="9" customFormat="false" ht="23.85" hidden="false" customHeight="false" outlineLevel="0" collapsed="false">
      <c r="A9" s="5" t="s">
        <v>85</v>
      </c>
      <c r="B9" s="6" t="s">
        <v>86</v>
      </c>
      <c r="C9" s="8" t="s">
        <v>87</v>
      </c>
    </row>
    <row r="10" customFormat="false" ht="15" hidden="false" customHeight="false" outlineLevel="0" collapsed="false">
      <c r="A10" s="5" t="s">
        <v>88</v>
      </c>
      <c r="B10" s="6" t="s">
        <v>89</v>
      </c>
      <c r="C10" s="8"/>
    </row>
    <row r="11" customFormat="false" ht="15" hidden="false" customHeight="false" outlineLevel="0" collapsed="false">
      <c r="A11" s="5" t="s">
        <v>90</v>
      </c>
      <c r="B11" s="6" t="s">
        <v>91</v>
      </c>
      <c r="C11" s="8"/>
    </row>
    <row r="12" customFormat="false" ht="15" hidden="false" customHeight="false" outlineLevel="0" collapsed="false">
      <c r="A12" s="5" t="s">
        <v>92</v>
      </c>
      <c r="B12" s="6" t="s">
        <v>93</v>
      </c>
      <c r="C12" s="8"/>
    </row>
    <row r="13" customFormat="false" ht="15" hidden="false" customHeight="false" outlineLevel="0" collapsed="false">
      <c r="A13" s="5" t="s">
        <v>94</v>
      </c>
      <c r="B13" s="6" t="s">
        <v>95</v>
      </c>
      <c r="C13" s="8" t="s">
        <v>96</v>
      </c>
    </row>
    <row r="14" customFormat="false" ht="23.85" hidden="false" customHeight="false" outlineLevel="0" collapsed="false">
      <c r="A14" s="5" t="s">
        <v>97</v>
      </c>
      <c r="B14" s="6" t="s">
        <v>98</v>
      </c>
      <c r="C14" s="8"/>
    </row>
    <row r="15" customFormat="false" ht="15" hidden="false" customHeight="false" outlineLevel="0" collapsed="false">
      <c r="A15" s="5" t="s">
        <v>99</v>
      </c>
      <c r="B15" s="6" t="s">
        <v>100</v>
      </c>
      <c r="C15" s="8"/>
    </row>
    <row r="16" customFormat="false" ht="15" hidden="false" customHeight="false" outlineLevel="0" collapsed="false">
      <c r="A16" s="5" t="s">
        <v>101</v>
      </c>
      <c r="B16" s="6" t="s">
        <v>102</v>
      </c>
      <c r="C16" s="8"/>
    </row>
    <row r="17" customFormat="false" ht="15" hidden="false" customHeight="false" outlineLevel="0" collapsed="false">
      <c r="A17" s="5" t="s">
        <v>103</v>
      </c>
      <c r="B17" s="6" t="s">
        <v>104</v>
      </c>
      <c r="C17" s="8"/>
    </row>
    <row r="18" customFormat="false" ht="15" hidden="false" customHeight="false" outlineLevel="0" collapsed="false">
      <c r="A18" s="5" t="s">
        <v>105</v>
      </c>
      <c r="B18" s="6" t="s">
        <v>106</v>
      </c>
      <c r="C18" s="8"/>
    </row>
    <row r="19" customFormat="false" ht="15" hidden="false" customHeight="false" outlineLevel="0" collapsed="false">
      <c r="A19" s="5" t="s">
        <v>107</v>
      </c>
      <c r="B19" s="6" t="s">
        <v>108</v>
      </c>
      <c r="C19" s="8"/>
    </row>
    <row r="20" customFormat="false" ht="15" hidden="false" customHeight="false" outlineLevel="0" collapsed="false">
      <c r="A20" s="5" t="s">
        <v>109</v>
      </c>
      <c r="B20" s="6" t="s">
        <v>110</v>
      </c>
      <c r="C20" s="8"/>
    </row>
    <row r="21" customFormat="false" ht="15" hidden="false" customHeight="false" outlineLevel="0" collapsed="false">
      <c r="A21" s="5" t="s">
        <v>111</v>
      </c>
      <c r="B21" s="6" t="s">
        <v>112</v>
      </c>
      <c r="C21" s="8" t="s">
        <v>113</v>
      </c>
    </row>
    <row r="22" customFormat="false" ht="15" hidden="false" customHeight="false" outlineLevel="0" collapsed="false">
      <c r="A22" s="5" t="s">
        <v>114</v>
      </c>
      <c r="B22" s="6" t="s">
        <v>115</v>
      </c>
      <c r="C22" s="8"/>
    </row>
    <row r="23" customFormat="false" ht="15" hidden="false" customHeight="false" outlineLevel="0" collapsed="false">
      <c r="A23" s="5" t="s">
        <v>116</v>
      </c>
      <c r="B23" s="6" t="s">
        <v>117</v>
      </c>
      <c r="C23" s="8"/>
    </row>
    <row r="24" customFormat="false" ht="15" hidden="false" customHeight="false" outlineLevel="0" collapsed="false">
      <c r="A24" s="5" t="s">
        <v>118</v>
      </c>
      <c r="B24" s="6" t="s">
        <v>119</v>
      </c>
      <c r="C24" s="8" t="s">
        <v>120</v>
      </c>
    </row>
    <row r="25" customFormat="false" ht="15" hidden="false" customHeight="false" outlineLevel="0" collapsed="false">
      <c r="A25" s="5" t="s">
        <v>121</v>
      </c>
      <c r="B25" s="6" t="s">
        <v>122</v>
      </c>
      <c r="C25" s="8"/>
    </row>
    <row r="26" customFormat="false" ht="15" hidden="false" customHeight="false" outlineLevel="0" collapsed="false">
      <c r="A26" s="5" t="s">
        <v>123</v>
      </c>
      <c r="B26" s="6" t="s">
        <v>124</v>
      </c>
      <c r="C26" s="8"/>
    </row>
    <row r="27" customFormat="false" ht="15" hidden="false" customHeight="false" outlineLevel="0" collapsed="false">
      <c r="A27" s="5" t="s">
        <v>125</v>
      </c>
      <c r="B27" s="6" t="s">
        <v>126</v>
      </c>
      <c r="C27" s="8"/>
    </row>
    <row r="28" customFormat="false" ht="15" hidden="false" customHeight="false" outlineLevel="0" collapsed="false">
      <c r="A28" s="5" t="s">
        <v>127</v>
      </c>
      <c r="B28" s="6" t="s">
        <v>128</v>
      </c>
      <c r="C28" s="8"/>
    </row>
    <row r="29" customFormat="false" ht="15" hidden="false" customHeight="false" outlineLevel="0" collapsed="false">
      <c r="A29" s="5" t="s">
        <v>129</v>
      </c>
      <c r="B29" s="6" t="s">
        <v>130</v>
      </c>
      <c r="C29" s="8"/>
    </row>
    <row r="30" customFormat="false" ht="15" hidden="false" customHeight="false" outlineLevel="0" collapsed="false">
      <c r="A30" s="5" t="s">
        <v>131</v>
      </c>
      <c r="B30" s="6" t="s">
        <v>132</v>
      </c>
      <c r="C30" s="8"/>
    </row>
    <row r="31" customFormat="false" ht="15" hidden="false" customHeight="false" outlineLevel="0" collapsed="false">
      <c r="A31" s="5" t="s">
        <v>133</v>
      </c>
      <c r="B31" s="6" t="s">
        <v>134</v>
      </c>
      <c r="C31" s="8" t="s">
        <v>135</v>
      </c>
    </row>
    <row r="32" customFormat="false" ht="23.85" hidden="false" customHeight="false" outlineLevel="0" collapsed="false">
      <c r="A32" s="5" t="s">
        <v>136</v>
      </c>
      <c r="B32" s="6" t="s">
        <v>137</v>
      </c>
      <c r="C32" s="8"/>
    </row>
    <row r="33" customFormat="false" ht="15" hidden="false" customHeight="false" outlineLevel="0" collapsed="false">
      <c r="A33" s="5" t="s">
        <v>138</v>
      </c>
      <c r="B33" s="6" t="s">
        <v>139</v>
      </c>
      <c r="C33" s="8"/>
    </row>
    <row r="34" customFormat="false" ht="15" hidden="false" customHeight="false" outlineLevel="0" collapsed="false">
      <c r="A34" s="5" t="s">
        <v>140</v>
      </c>
      <c r="B34" s="6" t="s">
        <v>141</v>
      </c>
      <c r="C34" s="8" t="s">
        <v>142</v>
      </c>
    </row>
    <row r="35" customFormat="false" ht="15" hidden="false" customHeight="false" outlineLevel="0" collapsed="false">
      <c r="A35" s="5" t="s">
        <v>143</v>
      </c>
      <c r="B35" s="6" t="s">
        <v>144</v>
      </c>
      <c r="C35" s="8"/>
    </row>
    <row r="36" customFormat="false" ht="15" hidden="false" customHeight="false" outlineLevel="0" collapsed="false">
      <c r="A36" s="5" t="s">
        <v>145</v>
      </c>
      <c r="B36" s="6" t="s">
        <v>146</v>
      </c>
      <c r="C36" s="8"/>
    </row>
    <row r="37" customFormat="false" ht="15" hidden="false" customHeight="false" outlineLevel="0" collapsed="false">
      <c r="A37" s="5" t="s">
        <v>147</v>
      </c>
      <c r="B37" s="6" t="s">
        <v>148</v>
      </c>
      <c r="C37" s="8" t="s">
        <v>149</v>
      </c>
    </row>
    <row r="38" customFormat="false" ht="15" hidden="false" customHeight="false" outlineLevel="0" collapsed="false">
      <c r="A38" s="5" t="s">
        <v>150</v>
      </c>
      <c r="B38" s="6" t="s">
        <v>151</v>
      </c>
      <c r="C38" s="8"/>
    </row>
    <row r="39" customFormat="false" ht="15" hidden="false" customHeight="false" outlineLevel="0" collapsed="false">
      <c r="A39" s="5" t="s">
        <v>152</v>
      </c>
      <c r="B39" s="6" t="s">
        <v>153</v>
      </c>
      <c r="C39" s="8"/>
    </row>
    <row r="40" customFormat="false" ht="15" hidden="false" customHeight="false" outlineLevel="0" collapsed="false">
      <c r="A40" s="5" t="s">
        <v>154</v>
      </c>
      <c r="B40" s="6" t="s">
        <v>155</v>
      </c>
      <c r="C40" s="8"/>
    </row>
    <row r="41" customFormat="false" ht="15" hidden="false" customHeight="false" outlineLevel="0" collapsed="false">
      <c r="A41" s="5" t="s">
        <v>156</v>
      </c>
      <c r="B41" s="6" t="s">
        <v>157</v>
      </c>
      <c r="C41" s="8"/>
    </row>
    <row r="42" customFormat="false" ht="15" hidden="false" customHeight="false" outlineLevel="0" collapsed="false">
      <c r="A42" s="5" t="s">
        <v>158</v>
      </c>
      <c r="B42" s="6" t="s">
        <v>159</v>
      </c>
      <c r="C42" s="8"/>
    </row>
    <row r="43" customFormat="false" ht="15" hidden="false" customHeight="false" outlineLevel="0" collapsed="false">
      <c r="A43" s="5" t="s">
        <v>160</v>
      </c>
      <c r="B43" s="6" t="s">
        <v>161</v>
      </c>
      <c r="C43" s="8"/>
    </row>
    <row r="44" customFormat="false" ht="15" hidden="false" customHeight="false" outlineLevel="0" collapsed="false">
      <c r="A44" s="5" t="s">
        <v>162</v>
      </c>
      <c r="B44" s="6" t="s">
        <v>163</v>
      </c>
      <c r="C44" s="8" t="s">
        <v>164</v>
      </c>
    </row>
    <row r="45" customFormat="false" ht="15" hidden="false" customHeight="false" outlineLevel="0" collapsed="false">
      <c r="A45" s="5" t="s">
        <v>165</v>
      </c>
      <c r="B45" s="6" t="s">
        <v>166</v>
      </c>
      <c r="C45" s="8"/>
    </row>
    <row r="46" customFormat="false" ht="15" hidden="false" customHeight="false" outlineLevel="0" collapsed="false">
      <c r="A46" s="5" t="s">
        <v>167</v>
      </c>
      <c r="B46" s="6" t="s">
        <v>168</v>
      </c>
      <c r="C46" s="8" t="s">
        <v>169</v>
      </c>
    </row>
    <row r="47" customFormat="false" ht="15" hidden="false" customHeight="false" outlineLevel="0" collapsed="false">
      <c r="A47" s="9"/>
      <c r="B47" s="9"/>
      <c r="C47" s="9"/>
    </row>
    <row r="48" customFormat="false" ht="15" hidden="false" customHeight="false" outlineLevel="0" collapsed="false">
      <c r="A48" s="9"/>
      <c r="B48" s="9"/>
      <c r="C48" s="9"/>
    </row>
    <row r="49" customFormat="false" ht="15" hidden="false" customHeight="false" outlineLevel="0" collapsed="false">
      <c r="A49" s="9"/>
      <c r="B49" s="9"/>
      <c r="C49" s="9"/>
    </row>
    <row r="50" customFormat="false" ht="15" hidden="false" customHeight="false" outlineLevel="0" collapsed="false">
      <c r="A50" s="9"/>
      <c r="B50" s="9"/>
      <c r="C50" s="9"/>
    </row>
    <row r="51" customFormat="false" ht="15" hidden="false" customHeight="false" outlineLevel="0" collapsed="false">
      <c r="A51" s="9"/>
      <c r="B51" s="9"/>
      <c r="C5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3" t="s">
        <v>172</v>
      </c>
      <c r="B4" s="4"/>
      <c r="C4" s="4"/>
    </row>
    <row r="5" customFormat="false" ht="15" hidden="false" customHeight="false" outlineLevel="0" collapsed="false">
      <c r="A5" s="7" t="s">
        <v>173</v>
      </c>
      <c r="B5" s="7" t="s">
        <v>174</v>
      </c>
      <c r="C5" s="7" t="s">
        <v>175</v>
      </c>
    </row>
    <row r="6" customFormat="false" ht="15" hidden="false" customHeight="false" outlineLevel="0" collapsed="false">
      <c r="A6" s="5" t="s">
        <v>176</v>
      </c>
      <c r="B6" s="6" t="s">
        <v>177</v>
      </c>
      <c r="C6" s="8" t="s">
        <v>178</v>
      </c>
    </row>
    <row r="7" customFormat="false" ht="23.85" hidden="false" customHeight="false" outlineLevel="0" collapsed="false">
      <c r="A7" s="5" t="s">
        <v>179</v>
      </c>
      <c r="B7" s="6" t="s">
        <v>180</v>
      </c>
      <c r="C7" s="8" t="s">
        <v>181</v>
      </c>
    </row>
    <row r="8" customFormat="false" ht="15" hidden="false" customHeight="false" outlineLevel="0" collapsed="false">
      <c r="A8" s="5" t="s">
        <v>182</v>
      </c>
      <c r="B8" s="6" t="s">
        <v>183</v>
      </c>
      <c r="C8" s="8" t="s">
        <v>184</v>
      </c>
    </row>
    <row r="9" customFormat="false" ht="23.85" hidden="false" customHeight="false" outlineLevel="0" collapsed="false">
      <c r="A9" s="5" t="s">
        <v>185</v>
      </c>
      <c r="B9" s="6" t="s">
        <v>186</v>
      </c>
      <c r="C9" s="8" t="s">
        <v>187</v>
      </c>
    </row>
    <row r="10" customFormat="false" ht="23.85" hidden="false" customHeight="false" outlineLevel="0" collapsed="false">
      <c r="A10" s="5" t="s">
        <v>188</v>
      </c>
      <c r="B10" s="6" t="s">
        <v>189</v>
      </c>
      <c r="C10" s="8" t="s">
        <v>190</v>
      </c>
    </row>
    <row r="11" customFormat="false" ht="15" hidden="false" customHeight="false" outlineLevel="0" collapsed="false">
      <c r="A11" s="5" t="s">
        <v>191</v>
      </c>
      <c r="B11" s="6" t="s">
        <v>192</v>
      </c>
      <c r="C11" s="8"/>
    </row>
    <row r="12" customFormat="false" ht="23.85" hidden="false" customHeight="false" outlineLevel="0" collapsed="false">
      <c r="A12" s="5" t="s">
        <v>193</v>
      </c>
      <c r="B12" s="6" t="s">
        <v>194</v>
      </c>
      <c r="C12" s="8" t="s">
        <v>195</v>
      </c>
    </row>
    <row r="13" customFormat="false" ht="23.85" hidden="false" customHeight="false" outlineLevel="0" collapsed="false">
      <c r="A13" s="5" t="s">
        <v>196</v>
      </c>
      <c r="B13" s="6" t="s">
        <v>197</v>
      </c>
      <c r="C13" s="8" t="s">
        <v>198</v>
      </c>
    </row>
    <row r="15" customFormat="false" ht="15" hidden="false" customHeight="false" outlineLevel="0" collapsed="false">
      <c r="A15" s="3" t="s">
        <v>199</v>
      </c>
      <c r="B15" s="4"/>
      <c r="C15" s="4"/>
    </row>
    <row r="16" customFormat="false" ht="15" hidden="false" customHeight="false" outlineLevel="0" collapsed="false">
      <c r="A16" s="7" t="s">
        <v>200</v>
      </c>
      <c r="B16" s="7" t="s">
        <v>201</v>
      </c>
      <c r="C16" s="7" t="s">
        <v>202</v>
      </c>
    </row>
    <row r="17" customFormat="false" ht="23.85" hidden="false" customHeight="false" outlineLevel="0" collapsed="false">
      <c r="A17" s="5" t="s">
        <v>203</v>
      </c>
      <c r="B17" s="6" t="s">
        <v>204</v>
      </c>
      <c r="C17" s="9"/>
    </row>
    <row r="18" customFormat="false" ht="15" hidden="false" customHeight="false" outlineLevel="0" collapsed="false">
      <c r="A18" s="5" t="s">
        <v>205</v>
      </c>
      <c r="B18" s="6" t="s">
        <v>206</v>
      </c>
      <c r="C18" s="9"/>
    </row>
    <row r="19" customFormat="false" ht="15" hidden="false" customHeight="false" outlineLevel="0" collapsed="false">
      <c r="A19" s="5" t="s">
        <v>207</v>
      </c>
      <c r="B19" s="6" t="s">
        <v>208</v>
      </c>
      <c r="C19" s="9"/>
    </row>
    <row r="20" customFormat="false" ht="15" hidden="false" customHeight="false" outlineLevel="0" collapsed="false">
      <c r="A20" s="5" t="s">
        <v>209</v>
      </c>
      <c r="B20" s="6" t="s">
        <v>210</v>
      </c>
      <c r="C20" s="9"/>
    </row>
    <row r="21" customFormat="false" ht="15" hidden="false" customHeight="false" outlineLevel="0" collapsed="false">
      <c r="A21" s="5" t="s">
        <v>211</v>
      </c>
      <c r="B21" s="6" t="s">
        <v>212</v>
      </c>
      <c r="C21" s="9"/>
    </row>
    <row r="22" customFormat="false" ht="15" hidden="false" customHeight="false" outlineLevel="0" collapsed="false">
      <c r="A22" s="5" t="s">
        <v>213</v>
      </c>
      <c r="B22" s="6" t="s">
        <v>214</v>
      </c>
      <c r="C22" s="9"/>
    </row>
    <row r="23" customFormat="false" ht="15" hidden="false" customHeight="false" outlineLevel="0" collapsed="false">
      <c r="A23" s="5" t="s">
        <v>215</v>
      </c>
      <c r="B23" s="6" t="s">
        <v>216</v>
      </c>
      <c r="C23" s="9"/>
    </row>
    <row r="24" customFormat="false" ht="15" hidden="false" customHeight="false" outlineLevel="0" collapsed="false">
      <c r="A24" s="5" t="s">
        <v>217</v>
      </c>
      <c r="B24" s="6" t="s">
        <v>218</v>
      </c>
      <c r="C24" s="9"/>
    </row>
    <row r="25" customFormat="false" ht="15" hidden="false" customHeight="false" outlineLevel="0" collapsed="false">
      <c r="A25" s="5" t="s">
        <v>219</v>
      </c>
      <c r="B25" s="6" t="s">
        <v>220</v>
      </c>
      <c r="C25" s="9"/>
    </row>
    <row r="26" customFormat="false" ht="15" hidden="false" customHeight="false" outlineLevel="0" collapsed="false">
      <c r="A26" s="5" t="s">
        <v>221</v>
      </c>
      <c r="B26" s="6" t="s">
        <v>222</v>
      </c>
      <c r="C26" s="9"/>
    </row>
    <row r="27" customFormat="false" ht="15" hidden="false" customHeight="false" outlineLevel="0" collapsed="false">
      <c r="A27" s="5" t="s">
        <v>223</v>
      </c>
      <c r="B27" s="6" t="s">
        <v>224</v>
      </c>
      <c r="C27" s="9"/>
    </row>
    <row r="28" customFormat="false" ht="15" hidden="false" customHeight="false" outlineLevel="0" collapsed="false">
      <c r="A28" s="5" t="s">
        <v>225</v>
      </c>
      <c r="B28" s="6" t="s">
        <v>226</v>
      </c>
      <c r="C28" s="9"/>
    </row>
    <row r="29" customFormat="false" ht="15" hidden="false" customHeight="false" outlineLevel="0" collapsed="false">
      <c r="A29" s="5" t="s">
        <v>227</v>
      </c>
      <c r="B29" s="6" t="s">
        <v>228</v>
      </c>
      <c r="C29" s="9"/>
    </row>
    <row r="30" customFormat="false" ht="15" hidden="false" customHeight="false" outlineLevel="0" collapsed="false">
      <c r="A30" s="5" t="s">
        <v>229</v>
      </c>
      <c r="B30" s="6" t="s">
        <v>230</v>
      </c>
      <c r="C30" s="9"/>
    </row>
  </sheetData>
  <dataValidations count="1">
    <dataValidation allowBlank="true" errorStyle="stop" operator="between" showDropDown="false" showErrorMessage="false" showInputMessage="false" sqref="C17:C3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7" t="s">
        <v>233</v>
      </c>
      <c r="B4" s="7" t="s">
        <v>234</v>
      </c>
      <c r="C4" s="7" t="s">
        <v>235</v>
      </c>
    </row>
    <row r="5" customFormat="false" ht="15" hidden="false" customHeight="false" outlineLevel="0" collapsed="false">
      <c r="A5" s="3" t="s">
        <v>236</v>
      </c>
      <c r="B5" s="4"/>
      <c r="C5" s="4"/>
    </row>
    <row r="6" customFormat="false" ht="15" hidden="false" customHeight="false" outlineLevel="0" collapsed="false">
      <c r="A6" s="6" t="s">
        <v>237</v>
      </c>
      <c r="B6" s="9"/>
      <c r="C6" s="8" t="s">
        <v>238</v>
      </c>
    </row>
    <row r="7" customFormat="false" ht="15" hidden="false" customHeight="false" outlineLevel="0" collapsed="false">
      <c r="A7" s="6" t="s">
        <v>239</v>
      </c>
      <c r="B7" s="9"/>
      <c r="C7" s="8" t="s">
        <v>240</v>
      </c>
    </row>
    <row r="8" customFormat="false" ht="15" hidden="false" customHeight="false" outlineLevel="0" collapsed="false">
      <c r="A8" s="6" t="s">
        <v>241</v>
      </c>
      <c r="B8" s="9"/>
      <c r="C8" s="8" t="s">
        <v>242</v>
      </c>
    </row>
    <row r="9" customFormat="false" ht="15" hidden="false" customHeight="false" outlineLevel="0" collapsed="false">
      <c r="A9" s="6" t="s">
        <v>243</v>
      </c>
      <c r="B9" s="9"/>
      <c r="C9" s="8" t="s">
        <v>244</v>
      </c>
    </row>
    <row r="10" customFormat="false" ht="15" hidden="false" customHeight="false" outlineLevel="0" collapsed="false">
      <c r="A10" s="6" t="s">
        <v>245</v>
      </c>
      <c r="B10" s="9"/>
      <c r="C10" s="8" t="s">
        <v>246</v>
      </c>
    </row>
    <row r="11" customFormat="false" ht="15" hidden="false" customHeight="false" outlineLevel="0" collapsed="false">
      <c r="A11" s="6" t="s">
        <v>247</v>
      </c>
      <c r="B11" s="9"/>
      <c r="C11" s="8" t="s">
        <v>248</v>
      </c>
    </row>
    <row r="12" customFormat="false" ht="15" hidden="false" customHeight="false" outlineLevel="0" collapsed="false">
      <c r="A12" s="6" t="s">
        <v>249</v>
      </c>
      <c r="B12" s="9"/>
      <c r="C12" s="8"/>
    </row>
    <row r="13" customFormat="false" ht="15" hidden="false" customHeight="false" outlineLevel="0" collapsed="false">
      <c r="A13" s="6" t="s">
        <v>250</v>
      </c>
      <c r="B13" s="9"/>
      <c r="C13" s="8" t="s">
        <v>251</v>
      </c>
    </row>
    <row r="14" customFormat="false" ht="15" hidden="false" customHeight="false" outlineLevel="0" collapsed="false">
      <c r="A14" s="6" t="s">
        <v>252</v>
      </c>
      <c r="B14" s="10"/>
      <c r="C14" s="8"/>
    </row>
    <row r="15" customFormat="false" ht="15" hidden="false" customHeight="false" outlineLevel="0" collapsed="false">
      <c r="A15" s="3" t="s">
        <v>253</v>
      </c>
      <c r="B15" s="4"/>
      <c r="C15" s="4"/>
    </row>
    <row r="16" customFormat="false" ht="15" hidden="false" customHeight="false" outlineLevel="0" collapsed="false">
      <c r="A16" s="6" t="s">
        <v>254</v>
      </c>
      <c r="B16" s="11"/>
      <c r="C16" s="8" t="s">
        <v>255</v>
      </c>
    </row>
    <row r="17" customFormat="false" ht="15" hidden="false" customHeight="false" outlineLevel="0" collapsed="false">
      <c r="A17" s="6" t="s">
        <v>256</v>
      </c>
      <c r="B17" s="10"/>
      <c r="C17" s="8" t="s">
        <v>257</v>
      </c>
    </row>
    <row r="18" customFormat="false" ht="15" hidden="false" customHeight="false" outlineLevel="0" collapsed="false">
      <c r="A18" s="6" t="s">
        <v>258</v>
      </c>
      <c r="B18" s="11"/>
      <c r="C18" s="8" t="s">
        <v>259</v>
      </c>
    </row>
    <row r="19" customFormat="false" ht="15" hidden="false" customHeight="false" outlineLevel="0" collapsed="false">
      <c r="A19" s="6" t="s">
        <v>260</v>
      </c>
      <c r="B19" s="11"/>
      <c r="C19" s="8"/>
    </row>
    <row r="20" customFormat="false" ht="15" hidden="false" customHeight="false" outlineLevel="0" collapsed="false">
      <c r="A20" s="6" t="s">
        <v>127</v>
      </c>
      <c r="B20" s="12"/>
      <c r="C20" s="8" t="s">
        <v>261</v>
      </c>
    </row>
    <row r="21" customFormat="false" ht="15" hidden="false" customHeight="false" outlineLevel="0" collapsed="false">
      <c r="A21" s="6" t="s">
        <v>262</v>
      </c>
      <c r="B21" s="13"/>
      <c r="C21" s="8" t="s">
        <v>263</v>
      </c>
    </row>
    <row r="22" customFormat="false" ht="15" hidden="false" customHeight="false" outlineLevel="0" collapsed="false">
      <c r="A22" s="3" t="s">
        <v>264</v>
      </c>
      <c r="B22" s="4"/>
      <c r="C22" s="4"/>
    </row>
    <row r="23" customFormat="false" ht="15" hidden="false" customHeight="false" outlineLevel="0" collapsed="false">
      <c r="A23" s="6" t="s">
        <v>265</v>
      </c>
      <c r="B23" s="11"/>
      <c r="C23" s="8" t="s">
        <v>266</v>
      </c>
    </row>
    <row r="24" customFormat="false" ht="15" hidden="false" customHeight="false" outlineLevel="0" collapsed="false">
      <c r="A24" s="6" t="s">
        <v>267</v>
      </c>
      <c r="B24" s="11"/>
      <c r="C24" s="8" t="s">
        <v>268</v>
      </c>
    </row>
    <row r="25" customFormat="false" ht="15" hidden="false" customHeight="false" outlineLevel="0" collapsed="false">
      <c r="A25" s="6" t="s">
        <v>269</v>
      </c>
      <c r="B25" s="9"/>
      <c r="C25" s="8" t="s">
        <v>270</v>
      </c>
    </row>
    <row r="26" customFormat="false" ht="15" hidden="false" customHeight="false" outlineLevel="0" collapsed="false">
      <c r="A26" s="6" t="s">
        <v>271</v>
      </c>
      <c r="B26" s="9"/>
      <c r="C26" s="8" t="s">
        <v>272</v>
      </c>
    </row>
    <row r="28" customFormat="false" ht="15" hidden="false" customHeight="false" outlineLevel="0" collapsed="false">
      <c r="A28" s="3" t="s">
        <v>273</v>
      </c>
      <c r="B28" s="4"/>
      <c r="C28" s="4"/>
    </row>
    <row r="29" customFormat="false" ht="15" hidden="false" customHeight="false" outlineLevel="0" collapsed="false">
      <c r="A29" s="6" t="s">
        <v>114</v>
      </c>
      <c r="B29" s="14" t="str">
        <f aca="false">IF(OR('1. Company Info'!$B$16="",'2. Financials'!$E$15=""),"",'1. Company Info'!$B$16*'2. Financials'!$E$15)</f>
        <v/>
      </c>
      <c r="C29" s="8" t="s">
        <v>274</v>
      </c>
    </row>
    <row r="30" customFormat="false" ht="23.85" hidden="false" customHeight="false" outlineLevel="0" collapsed="false">
      <c r="A30" s="6" t="s">
        <v>275</v>
      </c>
      <c r="B30" s="15" t="str">
        <f aca="false">IF(OR(B29="",'1. Company Info'!$B$21=""),"Enter published market cap",IF(ABS(B29/'1. Company Info'!$B$21-1)&lt;=0.05,"OK","CHECK: price, shares or units wrong"))</f>
        <v>Enter published market cap</v>
      </c>
      <c r="C30" s="8" t="s">
        <v>276</v>
      </c>
    </row>
    <row r="31" customFormat="false" ht="15" hidden="false" customHeight="false" outlineLevel="0" collapsed="false">
      <c r="A31" s="6" t="s">
        <v>116</v>
      </c>
      <c r="B31" s="14" t="str">
        <f aca="false">IF(OR(B29="",'2. Financials'!$E$43=""),"",B29+'2. Financials'!$E$43)</f>
        <v/>
      </c>
      <c r="C31" s="8" t="s">
        <v>277</v>
      </c>
    </row>
    <row r="32" customFormat="false" ht="15" hidden="false" customHeight="false" outlineLevel="0" collapsed="false">
      <c r="A32" s="6" t="s">
        <v>278</v>
      </c>
      <c r="B32" s="16" t="str">
        <f aca="false">IFERROR(IF(OR('1. Company Info'!$B$16="",'2. Financials'!$E$13="",N('2. Financials'!$E$13)&lt;=0),"",'1. Company Info'!$B$16/'2. Financials'!$E$13),"")</f>
        <v/>
      </c>
      <c r="C32" s="8" t="s">
        <v>279</v>
      </c>
    </row>
    <row r="33" customFormat="false" ht="15" hidden="false" customHeight="false" outlineLevel="0" collapsed="false">
      <c r="A33" s="6" t="s">
        <v>280</v>
      </c>
      <c r="B33" s="16" t="str">
        <f aca="false">IFERROR(IF(OR('1. Company Info'!$B$16="",'1. Company Info'!$B$23="",N('1. Company Info'!$B$23)&lt;=0),"",'1. Company Info'!$B$16/'1. Company Info'!$B$23),"")</f>
        <v/>
      </c>
      <c r="C33" s="8" t="s">
        <v>281</v>
      </c>
    </row>
    <row r="34" customFormat="false" ht="15" hidden="false" customHeight="false" outlineLevel="0" collapsed="false">
      <c r="A34" s="6" t="s">
        <v>282</v>
      </c>
      <c r="B34" s="16" t="str">
        <f aca="false">IFERROR(IF(OR(B31="",'2. Financials'!$E$36="",N('2. Financials'!$E$36)&lt;=0),"",B31/'2. Financials'!$E$36),"")</f>
        <v/>
      </c>
      <c r="C34" s="8" t="s">
        <v>283</v>
      </c>
    </row>
    <row r="35" customFormat="false" ht="15" hidden="false" customHeight="false" outlineLevel="0" collapsed="false">
      <c r="A35" s="6" t="s">
        <v>123</v>
      </c>
      <c r="B35" s="17" t="str">
        <f aca="false">IFERROR(IF(OR(B29="",'2. Financials'!$E$38=""),"",'2. Financials'!$E$38/B29),"")</f>
        <v/>
      </c>
      <c r="C35" s="8" t="s">
        <v>284</v>
      </c>
    </row>
    <row r="36" customFormat="false" ht="15" hidden="false" customHeight="false" outlineLevel="0" collapsed="false">
      <c r="A36" s="6" t="s">
        <v>125</v>
      </c>
      <c r="B36" s="17" t="str">
        <f aca="false">IFERROR(IF(OR('1. Company Info'!$B$16="",'2. Financials'!$E$14=""),"",'2. Financials'!$E$14/'1. Company Info'!$B$16),"")</f>
        <v/>
      </c>
      <c r="C36" s="8" t="s">
        <v>285</v>
      </c>
    </row>
    <row r="37" customFormat="false" ht="15" hidden="false" customHeight="false" outlineLevel="0" collapsed="false">
      <c r="A37" s="6" t="s">
        <v>286</v>
      </c>
      <c r="B37" s="16" t="str">
        <f aca="false">IFERROR(IF(OR(B29="",'2. Financials'!$E$21="",N('2. Financials'!$E$21)&lt;=0),"",B29/'2. Financials'!$E$21),"")</f>
        <v/>
      </c>
      <c r="C37" s="8" t="s">
        <v>287</v>
      </c>
    </row>
    <row r="38" customFormat="false" ht="15" hidden="false" customHeight="false" outlineLevel="0" collapsed="false">
      <c r="A38" s="6" t="s">
        <v>288</v>
      </c>
      <c r="B38" s="17" t="str">
        <f aca="false">IFERROR(IF(OR('1. Company Info'!$B$16="",'1. Company Info'!$B$18="",'1. Company Info'!$B$19=""),"",('1. Company Info'!$B$16-'1. Company Info'!$B$19)/('1. Company Info'!$B$18-'1. Company Info'!$B$19)),"")</f>
        <v/>
      </c>
      <c r="C38" s="8" t="s">
        <v>289</v>
      </c>
    </row>
    <row r="39" customFormat="false" ht="15" hidden="false" customHeight="false" outlineLevel="0" collapsed="false">
      <c r="A39" s="6" t="s">
        <v>290</v>
      </c>
      <c r="B39" s="18" t="str">
        <f aca="true">IF('1. Company Info'!$B$17="","",TODAY()-'1. Company Info'!$B$17)</f>
        <v/>
      </c>
      <c r="C39" s="8" t="s">
        <v>291</v>
      </c>
    </row>
  </sheetData>
  <conditionalFormatting sqref="B30">
    <cfRule type="expression" priority="2" aboveAverage="0" equalAverage="0" bottom="0" percent="0" rank="0" text="" dxfId="0">
      <formula>LEFT(B30,2)="OK"</formula>
    </cfRule>
    <cfRule type="expression" priority="3" aboveAverage="0" equalAverage="0" bottom="0" percent="0" rank="0" text="" dxfId="1">
      <formula>LEFT(B30,5)="CHECK"</formula>
    </cfRule>
  </conditionalFormatting>
  <conditionalFormatting sqref="B39">
    <cfRule type="expression" priority="4" aboveAverage="0" equalAverage="0" bottom="0" percent="0" rank="0" text="" dxfId="1">
      <formula>AND(ISNUMBER(B39),B39&gt;7)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5"/>
    <col collapsed="false" customWidth="true" hidden="false" outlineLevel="0" max="5" min="5" style="0" width="17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15" hidden="false" customHeight="false" outlineLevel="0" collapsed="false">
      <c r="A4" s="7" t="s">
        <v>294</v>
      </c>
      <c r="B4" s="7" t="s">
        <v>295</v>
      </c>
      <c r="C4" s="7" t="s">
        <v>296</v>
      </c>
      <c r="D4" s="7" t="s">
        <v>297</v>
      </c>
      <c r="E4" s="7" t="s">
        <v>298</v>
      </c>
      <c r="F4" s="7" t="s">
        <v>299</v>
      </c>
    </row>
    <row r="5" customFormat="false" ht="15" hidden="false" customHeight="false" outlineLevel="0" collapsed="false">
      <c r="A5" s="5" t="s">
        <v>300</v>
      </c>
      <c r="B5" s="9"/>
      <c r="C5" s="9"/>
      <c r="D5" s="9"/>
      <c r="E5" s="9"/>
      <c r="F5" s="8" t="s">
        <v>301</v>
      </c>
    </row>
    <row r="6" customFormat="false" ht="15" hidden="false" customHeight="false" outlineLevel="0" collapsed="false">
      <c r="A6" s="3" t="s">
        <v>302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6" t="s">
        <v>83</v>
      </c>
      <c r="B7" s="13"/>
      <c r="C7" s="13"/>
      <c r="D7" s="13"/>
      <c r="E7" s="13"/>
      <c r="F7" s="8" t="s">
        <v>303</v>
      </c>
    </row>
    <row r="8" customFormat="false" ht="15" hidden="false" customHeight="false" outlineLevel="0" collapsed="false">
      <c r="A8" s="6" t="s">
        <v>304</v>
      </c>
      <c r="B8" s="13"/>
      <c r="C8" s="13"/>
      <c r="D8" s="13"/>
      <c r="E8" s="13"/>
      <c r="F8" s="8" t="s">
        <v>305</v>
      </c>
    </row>
    <row r="9" customFormat="false" ht="15" hidden="false" customHeight="false" outlineLevel="0" collapsed="false">
      <c r="A9" s="6" t="s">
        <v>88</v>
      </c>
      <c r="B9" s="13"/>
      <c r="C9" s="13"/>
      <c r="D9" s="13"/>
      <c r="E9" s="13"/>
      <c r="F9" s="8" t="s">
        <v>306</v>
      </c>
    </row>
    <row r="10" customFormat="false" ht="15" hidden="false" customHeight="false" outlineLevel="0" collapsed="false">
      <c r="A10" s="6" t="s">
        <v>307</v>
      </c>
      <c r="B10" s="13"/>
      <c r="C10" s="13"/>
      <c r="D10" s="13"/>
      <c r="E10" s="13"/>
      <c r="F10" s="8" t="s">
        <v>308</v>
      </c>
    </row>
    <row r="11" customFormat="false" ht="15" hidden="false" customHeight="false" outlineLevel="0" collapsed="false">
      <c r="A11" s="6" t="s">
        <v>309</v>
      </c>
      <c r="B11" s="13"/>
      <c r="C11" s="13"/>
      <c r="D11" s="13"/>
      <c r="E11" s="13"/>
      <c r="F11" s="8" t="s">
        <v>310</v>
      </c>
    </row>
    <row r="12" customFormat="false" ht="15" hidden="false" customHeight="false" outlineLevel="0" collapsed="false">
      <c r="A12" s="6" t="s">
        <v>311</v>
      </c>
      <c r="B12" s="13"/>
      <c r="C12" s="13"/>
      <c r="D12" s="13"/>
      <c r="E12" s="13"/>
      <c r="F12" s="8" t="s">
        <v>312</v>
      </c>
    </row>
    <row r="13" customFormat="false" ht="15" hidden="false" customHeight="false" outlineLevel="0" collapsed="false">
      <c r="A13" s="6" t="s">
        <v>313</v>
      </c>
      <c r="B13" s="11"/>
      <c r="C13" s="11"/>
      <c r="D13" s="11"/>
      <c r="E13" s="11"/>
      <c r="F13" s="8" t="s">
        <v>314</v>
      </c>
    </row>
    <row r="14" customFormat="false" ht="15" hidden="false" customHeight="false" outlineLevel="0" collapsed="false">
      <c r="A14" s="6" t="s">
        <v>315</v>
      </c>
      <c r="B14" s="11"/>
      <c r="C14" s="11"/>
      <c r="D14" s="11"/>
      <c r="E14" s="11"/>
      <c r="F14" s="8" t="s">
        <v>316</v>
      </c>
    </row>
    <row r="15" customFormat="false" ht="15" hidden="false" customHeight="false" outlineLevel="0" collapsed="false">
      <c r="A15" s="6" t="s">
        <v>317</v>
      </c>
      <c r="B15" s="19"/>
      <c r="C15" s="19"/>
      <c r="D15" s="19"/>
      <c r="E15" s="19"/>
      <c r="F15" s="8" t="s">
        <v>318</v>
      </c>
    </row>
    <row r="16" customFormat="false" ht="15" hidden="false" customHeight="false" outlineLevel="0" collapsed="false">
      <c r="A16" s="3" t="s">
        <v>319</v>
      </c>
      <c r="B16" s="4"/>
      <c r="C16" s="4"/>
      <c r="D16" s="4"/>
      <c r="E16" s="4"/>
      <c r="F16" s="4"/>
    </row>
    <row r="17" customFormat="false" ht="15" hidden="false" customHeight="false" outlineLevel="0" collapsed="false">
      <c r="A17" s="6" t="s">
        <v>320</v>
      </c>
      <c r="B17" s="13"/>
      <c r="C17" s="13"/>
      <c r="D17" s="13"/>
      <c r="E17" s="13"/>
      <c r="F17" s="8" t="s">
        <v>321</v>
      </c>
    </row>
    <row r="18" customFormat="false" ht="15" hidden="false" customHeight="false" outlineLevel="0" collapsed="false">
      <c r="A18" s="6" t="s">
        <v>322</v>
      </c>
      <c r="B18" s="13"/>
      <c r="C18" s="13"/>
      <c r="D18" s="13"/>
      <c r="E18" s="13"/>
      <c r="F18" s="8"/>
    </row>
    <row r="19" customFormat="false" ht="15" hidden="false" customHeight="false" outlineLevel="0" collapsed="false">
      <c r="A19" s="6" t="s">
        <v>323</v>
      </c>
      <c r="B19" s="13"/>
      <c r="C19" s="13"/>
      <c r="D19" s="13"/>
      <c r="E19" s="13"/>
      <c r="F19" s="8"/>
    </row>
    <row r="20" customFormat="false" ht="15" hidden="false" customHeight="false" outlineLevel="0" collapsed="false">
      <c r="A20" s="6" t="s">
        <v>324</v>
      </c>
      <c r="B20" s="13"/>
      <c r="C20" s="13"/>
      <c r="D20" s="13"/>
      <c r="E20" s="13"/>
      <c r="F20" s="8" t="s">
        <v>325</v>
      </c>
    </row>
    <row r="21" customFormat="false" ht="15" hidden="false" customHeight="false" outlineLevel="0" collapsed="false">
      <c r="A21" s="6" t="s">
        <v>326</v>
      </c>
      <c r="B21" s="13"/>
      <c r="C21" s="13"/>
      <c r="D21" s="13"/>
      <c r="E21" s="13"/>
      <c r="F21" s="8" t="s">
        <v>327</v>
      </c>
    </row>
    <row r="22" customFormat="false" ht="15" hidden="false" customHeight="false" outlineLevel="0" collapsed="false">
      <c r="A22" s="3" t="s">
        <v>328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6" t="s">
        <v>329</v>
      </c>
      <c r="B23" s="13"/>
      <c r="C23" s="13"/>
      <c r="D23" s="13"/>
      <c r="E23" s="13"/>
      <c r="F23" s="8" t="s">
        <v>330</v>
      </c>
    </row>
    <row r="24" customFormat="false" ht="15" hidden="false" customHeight="false" outlineLevel="0" collapsed="false">
      <c r="A24" s="6" t="s">
        <v>331</v>
      </c>
      <c r="B24" s="13"/>
      <c r="C24" s="13"/>
      <c r="D24" s="13"/>
      <c r="E24" s="13"/>
      <c r="F24" s="8" t="s">
        <v>332</v>
      </c>
    </row>
    <row r="25" customFormat="false" ht="15" hidden="false" customHeight="false" outlineLevel="0" collapsed="false">
      <c r="A25" s="6" t="s">
        <v>160</v>
      </c>
      <c r="B25" s="13"/>
      <c r="C25" s="13"/>
      <c r="D25" s="13"/>
      <c r="E25" s="13"/>
      <c r="F25" s="8" t="s">
        <v>333</v>
      </c>
    </row>
    <row r="26" customFormat="false" ht="15" hidden="false" customHeight="false" outlineLevel="0" collapsed="false">
      <c r="A26" s="6" t="s">
        <v>334</v>
      </c>
      <c r="B26" s="13"/>
      <c r="C26" s="13"/>
      <c r="D26" s="13"/>
      <c r="E26" s="13"/>
      <c r="F26" s="8" t="s">
        <v>335</v>
      </c>
    </row>
    <row r="27" customFormat="false" ht="15" hidden="false" customHeight="false" outlineLevel="0" collapsed="false">
      <c r="A27" s="6" t="s">
        <v>336</v>
      </c>
      <c r="B27" s="13"/>
      <c r="C27" s="13"/>
      <c r="D27" s="13"/>
      <c r="E27" s="13"/>
      <c r="F27" s="8" t="s">
        <v>335</v>
      </c>
    </row>
    <row r="28" customFormat="false" ht="15" hidden="false" customHeight="false" outlineLevel="0" collapsed="false">
      <c r="A28" s="6" t="s">
        <v>337</v>
      </c>
      <c r="E28" s="20"/>
      <c r="F28" s="8" t="s">
        <v>338</v>
      </c>
    </row>
    <row r="30" customFormat="false" ht="15" hidden="false" customHeight="false" outlineLevel="0" collapsed="false">
      <c r="A30" s="3" t="s">
        <v>339</v>
      </c>
      <c r="B30" s="4"/>
      <c r="C30" s="4"/>
      <c r="D30" s="4"/>
      <c r="E30" s="4"/>
      <c r="F30" s="4"/>
    </row>
    <row r="31" customFormat="false" ht="15" hidden="false" customHeight="false" outlineLevel="0" collapsed="false">
      <c r="A31" s="7" t="s">
        <v>340</v>
      </c>
      <c r="B31" s="7" t="s">
        <v>341</v>
      </c>
      <c r="C31" s="7" t="s">
        <v>296</v>
      </c>
      <c r="D31" s="7" t="s">
        <v>297</v>
      </c>
      <c r="E31" s="7" t="s">
        <v>342</v>
      </c>
      <c r="F31" s="7" t="s">
        <v>343</v>
      </c>
    </row>
    <row r="32" customFormat="false" ht="15" hidden="false" customHeight="false" outlineLevel="0" collapsed="false">
      <c r="A32" s="6" t="s">
        <v>344</v>
      </c>
      <c r="B32" s="21"/>
      <c r="C32" s="21" t="str">
        <f aca="false">IFERROR(IF(OR(C7="",B7=""),"",C7/B7-1),"")</f>
        <v/>
      </c>
      <c r="D32" s="21" t="str">
        <f aca="false">IFERROR(IF(OR(D7="",C7=""),"",D7/C7-1),"")</f>
        <v/>
      </c>
      <c r="E32" s="21" t="str">
        <f aca="false">IFERROR(IF(OR(E7="",D7=""),"",E7/D7-1),"")</f>
        <v/>
      </c>
      <c r="F32" s="8" t="s">
        <v>345</v>
      </c>
    </row>
    <row r="33" customFormat="false" ht="15" hidden="false" customHeight="false" outlineLevel="0" collapsed="false">
      <c r="A33" s="6" t="s">
        <v>346</v>
      </c>
      <c r="B33" s="21" t="str">
        <f aca="false">IFERROR(IF(OR(B8="",B7=""),"",B8/B7),"")</f>
        <v/>
      </c>
      <c r="C33" s="21" t="str">
        <f aca="false">IFERROR(IF(OR(C8="",C7=""),"",C8/C7),"")</f>
        <v/>
      </c>
      <c r="D33" s="21" t="str">
        <f aca="false">IFERROR(IF(OR(D8="",D7=""),"",D8/D7),"")</f>
        <v/>
      </c>
      <c r="E33" s="21" t="str">
        <f aca="false">IFERROR(IF(OR(E8="",E7=""),"",E8/E7),"")</f>
        <v/>
      </c>
      <c r="F33" s="8" t="s">
        <v>347</v>
      </c>
    </row>
    <row r="34" customFormat="false" ht="15" hidden="false" customHeight="false" outlineLevel="0" collapsed="false">
      <c r="A34" s="6" t="s">
        <v>348</v>
      </c>
      <c r="B34" s="21" t="str">
        <f aca="false">IFERROR(IF(OR(B9="",B7=""),"",B9/B7),"")</f>
        <v/>
      </c>
      <c r="C34" s="21" t="str">
        <f aca="false">IFERROR(IF(OR(C9="",C7=""),"",C9/C7),"")</f>
        <v/>
      </c>
      <c r="D34" s="21" t="str">
        <f aca="false">IFERROR(IF(OR(D9="",D7=""),"",D9/D7),"")</f>
        <v/>
      </c>
      <c r="E34" s="21" t="str">
        <f aca="false">IFERROR(IF(OR(E9="",E7=""),"",E9/E7),"")</f>
        <v/>
      </c>
      <c r="F34" s="8" t="s">
        <v>349</v>
      </c>
    </row>
    <row r="35" customFormat="false" ht="15" hidden="false" customHeight="false" outlineLevel="0" collapsed="false">
      <c r="A35" s="6" t="s">
        <v>350</v>
      </c>
      <c r="B35" s="21" t="str">
        <f aca="false">IFERROR(IF(OR(B12="",B7=""),"",B12/B7),"")</f>
        <v/>
      </c>
      <c r="C35" s="21" t="str">
        <f aca="false">IFERROR(IF(OR(C12="",C7=""),"",C12/C7),"")</f>
        <v/>
      </c>
      <c r="D35" s="21" t="str">
        <f aca="false">IFERROR(IF(OR(D12="",D7=""),"",D12/D7),"")</f>
        <v/>
      </c>
      <c r="E35" s="21" t="str">
        <f aca="false">IFERROR(IF(OR(E12="",E7=""),"",E12/E7),"")</f>
        <v/>
      </c>
      <c r="F35" s="8" t="s">
        <v>351</v>
      </c>
    </row>
    <row r="36" customFormat="false" ht="15" hidden="false" customHeight="false" outlineLevel="0" collapsed="false">
      <c r="A36" s="6" t="s">
        <v>90</v>
      </c>
      <c r="B36" s="22" t="str">
        <f aca="false">IFERROR(IF(OR(B9="",B10=""),"",B9+B10),"")</f>
        <v/>
      </c>
      <c r="C36" s="22" t="str">
        <f aca="false">IFERROR(IF(OR(C9="",C10=""),"",C9+C10),"")</f>
        <v/>
      </c>
      <c r="D36" s="22" t="str">
        <f aca="false">IFERROR(IF(OR(D9="",D10=""),"",D9+D10),"")</f>
        <v/>
      </c>
      <c r="E36" s="22" t="str">
        <f aca="false">IFERROR(IF(OR(E9="",E10=""),"",E9+E10),"")</f>
        <v/>
      </c>
      <c r="F36" s="8" t="s">
        <v>352</v>
      </c>
    </row>
    <row r="37" customFormat="false" ht="15" hidden="false" customHeight="false" outlineLevel="0" collapsed="false">
      <c r="A37" s="6" t="s">
        <v>353</v>
      </c>
      <c r="B37" s="21"/>
      <c r="C37" s="21" t="str">
        <f aca="false">IFERROR(IF(OR(OR(C13="",B13=""),B13&lt;=0),"",C13/B13-1),"")</f>
        <v/>
      </c>
      <c r="D37" s="21" t="str">
        <f aca="false">IFERROR(IF(OR(OR(D13="",C13=""),C13&lt;=0),"",D13/C13-1),"")</f>
        <v/>
      </c>
      <c r="E37" s="21" t="str">
        <f aca="false">IFERROR(IF(OR(OR(E13="",D13=""),D13&lt;=0),"",E13/D13-1),"")</f>
        <v/>
      </c>
      <c r="F37" s="8" t="s">
        <v>354</v>
      </c>
    </row>
    <row r="38" customFormat="false" ht="15" hidden="false" customHeight="false" outlineLevel="0" collapsed="false">
      <c r="A38" s="6" t="s">
        <v>101</v>
      </c>
      <c r="B38" s="22" t="str">
        <f aca="false">IFERROR(IF(OR(B23="",B24=""),"",B23-B24),"")</f>
        <v/>
      </c>
      <c r="C38" s="22" t="str">
        <f aca="false">IFERROR(IF(OR(C23="",C24=""),"",C23-C24),"")</f>
        <v/>
      </c>
      <c r="D38" s="22" t="str">
        <f aca="false">IFERROR(IF(OR(D23="",D24=""),"",D23-D24),"")</f>
        <v/>
      </c>
      <c r="E38" s="22" t="str">
        <f aca="false">IFERROR(IF(OR(E23="",E24=""),"",E23-E24),"")</f>
        <v/>
      </c>
      <c r="F38" s="8" t="s">
        <v>355</v>
      </c>
    </row>
    <row r="39" customFormat="false" ht="15" hidden="false" customHeight="false" outlineLevel="0" collapsed="false">
      <c r="A39" s="6" t="s">
        <v>356</v>
      </c>
      <c r="B39" s="21" t="str">
        <f aca="false">IFERROR(IF(OR(B38="",B7=""),"",B38/B7),"")</f>
        <v/>
      </c>
      <c r="C39" s="21" t="str">
        <f aca="false">IFERROR(IF(OR(C38="",C7=""),"",C38/C7),"")</f>
        <v/>
      </c>
      <c r="D39" s="21" t="str">
        <f aca="false">IFERROR(IF(OR(D38="",D7=""),"",D38/D7),"")</f>
        <v/>
      </c>
      <c r="E39" s="21" t="str">
        <f aca="false">IFERROR(IF(OR(E38="",E7=""),"",E38/E7),"")</f>
        <v/>
      </c>
      <c r="F39" s="8" t="s">
        <v>357</v>
      </c>
    </row>
    <row r="40" customFormat="false" ht="15" hidden="false" customHeight="false" outlineLevel="0" collapsed="false">
      <c r="A40" s="6" t="s">
        <v>358</v>
      </c>
      <c r="B40" s="23" t="str">
        <f aca="false">IFERROR(IF(OR(B38="",B12="",N(B12)&lt;=0),"",B38/B12),"")</f>
        <v/>
      </c>
      <c r="C40" s="23" t="str">
        <f aca="false">IFERROR(IF(OR(C38="",C12="",N(C12)&lt;=0),"",C38/C12),"")</f>
        <v/>
      </c>
      <c r="D40" s="23" t="str">
        <f aca="false">IFERROR(IF(OR(D38="",D12="",N(D12)&lt;=0),"",D38/D12),"")</f>
        <v/>
      </c>
      <c r="E40" s="23" t="str">
        <f aca="false">IFERROR(IF(OR(E38="",E12="",N(E12)&lt;=0),"",E38/E12),"")</f>
        <v/>
      </c>
      <c r="F40" s="8" t="s">
        <v>359</v>
      </c>
    </row>
    <row r="41" customFormat="false" ht="15" hidden="false" customHeight="false" outlineLevel="0" collapsed="false">
      <c r="A41" s="6" t="s">
        <v>360</v>
      </c>
      <c r="B41" s="21" t="str">
        <f aca="false">IFERROR(IF(OR(B24="",B7=""),"",B24/B7),"")</f>
        <v/>
      </c>
      <c r="C41" s="21" t="str">
        <f aca="false">IFERROR(IF(OR(C24="",C7=""),"",C24/C7),"")</f>
        <v/>
      </c>
      <c r="D41" s="21" t="str">
        <f aca="false">IFERROR(IF(OR(D24="",D7=""),"",D24/D7),"")</f>
        <v/>
      </c>
      <c r="E41" s="21" t="str">
        <f aca="false">IFERROR(IF(OR(E24="",E7=""),"",E24/E7),"")</f>
        <v/>
      </c>
      <c r="F41" s="8" t="s">
        <v>361</v>
      </c>
    </row>
    <row r="42" customFormat="false" ht="15" hidden="false" customHeight="false" outlineLevel="0" collapsed="false">
      <c r="A42" s="6" t="s">
        <v>362</v>
      </c>
      <c r="B42" s="21" t="str">
        <f aca="false">IFERROR(IF(OR(B25="",B7=""),"",B25/B7),"")</f>
        <v/>
      </c>
      <c r="C42" s="21" t="str">
        <f aca="false">IFERROR(IF(OR(C25="",C7=""),"",C25/C7),"")</f>
        <v/>
      </c>
      <c r="D42" s="21" t="str">
        <f aca="false">IFERROR(IF(OR(D25="",D7=""),"",D25/D7),"")</f>
        <v/>
      </c>
      <c r="E42" s="21" t="str">
        <f aca="false">IFERROR(IF(OR(E25="",E7=""),"",E25/E7),"")</f>
        <v/>
      </c>
      <c r="F42" s="8" t="s">
        <v>363</v>
      </c>
    </row>
    <row r="43" customFormat="false" ht="15" hidden="false" customHeight="false" outlineLevel="0" collapsed="false">
      <c r="A43" s="6" t="s">
        <v>364</v>
      </c>
      <c r="B43" s="22" t="str">
        <f aca="false">IFERROR(IF(OR(B20="",B17=""),"",B20-B17),"")</f>
        <v/>
      </c>
      <c r="C43" s="22" t="str">
        <f aca="false">IFERROR(IF(OR(C20="",C17=""),"",C20-C17),"")</f>
        <v/>
      </c>
      <c r="D43" s="22" t="str">
        <f aca="false">IFERROR(IF(OR(D20="",D17=""),"",D20-D17),"")</f>
        <v/>
      </c>
      <c r="E43" s="22" t="str">
        <f aca="false">IFERROR(IF(OR(E20="",E17=""),"",E20-E17),"")</f>
        <v/>
      </c>
      <c r="F43" s="8" t="s">
        <v>365</v>
      </c>
    </row>
    <row r="44" customFormat="false" ht="15" hidden="false" customHeight="false" outlineLevel="0" collapsed="false">
      <c r="A44" s="6" t="s">
        <v>366</v>
      </c>
      <c r="B44" s="23" t="str">
        <f aca="false">IFERROR(IF(OR(B43="",B36="",N(B36)&lt;=0),"",B43/B36),"")</f>
        <v/>
      </c>
      <c r="C44" s="23" t="str">
        <f aca="false">IFERROR(IF(OR(C43="",C36="",N(C36)&lt;=0),"",C43/C36),"")</f>
        <v/>
      </c>
      <c r="D44" s="23" t="str">
        <f aca="false">IFERROR(IF(OR(D43="",D36="",N(D36)&lt;=0),"",D43/D36),"")</f>
        <v/>
      </c>
      <c r="E44" s="23" t="str">
        <f aca="false">IFERROR(IF(OR(E43="",E36="",N(E36)&lt;=0),"",E43/E36),"")</f>
        <v/>
      </c>
      <c r="F44" s="8" t="s">
        <v>367</v>
      </c>
    </row>
    <row r="45" customFormat="false" ht="15" hidden="false" customHeight="false" outlineLevel="0" collapsed="false">
      <c r="A45" s="6" t="s">
        <v>368</v>
      </c>
      <c r="B45" s="23" t="str">
        <f aca="false">IFERROR(IF(OR(OR(B9="",B11=""),N(B11)&lt;=0),"",B9/B11),"")</f>
        <v/>
      </c>
      <c r="C45" s="23" t="str">
        <f aca="false">IFERROR(IF(OR(OR(C9="",C11=""),N(C11)&lt;=0),"",C9/C11),"")</f>
        <v/>
      </c>
      <c r="D45" s="23" t="str">
        <f aca="false">IFERROR(IF(OR(OR(D9="",D11=""),N(D11)&lt;=0),"",D9/D11),"")</f>
        <v/>
      </c>
      <c r="E45" s="23" t="str">
        <f aca="false">IFERROR(IF(OR(OR(E9="",E11=""),N(E11)&lt;=0),"",E9/E11),"")</f>
        <v/>
      </c>
      <c r="F45" s="8" t="s">
        <v>369</v>
      </c>
    </row>
    <row r="46" customFormat="false" ht="23.85" hidden="false" customHeight="false" outlineLevel="0" collapsed="false">
      <c r="A46" s="6" t="s">
        <v>107</v>
      </c>
      <c r="B46" s="23" t="str">
        <f aca="false">IFERROR(IF(OR(B18="",B19=""),"",B18/B19),"")</f>
        <v/>
      </c>
      <c r="C46" s="23" t="str">
        <f aca="false">IFERROR(IF(OR(C18="",C19=""),"",C18/C19),"")</f>
        <v/>
      </c>
      <c r="D46" s="23" t="str">
        <f aca="false">IFERROR(IF(OR(D18="",D19=""),"",D18/D19),"")</f>
        <v/>
      </c>
      <c r="E46" s="23" t="str">
        <f aca="false">IFERROR(IF(OR(E18="",E19=""),"",E18/E19),"")</f>
        <v/>
      </c>
      <c r="F46" s="8" t="s">
        <v>370</v>
      </c>
    </row>
    <row r="47" customFormat="false" ht="15" hidden="false" customHeight="false" outlineLevel="0" collapsed="false">
      <c r="A47" s="6" t="s">
        <v>371</v>
      </c>
      <c r="B47" s="21" t="str">
        <f aca="false">IFERROR(IF(OR(OR(B12="",B21=""),N(B21)&lt;=0),"",B12/B21),"")</f>
        <v/>
      </c>
      <c r="C47" s="21" t="str">
        <f aca="false">IFERROR(IF(OR(OR(C12="",C21=""),N(C21)&lt;=0),"",C12/C21),"")</f>
        <v/>
      </c>
      <c r="D47" s="21" t="str">
        <f aca="false">IFERROR(IF(OR(OR(D12="",D21=""),N(D21)&lt;=0),"",D12/D21),"")</f>
        <v/>
      </c>
      <c r="E47" s="21" t="str">
        <f aca="false">IFERROR(IF(OR(OR(E12="",E21=""),N(E21)&lt;=0),"",E12/E21),"")</f>
        <v/>
      </c>
      <c r="F47" s="8" t="s">
        <v>372</v>
      </c>
    </row>
    <row r="48" customFormat="false" ht="15" hidden="false" customHeight="false" outlineLevel="0" collapsed="false">
      <c r="A48" s="6" t="s">
        <v>373</v>
      </c>
      <c r="B48" s="21" t="str">
        <f aca="false">IFERROR(IF(OR(OR(B9="",B20="",B21="",B17="",$E$28=""),(B20+B21-B17)&lt;=0),"",B9*(1-$E$28)/(B20+B21-B17)),"")</f>
        <v/>
      </c>
      <c r="C48" s="21" t="str">
        <f aca="false">IFERROR(IF(OR(OR(C9="",C20="",C21="",C17="",$E$28=""),(C20+C21-C17)&lt;=0),"",C9*(1-$E$28)/(C20+C21-C17)),"")</f>
        <v/>
      </c>
      <c r="D48" s="21" t="str">
        <f aca="false">IFERROR(IF(OR(OR(D9="",D20="",D21="",D17="",$E$28=""),(D20+D21-D17)&lt;=0),"",D9*(1-$E$28)/(D20+D21-D17)),"")</f>
        <v/>
      </c>
      <c r="E48" s="21" t="str">
        <f aca="false">IFERROR(IF(OR(OR(E9="",E20="",E21="",E17="",$E$28=""),(E20+E21-E17)&lt;=0),"",E9*(1-$E$28)/(E20+E21-E17)),"")</f>
        <v/>
      </c>
      <c r="F48" s="8" t="s">
        <v>374</v>
      </c>
    </row>
    <row r="49" customFormat="false" ht="15" hidden="false" customHeight="false" outlineLevel="0" collapsed="false">
      <c r="A49" s="6" t="s">
        <v>375</v>
      </c>
      <c r="B49" s="21"/>
      <c r="C49" s="21" t="str">
        <f aca="false">IFERROR(IF(OR(C15="",B15=""),"",C15/B15-1),"")</f>
        <v/>
      </c>
      <c r="D49" s="21" t="str">
        <f aca="false">IFERROR(IF(OR(D15="",C15=""),"",D15/C15-1),"")</f>
        <v/>
      </c>
      <c r="E49" s="21" t="str">
        <f aca="false">IFERROR(IF(OR(E15="",D15=""),"",E15/D15-1),"")</f>
        <v/>
      </c>
      <c r="F49" s="8" t="s">
        <v>376</v>
      </c>
    </row>
    <row r="50" customFormat="false" ht="15" hidden="false" customHeight="false" outlineLevel="0" collapsed="false">
      <c r="A50" s="6" t="s">
        <v>377</v>
      </c>
      <c r="B50" s="21" t="str">
        <f aca="false">IFERROR(IF(OR(AND(B27="",B26=""),B38="",N(B38)&lt;=0),"",(N(B27)+N(B26))/B38),"")</f>
        <v/>
      </c>
      <c r="C50" s="21" t="str">
        <f aca="false">IFERROR(IF(OR(AND(C27="",C26=""),C38="",N(C38)&lt;=0),"",(N(C27)+N(C26))/C38),"")</f>
        <v/>
      </c>
      <c r="D50" s="21" t="str">
        <f aca="false">IFERROR(IF(OR(AND(D27="",D26=""),D38="",N(D38)&lt;=0),"",(N(D27)+N(D26))/D38),"")</f>
        <v/>
      </c>
      <c r="E50" s="21" t="str">
        <f aca="false">IFERROR(IF(OR(AND(E27="",E26=""),E38="",N(E38)&lt;=0),"",(N(E27)+N(E26))/E38),"")</f>
        <v/>
      </c>
      <c r="F50" s="8" t="s">
        <v>378</v>
      </c>
    </row>
    <row r="52" customFormat="false" ht="15" hidden="false" customHeight="false" outlineLevel="0" collapsed="false">
      <c r="A52" s="3" t="s">
        <v>379</v>
      </c>
      <c r="B52" s="4"/>
      <c r="C52" s="4"/>
      <c r="D52" s="4"/>
      <c r="E52" s="4"/>
      <c r="F52" s="4"/>
    </row>
    <row r="53" customFormat="false" ht="15" hidden="false" customHeight="false" outlineLevel="0" collapsed="false">
      <c r="A53" s="6" t="s">
        <v>380</v>
      </c>
      <c r="E53" s="21" t="str">
        <f aca="false">IFERROR(IF(OR(OR(B7="",E7=""),B7&lt;=0),"",(E7/B7)^(1/3)-1),"")</f>
        <v/>
      </c>
      <c r="F53" s="8" t="s">
        <v>381</v>
      </c>
    </row>
    <row r="54" customFormat="false" ht="15" hidden="false" customHeight="false" outlineLevel="0" collapsed="false">
      <c r="A54" s="6" t="s">
        <v>382</v>
      </c>
      <c r="E54" s="21" t="str">
        <f aca="false">IFERROR(IF(OR(OR(B13="",E13=""),B13&lt;=0),"",(E13/B13)^(1/3)-1),"")</f>
        <v/>
      </c>
      <c r="F54" s="8"/>
    </row>
    <row r="55" customFormat="false" ht="15" hidden="false" customHeight="false" outlineLevel="0" collapsed="false">
      <c r="A55" s="6" t="s">
        <v>383</v>
      </c>
      <c r="E55" s="21" t="str">
        <f aca="false">IFERROR(IF(OR(E34="",D34=""),"",E34-D34),"")</f>
        <v/>
      </c>
      <c r="F55" s="8" t="s">
        <v>384</v>
      </c>
    </row>
    <row r="56" customFormat="false" ht="15" hidden="false" customHeight="false" outlineLevel="0" collapsed="false">
      <c r="A56" s="6" t="s">
        <v>385</v>
      </c>
      <c r="E56" s="21" t="str">
        <f aca="false">IFERROR(IF(OR(E33="",B33=""),"",E33-B33),"")</f>
        <v/>
      </c>
      <c r="F56" s="8" t="s">
        <v>386</v>
      </c>
    </row>
    <row r="58" customFormat="false" ht="15" hidden="false" customHeight="false" outlineLevel="0" collapsed="false">
      <c r="A58" s="3" t="s">
        <v>387</v>
      </c>
      <c r="B58" s="4"/>
      <c r="C58" s="4"/>
      <c r="D58" s="4"/>
      <c r="E58" s="4"/>
      <c r="F58" s="4"/>
    </row>
    <row r="59" customFormat="false" ht="15" hidden="false" customHeight="false" outlineLevel="0" collapsed="false">
      <c r="A59" s="6" t="s">
        <v>388</v>
      </c>
      <c r="E59" s="24" t="str">
        <f aca="false">IF(OR(E8="",E7=""),"-",IF(E8&lt;=E7,"OK","CHECK"))</f>
        <v>-</v>
      </c>
    </row>
    <row r="60" customFormat="false" ht="15" hidden="false" customHeight="false" outlineLevel="0" collapsed="false">
      <c r="A60" s="6" t="s">
        <v>389</v>
      </c>
      <c r="E60" s="24" t="str">
        <f aca="false">IF(OR(E13="",E15="",E12=""),"-",IF(ABS(E13*E15/E12-1)&lt;=0.1,"OK","CHECK units"))</f>
        <v>-</v>
      </c>
      <c r="F60" s="8" t="s">
        <v>390</v>
      </c>
    </row>
    <row r="61" customFormat="false" ht="15" hidden="false" customHeight="false" outlineLevel="0" collapsed="false">
      <c r="A61" s="6" t="s">
        <v>391</v>
      </c>
      <c r="E61" s="24" t="str">
        <f aca="false">IF(COUNT(B24:E24)=0,"-",IF(MIN(B24:E24)&gt;=0,"OK","Enter capex as positive"))</f>
        <v>-</v>
      </c>
    </row>
  </sheetData>
  <conditionalFormatting sqref="E59:E61">
    <cfRule type="expression" priority="2" aboveAverage="0" equalAverage="0" bottom="0" percent="0" rank="0" text="" dxfId="0">
      <formula>LEFT(E59,2)="OK"</formula>
    </cfRule>
    <cfRule type="expression" priority="3" aboveAverage="0" equalAverage="0" bottom="0" percent="0" rank="0" text="" dxfId="1">
      <formula>OR(LEFT(E59,5)="CHECK",LEFT(E59,5)="Enter")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T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2" min="1" style="0" width="5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1" max="7" min="5" style="0" width="30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13"/>
    <col collapsed="false" customWidth="true" hidden="false" outlineLevel="0" max="17" min="17" style="0" width="40"/>
    <col collapsed="false" customWidth="true" hidden="false" outlineLevel="0" max="18" min="18" style="0" width="22"/>
    <col collapsed="false" customWidth="true" hidden="false" outlineLevel="1" max="20" min="19" style="0" width="9"/>
  </cols>
  <sheetData>
    <row r="1" customFormat="false" ht="17.3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2" t="s">
        <v>393</v>
      </c>
    </row>
    <row r="4" customFormat="false" ht="57.45" hidden="false" customHeight="false" outlineLevel="0" collapsed="false">
      <c r="A4" s="7" t="s">
        <v>394</v>
      </c>
      <c r="B4" s="7" t="s">
        <v>395</v>
      </c>
      <c r="C4" s="7" t="s">
        <v>396</v>
      </c>
      <c r="D4" s="7" t="s">
        <v>397</v>
      </c>
      <c r="E4" s="7" t="s">
        <v>398</v>
      </c>
      <c r="F4" s="7" t="s">
        <v>399</v>
      </c>
      <c r="G4" s="7" t="s">
        <v>400</v>
      </c>
      <c r="H4" s="7" t="s">
        <v>401</v>
      </c>
      <c r="I4" s="7" t="s">
        <v>402</v>
      </c>
      <c r="J4" s="7" t="s">
        <v>403</v>
      </c>
      <c r="K4" s="7" t="s">
        <v>404</v>
      </c>
      <c r="L4" s="7" t="s">
        <v>405</v>
      </c>
      <c r="M4" s="7" t="s">
        <v>406</v>
      </c>
      <c r="N4" s="7" t="s">
        <v>407</v>
      </c>
      <c r="O4" s="7" t="s">
        <v>408</v>
      </c>
      <c r="P4" s="7" t="s">
        <v>409</v>
      </c>
      <c r="Q4" s="7" t="s">
        <v>410</v>
      </c>
      <c r="R4" s="7" t="s">
        <v>411</v>
      </c>
      <c r="S4" s="7" t="s">
        <v>412</v>
      </c>
      <c r="T4" s="7" t="s">
        <v>413</v>
      </c>
    </row>
    <row r="5" customFormat="false" ht="15" hidden="false" customHeight="false" outlineLevel="0" collapsed="false">
      <c r="A5" s="3" t="s">
        <v>414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46.25" hidden="false" customHeight="false" outlineLevel="0" collapsed="false">
      <c r="A6" s="24" t="s">
        <v>415</v>
      </c>
      <c r="B6" s="24" t="s">
        <v>416</v>
      </c>
      <c r="C6" s="5" t="s">
        <v>417</v>
      </c>
      <c r="D6" s="6" t="s">
        <v>418</v>
      </c>
      <c r="E6" s="8" t="s">
        <v>419</v>
      </c>
      <c r="F6" s="8" t="s">
        <v>420</v>
      </c>
      <c r="G6" s="8" t="s">
        <v>421</v>
      </c>
      <c r="H6" s="6" t="s">
        <v>422</v>
      </c>
      <c r="I6" s="6" t="s">
        <v>423</v>
      </c>
      <c r="J6" s="6" t="s">
        <v>424</v>
      </c>
      <c r="K6" s="25" t="s">
        <v>425</v>
      </c>
      <c r="L6" s="26" t="s">
        <v>426</v>
      </c>
      <c r="M6" s="27"/>
      <c r="N6" s="28"/>
      <c r="O6" s="29" t="str">
        <f aca="false">IF(N6="N/A","",IF(N6&lt;&gt;"",VALUE(N6&amp;""),IF(M6="","",M6)))</f>
        <v/>
      </c>
      <c r="P6" s="24" t="str">
        <f aca="false">IF(N6="N/A","N/A",IF(O6="","To do",IF(O6&gt;=4,"Supports BUY",IF(O6=3,"Neutral",IF(K6="Y","CRITICAL FLAG","Concern")))))</f>
        <v>To do</v>
      </c>
      <c r="Q6" s="9"/>
      <c r="R6" s="9"/>
      <c r="S6" s="6"/>
      <c r="T6" s="6"/>
    </row>
    <row r="7" customFormat="false" ht="35.05" hidden="false" customHeight="false" outlineLevel="0" collapsed="false">
      <c r="A7" s="24" t="s">
        <v>427</v>
      </c>
      <c r="B7" s="24" t="s">
        <v>416</v>
      </c>
      <c r="C7" s="5" t="s">
        <v>428</v>
      </c>
      <c r="D7" s="6" t="s">
        <v>429</v>
      </c>
      <c r="E7" s="8" t="s">
        <v>430</v>
      </c>
      <c r="F7" s="8" t="s">
        <v>431</v>
      </c>
      <c r="G7" s="8" t="s">
        <v>432</v>
      </c>
      <c r="H7" s="6" t="s">
        <v>433</v>
      </c>
      <c r="I7" s="6" t="s">
        <v>434</v>
      </c>
      <c r="J7" s="6" t="s">
        <v>435</v>
      </c>
      <c r="K7" s="25" t="s">
        <v>425</v>
      </c>
      <c r="L7" s="26" t="s">
        <v>426</v>
      </c>
      <c r="M7" s="27"/>
      <c r="N7" s="28"/>
      <c r="O7" s="29" t="str">
        <f aca="false">IF(N7="N/A","",IF(N7&lt;&gt;"",VALUE(N7&amp;""),IF(M7="","",M7)))</f>
        <v/>
      </c>
      <c r="P7" s="24" t="str">
        <f aca="false">IF(N7="N/A","N/A",IF(O7="","To do",IF(O7&gt;=4,"Supports BUY",IF(O7=3,"Neutral",IF(K7="Y","CRITICAL FLAG","Concern")))))</f>
        <v>To do</v>
      </c>
      <c r="Q7" s="9"/>
      <c r="R7" s="9"/>
      <c r="S7" s="6"/>
      <c r="T7" s="6"/>
    </row>
    <row r="8" customFormat="false" ht="23.85" hidden="false" customHeight="false" outlineLevel="0" collapsed="false">
      <c r="A8" s="24" t="s">
        <v>436</v>
      </c>
      <c r="B8" s="24" t="s">
        <v>416</v>
      </c>
      <c r="C8" s="5" t="s">
        <v>437</v>
      </c>
      <c r="D8" s="6" t="s">
        <v>438</v>
      </c>
      <c r="E8" s="8" t="s">
        <v>439</v>
      </c>
      <c r="F8" s="8" t="s">
        <v>440</v>
      </c>
      <c r="G8" s="8" t="s">
        <v>441</v>
      </c>
      <c r="H8" s="6" t="s">
        <v>442</v>
      </c>
      <c r="I8" s="6" t="s">
        <v>443</v>
      </c>
      <c r="J8" s="6" t="s">
        <v>444</v>
      </c>
      <c r="K8" s="25" t="s">
        <v>425</v>
      </c>
      <c r="L8" s="26" t="s">
        <v>426</v>
      </c>
      <c r="M8" s="27"/>
      <c r="N8" s="28"/>
      <c r="O8" s="29" t="str">
        <f aca="false">IF(N8="N/A","",IF(N8&lt;&gt;"",VALUE(N8&amp;""),IF(M8="","",M8)))</f>
        <v/>
      </c>
      <c r="P8" s="24" t="str">
        <f aca="false">IF(N8="N/A","N/A",IF(O8="","To do",IF(O8&gt;=4,"Supports BUY",IF(O8=3,"Neutral",IF(K8="Y","CRITICAL FLAG","Concern")))))</f>
        <v>To do</v>
      </c>
      <c r="Q8" s="9"/>
      <c r="R8" s="9"/>
      <c r="S8" s="6"/>
      <c r="T8" s="6"/>
    </row>
    <row r="9" customFormat="false" ht="35.05" hidden="false" customHeight="false" outlineLevel="0" collapsed="false">
      <c r="A9" s="24" t="s">
        <v>445</v>
      </c>
      <c r="B9" s="24" t="s">
        <v>416</v>
      </c>
      <c r="C9" s="5" t="s">
        <v>446</v>
      </c>
      <c r="D9" s="6" t="s">
        <v>447</v>
      </c>
      <c r="E9" s="8" t="s">
        <v>448</v>
      </c>
      <c r="F9" s="8" t="s">
        <v>449</v>
      </c>
      <c r="G9" s="8" t="s">
        <v>450</v>
      </c>
      <c r="H9" s="6" t="s">
        <v>451</v>
      </c>
      <c r="I9" s="6" t="s">
        <v>452</v>
      </c>
      <c r="J9" s="6" t="s">
        <v>453</v>
      </c>
      <c r="K9" s="25" t="s">
        <v>425</v>
      </c>
      <c r="L9" s="26" t="s">
        <v>426</v>
      </c>
      <c r="M9" s="27"/>
      <c r="N9" s="28"/>
      <c r="O9" s="29" t="str">
        <f aca="false">IF(N9="N/A","",IF(N9&lt;&gt;"",VALUE(N9&amp;""),IF(M9="","",M9)))</f>
        <v/>
      </c>
      <c r="P9" s="24" t="str">
        <f aca="false">IF(N9="N/A","N/A",IF(O9="","To do",IF(O9&gt;=4,"Supports BUY",IF(O9=3,"Neutral",IF(K9="Y","CRITICAL FLAG","Concern")))))</f>
        <v>To do</v>
      </c>
      <c r="Q9" s="9"/>
      <c r="R9" s="9"/>
      <c r="S9" s="6"/>
      <c r="T9" s="6"/>
    </row>
    <row r="10" customFormat="false" ht="23.85" hidden="false" customHeight="false" outlineLevel="0" collapsed="false">
      <c r="A10" s="24" t="s">
        <v>454</v>
      </c>
      <c r="B10" s="24" t="s">
        <v>416</v>
      </c>
      <c r="C10" s="5" t="s">
        <v>455</v>
      </c>
      <c r="D10" s="6" t="s">
        <v>456</v>
      </c>
      <c r="E10" s="8" t="s">
        <v>457</v>
      </c>
      <c r="F10" s="8" t="s">
        <v>458</v>
      </c>
      <c r="G10" s="8" t="s">
        <v>459</v>
      </c>
      <c r="H10" s="6" t="s">
        <v>460</v>
      </c>
      <c r="I10" s="6" t="s">
        <v>461</v>
      </c>
      <c r="J10" s="6" t="s">
        <v>462</v>
      </c>
      <c r="K10" s="25" t="s">
        <v>425</v>
      </c>
      <c r="L10" s="26" t="s">
        <v>426</v>
      </c>
      <c r="M10" s="27"/>
      <c r="N10" s="28"/>
      <c r="O10" s="29" t="str">
        <f aca="false">IF(N10="N/A","",IF(N10&lt;&gt;"",VALUE(N10&amp;""),IF(M10="","",M10)))</f>
        <v/>
      </c>
      <c r="P10" s="24" t="str">
        <f aca="false">IF(N10="N/A","N/A",IF(O10="","To do",IF(O10&gt;=4,"Supports BUY",IF(O10=3,"Neutral",IF(K10="Y","CRITICAL FLAG","Concern")))))</f>
        <v>To do</v>
      </c>
      <c r="Q10" s="9"/>
      <c r="R10" s="9"/>
      <c r="S10" s="6"/>
      <c r="T10" s="6"/>
    </row>
    <row r="11" customFormat="false" ht="35.05" hidden="false" customHeight="false" outlineLevel="0" collapsed="false">
      <c r="A11" s="24" t="s">
        <v>463</v>
      </c>
      <c r="B11" s="24" t="s">
        <v>416</v>
      </c>
      <c r="C11" s="5" t="s">
        <v>464</v>
      </c>
      <c r="D11" s="6" t="s">
        <v>465</v>
      </c>
      <c r="E11" s="8" t="s">
        <v>466</v>
      </c>
      <c r="F11" s="8" t="s">
        <v>467</v>
      </c>
      <c r="G11" s="8" t="s">
        <v>468</v>
      </c>
      <c r="H11" s="6" t="s">
        <v>469</v>
      </c>
      <c r="I11" s="6" t="s">
        <v>470</v>
      </c>
      <c r="J11" s="6" t="s">
        <v>471</v>
      </c>
      <c r="K11" s="25" t="s">
        <v>425</v>
      </c>
      <c r="L11" s="26" t="s">
        <v>426</v>
      </c>
      <c r="M11" s="27"/>
      <c r="N11" s="28"/>
      <c r="O11" s="29" t="str">
        <f aca="false">IF(N11="N/A","",IF(N11&lt;&gt;"",VALUE(N11&amp;""),IF(M11="","",M11)))</f>
        <v/>
      </c>
      <c r="P11" s="24" t="str">
        <f aca="false">IF(N11="N/A","N/A",IF(O11="","To do",IF(O11&gt;=4,"Supports BUY",IF(O11=3,"Neutral",IF(K11="Y","CRITICAL FLAG","Concern")))))</f>
        <v>To do</v>
      </c>
      <c r="Q11" s="9"/>
      <c r="R11" s="9"/>
      <c r="S11" s="6"/>
      <c r="T11" s="6"/>
    </row>
    <row r="12" customFormat="false" ht="15" hidden="false" customHeight="false" outlineLevel="0" collapsed="false">
      <c r="A12" s="3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23.85" hidden="false" customHeight="false" outlineLevel="0" collapsed="false">
      <c r="A13" s="24" t="s">
        <v>473</v>
      </c>
      <c r="B13" s="24" t="s">
        <v>474</v>
      </c>
      <c r="C13" s="5" t="s">
        <v>475</v>
      </c>
      <c r="D13" s="6" t="s">
        <v>476</v>
      </c>
      <c r="E13" s="8" t="s">
        <v>477</v>
      </c>
      <c r="F13" s="8" t="s">
        <v>478</v>
      </c>
      <c r="G13" s="8" t="s">
        <v>479</v>
      </c>
      <c r="H13" s="6" t="s">
        <v>480</v>
      </c>
      <c r="I13" s="6" t="s">
        <v>481</v>
      </c>
      <c r="J13" s="6" t="s">
        <v>482</v>
      </c>
      <c r="K13" s="25" t="s">
        <v>425</v>
      </c>
      <c r="L13" s="26" t="s">
        <v>426</v>
      </c>
      <c r="M13" s="27"/>
      <c r="N13" s="28"/>
      <c r="O13" s="29" t="str">
        <f aca="false">IF(N13="N/A","",IF(N13&lt;&gt;"",VALUE(N13&amp;""),IF(M13="","",M13)))</f>
        <v/>
      </c>
      <c r="P13" s="24" t="str">
        <f aca="false">IF(N13="N/A","N/A",IF(O13="","To do",IF(O13&gt;=4,"Supports BUY",IF(O13=3,"Neutral",IF(K13="Y","CRITICAL FLAG","Concern")))))</f>
        <v>To do</v>
      </c>
      <c r="Q13" s="9"/>
      <c r="R13" s="9"/>
      <c r="S13" s="6"/>
      <c r="T13" s="6"/>
    </row>
    <row r="14" customFormat="false" ht="23.85" hidden="false" customHeight="false" outlineLevel="0" collapsed="false">
      <c r="A14" s="24" t="s">
        <v>483</v>
      </c>
      <c r="B14" s="24" t="s">
        <v>474</v>
      </c>
      <c r="C14" s="5" t="s">
        <v>484</v>
      </c>
      <c r="D14" s="6" t="s">
        <v>485</v>
      </c>
      <c r="E14" s="8" t="s">
        <v>486</v>
      </c>
      <c r="F14" s="8" t="s">
        <v>487</v>
      </c>
      <c r="G14" s="8" t="s">
        <v>488</v>
      </c>
      <c r="H14" s="6" t="s">
        <v>489</v>
      </c>
      <c r="I14" s="6" t="s">
        <v>490</v>
      </c>
      <c r="J14" s="6" t="s">
        <v>491</v>
      </c>
      <c r="K14" s="25" t="s">
        <v>425</v>
      </c>
      <c r="L14" s="26" t="s">
        <v>426</v>
      </c>
      <c r="M14" s="27"/>
      <c r="N14" s="28"/>
      <c r="O14" s="29" t="str">
        <f aca="false">IF(N14="N/A","",IF(N14&lt;&gt;"",VALUE(N14&amp;""),IF(M14="","",M14)))</f>
        <v/>
      </c>
      <c r="P14" s="24" t="str">
        <f aca="false">IF(N14="N/A","N/A",IF(O14="","To do",IF(O14&gt;=4,"Supports BUY",IF(O14=3,"Neutral",IF(K14="Y","CRITICAL FLAG","Concern")))))</f>
        <v>To do</v>
      </c>
      <c r="Q14" s="9"/>
      <c r="R14" s="9"/>
      <c r="S14" s="6"/>
      <c r="T14" s="6"/>
    </row>
    <row r="15" customFormat="false" ht="35.05" hidden="false" customHeight="false" outlineLevel="0" collapsed="false">
      <c r="A15" s="24" t="s">
        <v>492</v>
      </c>
      <c r="B15" s="24" t="s">
        <v>474</v>
      </c>
      <c r="C15" s="5" t="s">
        <v>493</v>
      </c>
      <c r="D15" s="6" t="s">
        <v>494</v>
      </c>
      <c r="E15" s="8" t="s">
        <v>495</v>
      </c>
      <c r="F15" s="8" t="s">
        <v>496</v>
      </c>
      <c r="G15" s="8" t="s">
        <v>497</v>
      </c>
      <c r="H15" s="6" t="s">
        <v>498</v>
      </c>
      <c r="I15" s="6" t="s">
        <v>499</v>
      </c>
      <c r="J15" s="6" t="s">
        <v>500</v>
      </c>
      <c r="K15" s="25" t="s">
        <v>501</v>
      </c>
      <c r="L15" s="26" t="s">
        <v>426</v>
      </c>
      <c r="M15" s="27"/>
      <c r="N15" s="28"/>
      <c r="O15" s="29" t="str">
        <f aca="false">IF(N15="N/A","",IF(N15&lt;&gt;"",VALUE(N15&amp;""),IF(M15="","",M15)))</f>
        <v/>
      </c>
      <c r="P15" s="24" t="str">
        <f aca="false">IF(N15="N/A","N/A",IF(O15="","To do",IF(O15&gt;=4,"Supports BUY",IF(O15=3,"Neutral",IF(K15="Y","CRITICAL FLAG","Concern")))))</f>
        <v>To do</v>
      </c>
      <c r="Q15" s="9"/>
      <c r="R15" s="9"/>
      <c r="S15" s="6"/>
      <c r="T15" s="6"/>
    </row>
    <row r="16" customFormat="false" ht="35.05" hidden="false" customHeight="false" outlineLevel="0" collapsed="false">
      <c r="A16" s="24" t="s">
        <v>502</v>
      </c>
      <c r="B16" s="24" t="s">
        <v>474</v>
      </c>
      <c r="C16" s="5" t="s">
        <v>503</v>
      </c>
      <c r="D16" s="6" t="s">
        <v>504</v>
      </c>
      <c r="E16" s="8" t="s">
        <v>505</v>
      </c>
      <c r="F16" s="8" t="s">
        <v>506</v>
      </c>
      <c r="G16" s="8" t="s">
        <v>507</v>
      </c>
      <c r="H16" s="6" t="s">
        <v>508</v>
      </c>
      <c r="I16" s="6" t="s">
        <v>509</v>
      </c>
      <c r="J16" s="6" t="s">
        <v>510</v>
      </c>
      <c r="K16" s="25" t="s">
        <v>425</v>
      </c>
      <c r="L16" s="26" t="s">
        <v>426</v>
      </c>
      <c r="M16" s="27"/>
      <c r="N16" s="28"/>
      <c r="O16" s="29" t="str">
        <f aca="false">IF(N16="N/A","",IF(N16&lt;&gt;"",VALUE(N16&amp;""),IF(M16="","",M16)))</f>
        <v/>
      </c>
      <c r="P16" s="24" t="str">
        <f aca="false">IF(N16="N/A","N/A",IF(O16="","To do",IF(O16&gt;=4,"Supports BUY",IF(O16=3,"Neutral",IF(K16="Y","CRITICAL FLAG","Concern")))))</f>
        <v>To do</v>
      </c>
      <c r="Q16" s="9"/>
      <c r="R16" s="9"/>
      <c r="S16" s="6"/>
      <c r="T16" s="6"/>
    </row>
    <row r="17" customFormat="false" ht="23.85" hidden="false" customHeight="false" outlineLevel="0" collapsed="false">
      <c r="A17" s="24" t="s">
        <v>511</v>
      </c>
      <c r="B17" s="24" t="s">
        <v>474</v>
      </c>
      <c r="C17" s="5" t="s">
        <v>512</v>
      </c>
      <c r="D17" s="6" t="s">
        <v>513</v>
      </c>
      <c r="E17" s="8" t="s">
        <v>514</v>
      </c>
      <c r="F17" s="8" t="s">
        <v>515</v>
      </c>
      <c r="G17" s="8" t="s">
        <v>516</v>
      </c>
      <c r="H17" s="6" t="s">
        <v>517</v>
      </c>
      <c r="I17" s="6" t="s">
        <v>518</v>
      </c>
      <c r="J17" s="6" t="s">
        <v>519</v>
      </c>
      <c r="K17" s="25" t="s">
        <v>425</v>
      </c>
      <c r="L17" s="26" t="s">
        <v>426</v>
      </c>
      <c r="M17" s="27"/>
      <c r="N17" s="28"/>
      <c r="O17" s="29" t="str">
        <f aca="false">IF(N17="N/A","",IF(N17&lt;&gt;"",VALUE(N17&amp;""),IF(M17="","",M17)))</f>
        <v/>
      </c>
      <c r="P17" s="24" t="str">
        <f aca="false">IF(N17="N/A","N/A",IF(O17="","To do",IF(O17&gt;=4,"Supports BUY",IF(O17=3,"Neutral",IF(K17="Y","CRITICAL FLAG","Concern")))))</f>
        <v>To do</v>
      </c>
      <c r="Q17" s="9"/>
      <c r="R17" s="9"/>
      <c r="S17" s="6"/>
      <c r="T17" s="6"/>
    </row>
    <row r="18" customFormat="false" ht="15" hidden="false" customHeight="false" outlineLevel="0" collapsed="false">
      <c r="A18" s="3" t="s">
        <v>520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23.85" hidden="false" customHeight="false" outlineLevel="0" collapsed="false">
      <c r="A19" s="24" t="s">
        <v>521</v>
      </c>
      <c r="B19" s="24" t="s">
        <v>522</v>
      </c>
      <c r="C19" s="5" t="s">
        <v>523</v>
      </c>
      <c r="D19" s="6" t="s">
        <v>524</v>
      </c>
      <c r="E19" s="8" t="s">
        <v>525</v>
      </c>
      <c r="F19" s="8" t="s">
        <v>526</v>
      </c>
      <c r="G19" s="8" t="s">
        <v>527</v>
      </c>
      <c r="H19" s="6" t="s">
        <v>528</v>
      </c>
      <c r="I19" s="6" t="s">
        <v>529</v>
      </c>
      <c r="J19" s="6" t="s">
        <v>530</v>
      </c>
      <c r="K19" s="25" t="s">
        <v>425</v>
      </c>
      <c r="L19" s="30" t="str">
        <f aca="false">IF('2. Financials'!$E$32="","",'2. Financials'!$E$32)</f>
        <v/>
      </c>
      <c r="M19" s="31" t="str">
        <f aca="false">IFERROR(IF(OR(L19="",S19="",T19=""),"",IF(((L19-T19)/(S19-T19))&gt;=2,5,IF(((L19-T19)/(S19-T19))&gt;=1,4,IF(((L19-T19)/(S19-T19))&gt;0,3,IF(((L19-T19)/(S19-T19))&gt;-1,2,1))))),"")</f>
        <v/>
      </c>
      <c r="N19" s="28"/>
      <c r="O19" s="29" t="str">
        <f aca="false">IF(N19="N/A","",IF(N19&lt;&gt;"",VALUE(N19&amp;""),IF(M19="","",M19)))</f>
        <v/>
      </c>
      <c r="P19" s="24" t="str">
        <f aca="false">IF(N19="N/A","N/A",IF(O19="","To do",IF(O19&gt;=4,"Supports BUY",IF(O19=3,"Neutral",IF(K19="Y","CRITICAL FLAG","Concern")))))</f>
        <v>To do</v>
      </c>
      <c r="Q19" s="9"/>
      <c r="R19" s="9"/>
      <c r="S19" s="32" t="n">
        <v>0.1</v>
      </c>
      <c r="T19" s="32" t="n">
        <v>0</v>
      </c>
    </row>
    <row r="20" customFormat="false" ht="23.85" hidden="false" customHeight="false" outlineLevel="0" collapsed="false">
      <c r="A20" s="24" t="s">
        <v>531</v>
      </c>
      <c r="B20" s="24" t="s">
        <v>522</v>
      </c>
      <c r="C20" s="5" t="s">
        <v>532</v>
      </c>
      <c r="D20" s="6" t="s">
        <v>533</v>
      </c>
      <c r="E20" s="8" t="s">
        <v>534</v>
      </c>
      <c r="F20" s="8" t="s">
        <v>526</v>
      </c>
      <c r="G20" s="8" t="s">
        <v>535</v>
      </c>
      <c r="H20" s="6" t="s">
        <v>536</v>
      </c>
      <c r="I20" s="6" t="s">
        <v>537</v>
      </c>
      <c r="J20" s="6" t="s">
        <v>482</v>
      </c>
      <c r="K20" s="25" t="s">
        <v>425</v>
      </c>
      <c r="L20" s="30" t="str">
        <f aca="false">IF('2. Financials'!$E$53="","",'2. Financials'!$E$53)</f>
        <v/>
      </c>
      <c r="M20" s="31" t="str">
        <f aca="false">IFERROR(IF(OR(L20="",S20="",T20=""),"",IF(((L20-T20)/(S20-T20))&gt;=2,5,IF(((L20-T20)/(S20-T20))&gt;=1,4,IF(((L20-T20)/(S20-T20))&gt;0,3,IF(((L20-T20)/(S20-T20))&gt;-1,2,1))))),"")</f>
        <v/>
      </c>
      <c r="N20" s="28"/>
      <c r="O20" s="29" t="str">
        <f aca="false">IF(N20="N/A","",IF(N20&lt;&gt;"",VALUE(N20&amp;""),IF(M20="","",M20)))</f>
        <v/>
      </c>
      <c r="P20" s="24" t="str">
        <f aca="false">IF(N20="N/A","N/A",IF(O20="","To do",IF(O20&gt;=4,"Supports BUY",IF(O20=3,"Neutral",IF(K20="Y","CRITICAL FLAG","Concern")))))</f>
        <v>To do</v>
      </c>
      <c r="Q20" s="9"/>
      <c r="R20" s="9"/>
      <c r="S20" s="32" t="n">
        <v>0.08</v>
      </c>
      <c r="T20" s="32" t="n">
        <v>0</v>
      </c>
    </row>
    <row r="21" customFormat="false" ht="23.85" hidden="false" customHeight="false" outlineLevel="0" collapsed="false">
      <c r="A21" s="24" t="s">
        <v>538</v>
      </c>
      <c r="B21" s="24" t="s">
        <v>522</v>
      </c>
      <c r="C21" s="5" t="s">
        <v>539</v>
      </c>
      <c r="D21" s="6" t="s">
        <v>540</v>
      </c>
      <c r="E21" s="8" t="s">
        <v>541</v>
      </c>
      <c r="F21" s="8" t="s">
        <v>526</v>
      </c>
      <c r="G21" s="8" t="s">
        <v>542</v>
      </c>
      <c r="H21" s="6" t="s">
        <v>543</v>
      </c>
      <c r="I21" s="6" t="s">
        <v>529</v>
      </c>
      <c r="J21" s="6" t="s">
        <v>544</v>
      </c>
      <c r="K21" s="25" t="s">
        <v>425</v>
      </c>
      <c r="L21" s="30" t="str">
        <f aca="false">IF('2. Financials'!$E$37="","",'2. Financials'!$E$37)</f>
        <v/>
      </c>
      <c r="M21" s="31" t="str">
        <f aca="false">IFERROR(IF(OR(L21="",S21="",T21=""),"",IF(((L21-T21)/(S21-T21))&gt;=2,5,IF(((L21-T21)/(S21-T21))&gt;=1,4,IF(((L21-T21)/(S21-T21))&gt;0,3,IF(((L21-T21)/(S21-T21))&gt;-1,2,1))))),"")</f>
        <v/>
      </c>
      <c r="N21" s="28"/>
      <c r="O21" s="29" t="str">
        <f aca="false">IF(N21="N/A","",IF(N21&lt;&gt;"",VALUE(N21&amp;""),IF(M21="","",M21)))</f>
        <v/>
      </c>
      <c r="P21" s="24" t="str">
        <f aca="false">IF(N21="N/A","N/A",IF(O21="","To do",IF(O21&gt;=4,"Supports BUY",IF(O21=3,"Neutral",IF(K21="Y","CRITICAL FLAG","Concern")))))</f>
        <v>To do</v>
      </c>
      <c r="Q21" s="9"/>
      <c r="R21" s="9"/>
      <c r="S21" s="32" t="n">
        <v>0.1</v>
      </c>
      <c r="T21" s="32" t="n">
        <v>0</v>
      </c>
    </row>
    <row r="22" customFormat="false" ht="35.05" hidden="false" customHeight="false" outlineLevel="0" collapsed="false">
      <c r="A22" s="24" t="s">
        <v>545</v>
      </c>
      <c r="B22" s="24" t="s">
        <v>522</v>
      </c>
      <c r="C22" s="5" t="s">
        <v>546</v>
      </c>
      <c r="D22" s="6" t="s">
        <v>547</v>
      </c>
      <c r="E22" s="8" t="s">
        <v>548</v>
      </c>
      <c r="F22" s="8" t="s">
        <v>549</v>
      </c>
      <c r="G22" s="8" t="s">
        <v>550</v>
      </c>
      <c r="H22" s="6" t="s">
        <v>551</v>
      </c>
      <c r="I22" s="6" t="s">
        <v>552</v>
      </c>
      <c r="J22" s="6" t="s">
        <v>553</v>
      </c>
      <c r="K22" s="25" t="s">
        <v>425</v>
      </c>
      <c r="L22" s="26" t="s">
        <v>426</v>
      </c>
      <c r="M22" s="27"/>
      <c r="N22" s="28"/>
      <c r="O22" s="29" t="str">
        <f aca="false">IF(N22="N/A","",IF(N22&lt;&gt;"",VALUE(N22&amp;""),IF(M22="","",M22)))</f>
        <v/>
      </c>
      <c r="P22" s="24" t="str">
        <f aca="false">IF(N22="N/A","N/A",IF(O22="","To do",IF(O22&gt;=4,"Supports BUY",IF(O22=3,"Neutral",IF(K22="Y","CRITICAL FLAG","Concern")))))</f>
        <v>To do</v>
      </c>
      <c r="Q22" s="9"/>
      <c r="R22" s="9"/>
      <c r="S22" s="6"/>
      <c r="T22" s="6"/>
    </row>
    <row r="23" customFormat="false" ht="35.05" hidden="false" customHeight="false" outlineLevel="0" collapsed="false">
      <c r="A23" s="24" t="s">
        <v>554</v>
      </c>
      <c r="B23" s="24" t="s">
        <v>522</v>
      </c>
      <c r="C23" s="5" t="s">
        <v>555</v>
      </c>
      <c r="D23" s="6" t="s">
        <v>556</v>
      </c>
      <c r="E23" s="8" t="s">
        <v>557</v>
      </c>
      <c r="F23" s="8" t="s">
        <v>558</v>
      </c>
      <c r="G23" s="8" t="s">
        <v>559</v>
      </c>
      <c r="H23" s="6" t="s">
        <v>560</v>
      </c>
      <c r="I23" s="6" t="s">
        <v>561</v>
      </c>
      <c r="J23" s="6" t="s">
        <v>562</v>
      </c>
      <c r="K23" s="25" t="s">
        <v>425</v>
      </c>
      <c r="L23" s="26" t="s">
        <v>426</v>
      </c>
      <c r="M23" s="27"/>
      <c r="N23" s="28"/>
      <c r="O23" s="29" t="str">
        <f aca="false">IF(N23="N/A","",IF(N23&lt;&gt;"",VALUE(N23&amp;""),IF(M23="","",M23)))</f>
        <v/>
      </c>
      <c r="P23" s="24" t="str">
        <f aca="false">IF(N23="N/A","N/A",IF(O23="","To do",IF(O23&gt;=4,"Supports BUY",IF(O23=3,"Neutral",IF(K23="Y","CRITICAL FLAG","Concern")))))</f>
        <v>To do</v>
      </c>
      <c r="Q23" s="9"/>
      <c r="R23" s="9"/>
      <c r="S23" s="6"/>
      <c r="T23" s="6"/>
    </row>
    <row r="24" customFormat="false" ht="15" hidden="false" customHeight="false" outlineLevel="0" collapsed="false">
      <c r="A24" s="3" t="s">
        <v>563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46.25" hidden="false" customHeight="false" outlineLevel="0" collapsed="false">
      <c r="A25" s="24" t="s">
        <v>564</v>
      </c>
      <c r="B25" s="24" t="s">
        <v>565</v>
      </c>
      <c r="C25" s="5" t="s">
        <v>346</v>
      </c>
      <c r="D25" s="6" t="s">
        <v>566</v>
      </c>
      <c r="E25" s="8" t="s">
        <v>567</v>
      </c>
      <c r="F25" s="8" t="s">
        <v>526</v>
      </c>
      <c r="G25" s="8" t="s">
        <v>568</v>
      </c>
      <c r="H25" s="6" t="s">
        <v>569</v>
      </c>
      <c r="I25" s="6" t="s">
        <v>570</v>
      </c>
      <c r="J25" s="6" t="s">
        <v>571</v>
      </c>
      <c r="K25" s="25" t="s">
        <v>425</v>
      </c>
      <c r="L25" s="30" t="str">
        <f aca="false">IF('2. Financials'!$E$33="","",'2. Financials'!$E$33)</f>
        <v/>
      </c>
      <c r="M25" s="31" t="str">
        <f aca="false">IFERROR(IF(OR(L25="",S25="",T25=""),"",IF(((L25-T25)/(S25-T25))&gt;=2,5,IF(((L25-T25)/(S25-T25))&gt;=1,4,IF(((L25-T25)/(S25-T25))&gt;0,3,IF(((L25-T25)/(S25-T25))&gt;-1,2,1))))),"")</f>
        <v/>
      </c>
      <c r="N25" s="28"/>
      <c r="O25" s="29" t="str">
        <f aca="false">IF(N25="N/A","",IF(N25&lt;&gt;"",VALUE(N25&amp;""),IF(M25="","",M25)))</f>
        <v/>
      </c>
      <c r="P25" s="24" t="str">
        <f aca="false">IF(N25="N/A","N/A",IF(O25="","To do",IF(O25&gt;=4,"Supports BUY",IF(O25=3,"Neutral",IF(K25="Y","CRITICAL FLAG","Concern")))))</f>
        <v>To do</v>
      </c>
      <c r="Q25" s="9"/>
      <c r="R25" s="9"/>
      <c r="S25" s="32" t="n">
        <v>0.4</v>
      </c>
      <c r="T25" s="32" t="n">
        <v>0.2</v>
      </c>
    </row>
    <row r="26" customFormat="false" ht="23.85" hidden="false" customHeight="false" outlineLevel="0" collapsed="false">
      <c r="A26" s="24" t="s">
        <v>572</v>
      </c>
      <c r="B26" s="24" t="s">
        <v>565</v>
      </c>
      <c r="C26" s="5" t="s">
        <v>348</v>
      </c>
      <c r="D26" s="6" t="s">
        <v>573</v>
      </c>
      <c r="E26" s="8" t="s">
        <v>574</v>
      </c>
      <c r="F26" s="8" t="s">
        <v>526</v>
      </c>
      <c r="G26" s="8" t="s">
        <v>575</v>
      </c>
      <c r="H26" s="6" t="s">
        <v>576</v>
      </c>
      <c r="I26" s="6" t="s">
        <v>577</v>
      </c>
      <c r="J26" s="6" t="s">
        <v>578</v>
      </c>
      <c r="K26" s="25" t="s">
        <v>425</v>
      </c>
      <c r="L26" s="30" t="str">
        <f aca="false">IF('2. Financials'!$E$34="","",'2. Financials'!$E$34)</f>
        <v/>
      </c>
      <c r="M26" s="31" t="str">
        <f aca="false">IFERROR(IF(OR(L26="",S26="",T26=""),"",IF(((L26-T26)/(S26-T26))&gt;=2,5,IF(((L26-T26)/(S26-T26))&gt;=1,4,IF(((L26-T26)/(S26-T26))&gt;0,3,IF(((L26-T26)/(S26-T26))&gt;-1,2,1))))),"")</f>
        <v/>
      </c>
      <c r="N26" s="28"/>
      <c r="O26" s="29" t="str">
        <f aca="false">IF(N26="N/A","",IF(N26&lt;&gt;"",VALUE(N26&amp;""),IF(M26="","",M26)))</f>
        <v/>
      </c>
      <c r="P26" s="24" t="str">
        <f aca="false">IF(N26="N/A","N/A",IF(O26="","To do",IF(O26&gt;=4,"Supports BUY",IF(O26=3,"Neutral",IF(K26="Y","CRITICAL FLAG","Concern")))))</f>
        <v>To do</v>
      </c>
      <c r="Q26" s="9"/>
      <c r="R26" s="9"/>
      <c r="S26" s="32" t="n">
        <v>0.15</v>
      </c>
      <c r="T26" s="32" t="n">
        <v>0.05</v>
      </c>
    </row>
    <row r="27" customFormat="false" ht="23.85" hidden="false" customHeight="false" outlineLevel="0" collapsed="false">
      <c r="A27" s="24" t="s">
        <v>579</v>
      </c>
      <c r="B27" s="24" t="s">
        <v>565</v>
      </c>
      <c r="C27" s="5" t="s">
        <v>580</v>
      </c>
      <c r="D27" s="6" t="s">
        <v>581</v>
      </c>
      <c r="E27" s="8" t="s">
        <v>582</v>
      </c>
      <c r="F27" s="8" t="s">
        <v>526</v>
      </c>
      <c r="G27" s="8" t="s">
        <v>583</v>
      </c>
      <c r="H27" s="6" t="s">
        <v>584</v>
      </c>
      <c r="I27" s="6" t="s">
        <v>585</v>
      </c>
      <c r="J27" s="6" t="s">
        <v>586</v>
      </c>
      <c r="K27" s="25" t="s">
        <v>425</v>
      </c>
      <c r="L27" s="30" t="str">
        <f aca="false">IF('2. Financials'!$E$55="","",'2. Financials'!$E$55)</f>
        <v/>
      </c>
      <c r="M27" s="31" t="str">
        <f aca="false">IFERROR(IF(OR(L27="",S27="",T27=""),"",IF(((L27-T27)/(S27-T27))&gt;=2,5,IF(((L27-T27)/(S27-T27))&gt;=1,4,IF(((L27-T27)/(S27-T27))&gt;0,3,IF(((L27-T27)/(S27-T27))&gt;-1,2,1))))),"")</f>
        <v/>
      </c>
      <c r="N27" s="28"/>
      <c r="O27" s="29" t="str">
        <f aca="false">IF(N27="N/A","",IF(N27&lt;&gt;"",VALUE(N27&amp;""),IF(M27="","",M27)))</f>
        <v/>
      </c>
      <c r="P27" s="24" t="str">
        <f aca="false">IF(N27="N/A","N/A",IF(O27="","To do",IF(O27&gt;=4,"Supports BUY",IF(O27=3,"Neutral",IF(K27="Y","CRITICAL FLAG","Concern")))))</f>
        <v>To do</v>
      </c>
      <c r="Q27" s="9"/>
      <c r="R27" s="9"/>
      <c r="S27" s="32" t="n">
        <v>0.01</v>
      </c>
      <c r="T27" s="32" t="n">
        <v>-0.02</v>
      </c>
    </row>
    <row r="28" customFormat="false" ht="23.85" hidden="false" customHeight="false" outlineLevel="0" collapsed="false">
      <c r="A28" s="24" t="s">
        <v>587</v>
      </c>
      <c r="B28" s="24" t="s">
        <v>565</v>
      </c>
      <c r="C28" s="5" t="s">
        <v>371</v>
      </c>
      <c r="D28" s="6" t="s">
        <v>588</v>
      </c>
      <c r="E28" s="8" t="s">
        <v>589</v>
      </c>
      <c r="F28" s="8" t="s">
        <v>526</v>
      </c>
      <c r="G28" s="8" t="s">
        <v>590</v>
      </c>
      <c r="H28" s="6" t="s">
        <v>591</v>
      </c>
      <c r="I28" s="6" t="s">
        <v>592</v>
      </c>
      <c r="J28" s="6" t="s">
        <v>593</v>
      </c>
      <c r="K28" s="25" t="s">
        <v>425</v>
      </c>
      <c r="L28" s="30" t="str">
        <f aca="false">IF('2. Financials'!$E$47="","",'2. Financials'!$E$47)</f>
        <v/>
      </c>
      <c r="M28" s="31" t="str">
        <f aca="false">IFERROR(IF(OR(L28="",S28="",T28=""),"",IF(((L28-T28)/(S28-T28))&gt;=2,5,IF(((L28-T28)/(S28-T28))&gt;=1,4,IF(((L28-T28)/(S28-T28))&gt;0,3,IF(((L28-T28)/(S28-T28))&gt;-1,2,1))))),"")</f>
        <v/>
      </c>
      <c r="N28" s="28"/>
      <c r="O28" s="29" t="str">
        <f aca="false">IF(N28="N/A","",IF(N28&lt;&gt;"",VALUE(N28&amp;""),IF(M28="","",M28)))</f>
        <v/>
      </c>
      <c r="P28" s="24" t="str">
        <f aca="false">IF(N28="N/A","N/A",IF(O28="","To do",IF(O28&gt;=4,"Supports BUY",IF(O28=3,"Neutral",IF(K28="Y","CRITICAL FLAG","Concern")))))</f>
        <v>To do</v>
      </c>
      <c r="Q28" s="9"/>
      <c r="R28" s="9"/>
      <c r="S28" s="32" t="n">
        <v>0.15</v>
      </c>
      <c r="T28" s="32" t="n">
        <v>0.08</v>
      </c>
    </row>
    <row r="29" customFormat="false" ht="23.85" hidden="false" customHeight="false" outlineLevel="0" collapsed="false">
      <c r="A29" s="24" t="s">
        <v>594</v>
      </c>
      <c r="B29" s="24" t="s">
        <v>565</v>
      </c>
      <c r="C29" s="5" t="s">
        <v>373</v>
      </c>
      <c r="D29" s="6" t="s">
        <v>595</v>
      </c>
      <c r="E29" s="8" t="s">
        <v>596</v>
      </c>
      <c r="F29" s="8" t="s">
        <v>597</v>
      </c>
      <c r="G29" s="8" t="s">
        <v>598</v>
      </c>
      <c r="H29" s="6" t="s">
        <v>599</v>
      </c>
      <c r="I29" s="6" t="s">
        <v>600</v>
      </c>
      <c r="J29" s="6" t="s">
        <v>601</v>
      </c>
      <c r="K29" s="25" t="s">
        <v>425</v>
      </c>
      <c r="L29" s="30" t="str">
        <f aca="false">IF('2. Financials'!$E$48="","",'2. Financials'!$E$48)</f>
        <v/>
      </c>
      <c r="M29" s="31" t="str">
        <f aca="false">IFERROR(IF(OR(L29="",S29="",T29=""),"",IF(((L29-T29)/(S29-T29))&gt;=2,5,IF(((L29-T29)/(S29-T29))&gt;=1,4,IF(((L29-T29)/(S29-T29))&gt;0,3,IF(((L29-T29)/(S29-T29))&gt;-1,2,1))))),"")</f>
        <v/>
      </c>
      <c r="N29" s="28"/>
      <c r="O29" s="29" t="str">
        <f aca="false">IF(N29="N/A","",IF(N29&lt;&gt;"",VALUE(N29&amp;""),IF(M29="","",M29)))</f>
        <v/>
      </c>
      <c r="P29" s="24" t="str">
        <f aca="false">IF(N29="N/A","N/A",IF(O29="","To do",IF(O29&gt;=4,"Supports BUY",IF(O29=3,"Neutral",IF(K29="Y","CRITICAL FLAG","Concern")))))</f>
        <v>To do</v>
      </c>
      <c r="Q29" s="9"/>
      <c r="R29" s="9"/>
      <c r="S29" s="32" t="n">
        <v>0.12</v>
      </c>
      <c r="T29" s="32" t="n">
        <v>0.06</v>
      </c>
    </row>
    <row r="30" customFormat="false" ht="35.05" hidden="false" customHeight="false" outlineLevel="0" collapsed="false">
      <c r="A30" s="24" t="s">
        <v>602</v>
      </c>
      <c r="B30" s="24" t="s">
        <v>565</v>
      </c>
      <c r="C30" s="5" t="s">
        <v>603</v>
      </c>
      <c r="D30" s="6" t="s">
        <v>604</v>
      </c>
      <c r="E30" s="8" t="s">
        <v>605</v>
      </c>
      <c r="F30" s="8" t="s">
        <v>606</v>
      </c>
      <c r="G30" s="8" t="s">
        <v>607</v>
      </c>
      <c r="H30" s="6" t="s">
        <v>608</v>
      </c>
      <c r="I30" s="6" t="s">
        <v>609</v>
      </c>
      <c r="J30" s="6" t="s">
        <v>610</v>
      </c>
      <c r="K30" s="25" t="s">
        <v>425</v>
      </c>
      <c r="L30" s="26" t="s">
        <v>426</v>
      </c>
      <c r="M30" s="27"/>
      <c r="N30" s="28"/>
      <c r="O30" s="29" t="str">
        <f aca="false">IF(N30="N/A","",IF(N30&lt;&gt;"",VALUE(N30&amp;""),IF(M30="","",M30)))</f>
        <v/>
      </c>
      <c r="P30" s="24" t="str">
        <f aca="false">IF(N30="N/A","N/A",IF(O30="","To do",IF(O30&gt;=4,"Supports BUY",IF(O30=3,"Neutral",IF(K30="Y","CRITICAL FLAG","Concern")))))</f>
        <v>To do</v>
      </c>
      <c r="Q30" s="9"/>
      <c r="R30" s="9"/>
      <c r="S30" s="6"/>
      <c r="T30" s="6"/>
    </row>
    <row r="31" customFormat="false" ht="15" hidden="false" customHeight="false" outlineLevel="0" collapsed="false">
      <c r="A31" s="3" t="s">
        <v>611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23.85" hidden="false" customHeight="false" outlineLevel="0" collapsed="false">
      <c r="A32" s="24" t="s">
        <v>612</v>
      </c>
      <c r="B32" s="24" t="s">
        <v>613</v>
      </c>
      <c r="C32" s="5" t="s">
        <v>614</v>
      </c>
      <c r="D32" s="6" t="s">
        <v>615</v>
      </c>
      <c r="E32" s="8" t="s">
        <v>616</v>
      </c>
      <c r="F32" s="8" t="s">
        <v>526</v>
      </c>
      <c r="G32" s="8" t="s">
        <v>617</v>
      </c>
      <c r="H32" s="6" t="s">
        <v>543</v>
      </c>
      <c r="I32" s="6" t="s">
        <v>618</v>
      </c>
      <c r="J32" s="6" t="s">
        <v>619</v>
      </c>
      <c r="K32" s="25" t="s">
        <v>425</v>
      </c>
      <c r="L32" s="30" t="str">
        <f aca="false">IF('2. Financials'!$E$39="","",'2. Financials'!$E$39)</f>
        <v/>
      </c>
      <c r="M32" s="31" t="str">
        <f aca="false">IFERROR(IF(OR(L32="",S32="",T32=""),"",IF(((L32-T32)/(S32-T32))&gt;=2,5,IF(((L32-T32)/(S32-T32))&gt;=1,4,IF(((L32-T32)/(S32-T32))&gt;0,3,IF(((L32-T32)/(S32-T32))&gt;-1,2,1))))),"")</f>
        <v/>
      </c>
      <c r="N32" s="28"/>
      <c r="O32" s="29" t="str">
        <f aca="false">IF(N32="N/A","",IF(N32&lt;&gt;"",VALUE(N32&amp;""),IF(M32="","",M32)))</f>
        <v/>
      </c>
      <c r="P32" s="24" t="str">
        <f aca="false">IF(N32="N/A","N/A",IF(O32="","To do",IF(O32&gt;=4,"Supports BUY",IF(O32=3,"Neutral",IF(K32="Y","CRITICAL FLAG","Concern")))))</f>
        <v>To do</v>
      </c>
      <c r="Q32" s="9"/>
      <c r="R32" s="9"/>
      <c r="S32" s="32" t="n">
        <v>0.1</v>
      </c>
      <c r="T32" s="32" t="n">
        <v>0.02</v>
      </c>
    </row>
    <row r="33" customFormat="false" ht="23.85" hidden="false" customHeight="false" outlineLevel="0" collapsed="false">
      <c r="A33" s="24" t="s">
        <v>620</v>
      </c>
      <c r="B33" s="24" t="s">
        <v>613</v>
      </c>
      <c r="C33" s="5" t="s">
        <v>621</v>
      </c>
      <c r="D33" s="6" t="s">
        <v>622</v>
      </c>
      <c r="E33" s="8" t="s">
        <v>623</v>
      </c>
      <c r="F33" s="8" t="s">
        <v>526</v>
      </c>
      <c r="G33" s="8" t="s">
        <v>624</v>
      </c>
      <c r="H33" s="6" t="s">
        <v>625</v>
      </c>
      <c r="I33" s="6" t="s">
        <v>626</v>
      </c>
      <c r="J33" s="6" t="s">
        <v>627</v>
      </c>
      <c r="K33" s="25" t="s">
        <v>425</v>
      </c>
      <c r="L33" s="33" t="str">
        <f aca="false">IF('2. Financials'!$E$40="","",'2. Financials'!$E$40)</f>
        <v/>
      </c>
      <c r="M33" s="31" t="str">
        <f aca="false">IFERROR(IF(OR(L33="",S33="",T33=""),"",IF(((L33-T33)/(S33-T33))&gt;=2,5,IF(((L33-T33)/(S33-T33))&gt;=1,4,IF(((L33-T33)/(S33-T33))&gt;0,3,IF(((L33-T33)/(S33-T33))&gt;-1,2,1))))),"")</f>
        <v/>
      </c>
      <c r="N33" s="28"/>
      <c r="O33" s="29" t="str">
        <f aca="false">IF(N33="N/A","",IF(N33&lt;&gt;"",VALUE(N33&amp;""),IF(M33="","",M33)))</f>
        <v/>
      </c>
      <c r="P33" s="24" t="str">
        <f aca="false">IF(N33="N/A","N/A",IF(O33="","To do",IF(O33&gt;=4,"Supports BUY",IF(O33=3,"Neutral",IF(K33="Y","CRITICAL FLAG","Concern")))))</f>
        <v>To do</v>
      </c>
      <c r="Q33" s="9"/>
      <c r="R33" s="9"/>
      <c r="S33" s="34" t="n">
        <v>1</v>
      </c>
      <c r="T33" s="34" t="n">
        <v>0.7</v>
      </c>
    </row>
    <row r="34" customFormat="false" ht="23.85" hidden="false" customHeight="false" outlineLevel="0" collapsed="false">
      <c r="A34" s="24" t="s">
        <v>628</v>
      </c>
      <c r="B34" s="24" t="s">
        <v>613</v>
      </c>
      <c r="C34" s="5" t="s">
        <v>629</v>
      </c>
      <c r="D34" s="6" t="s">
        <v>630</v>
      </c>
      <c r="E34" s="8" t="s">
        <v>631</v>
      </c>
      <c r="F34" s="8" t="s">
        <v>526</v>
      </c>
      <c r="G34" s="8" t="s">
        <v>632</v>
      </c>
      <c r="H34" s="6" t="s">
        <v>633</v>
      </c>
      <c r="I34" s="6" t="s">
        <v>577</v>
      </c>
      <c r="J34" s="6" t="s">
        <v>591</v>
      </c>
      <c r="K34" s="25" t="s">
        <v>425</v>
      </c>
      <c r="L34" s="30" t="str">
        <f aca="false">IF('2. Financials'!$E$41="","",'2. Financials'!$E$41)</f>
        <v/>
      </c>
      <c r="M34" s="31" t="str">
        <f aca="false">IFERROR(IF(OR(L34="",S34="",T34=""),"",IF(((L34-T34)/(S34-T34))&gt;=2,5,IF(((L34-T34)/(S34-T34))&gt;=1,4,IF(((L34-T34)/(S34-T34))&gt;0,3,IF(((L34-T34)/(S34-T34))&gt;-1,2,1))))),"")</f>
        <v/>
      </c>
      <c r="N34" s="28"/>
      <c r="O34" s="29" t="str">
        <f aca="false">IF(N34="N/A","",IF(N34&lt;&gt;"",VALUE(N34&amp;""),IF(M34="","",M34)))</f>
        <v/>
      </c>
      <c r="P34" s="24" t="str">
        <f aca="false">IF(N34="N/A","N/A",IF(O34="","To do",IF(O34&gt;=4,"Supports BUY",IF(O34=3,"Neutral",IF(K34="Y","CRITICAL FLAG","Concern")))))</f>
        <v>To do</v>
      </c>
      <c r="Q34" s="9"/>
      <c r="R34" s="9"/>
      <c r="S34" s="32" t="n">
        <v>0.05</v>
      </c>
      <c r="T34" s="32" t="n">
        <v>0.15</v>
      </c>
    </row>
    <row r="35" customFormat="false" ht="23.85" hidden="false" customHeight="false" outlineLevel="0" collapsed="false">
      <c r="A35" s="24" t="s">
        <v>634</v>
      </c>
      <c r="B35" s="24" t="s">
        <v>613</v>
      </c>
      <c r="C35" s="5" t="s">
        <v>635</v>
      </c>
      <c r="D35" s="6" t="s">
        <v>636</v>
      </c>
      <c r="E35" s="8" t="s">
        <v>637</v>
      </c>
      <c r="F35" s="8" t="s">
        <v>526</v>
      </c>
      <c r="G35" s="8" t="s">
        <v>638</v>
      </c>
      <c r="H35" s="6" t="s">
        <v>639</v>
      </c>
      <c r="I35" s="6" t="s">
        <v>640</v>
      </c>
      <c r="J35" s="6" t="s">
        <v>641</v>
      </c>
      <c r="K35" s="25" t="s">
        <v>425</v>
      </c>
      <c r="L35" s="30" t="str">
        <f aca="false">IF('2. Financials'!$E$42="","",'2. Financials'!$E$42)</f>
        <v/>
      </c>
      <c r="M35" s="31" t="str">
        <f aca="false">IFERROR(IF(OR(L35="",S35="",T35=""),"",IF(((L35-T35)/(S35-T35))&gt;=2,5,IF(((L35-T35)/(S35-T35))&gt;=1,4,IF(((L35-T35)/(S35-T35))&gt;0,3,IF(((L35-T35)/(S35-T35))&gt;-1,2,1))))),"")</f>
        <v/>
      </c>
      <c r="N35" s="28"/>
      <c r="O35" s="29" t="str">
        <f aca="false">IF(N35="N/A","",IF(N35&lt;&gt;"",VALUE(N35&amp;""),IF(M35="","",M35)))</f>
        <v/>
      </c>
      <c r="P35" s="24" t="str">
        <f aca="false">IF(N35="N/A","N/A",IF(O35="","To do",IF(O35&gt;=4,"Supports BUY",IF(O35=3,"Neutral",IF(K35="Y","CRITICAL FLAG","Concern")))))</f>
        <v>To do</v>
      </c>
      <c r="Q35" s="9"/>
      <c r="R35" s="9"/>
      <c r="S35" s="32" t="n">
        <v>0.02</v>
      </c>
      <c r="T35" s="32" t="n">
        <v>0.08</v>
      </c>
    </row>
    <row r="36" customFormat="false" ht="15" hidden="false" customHeight="false" outlineLevel="0" collapsed="false">
      <c r="A36" s="3" t="s">
        <v>642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23.85" hidden="false" customHeight="false" outlineLevel="0" collapsed="false">
      <c r="A37" s="24" t="s">
        <v>643</v>
      </c>
      <c r="B37" s="24" t="s">
        <v>644</v>
      </c>
      <c r="C37" s="5" t="s">
        <v>645</v>
      </c>
      <c r="D37" s="6" t="s">
        <v>646</v>
      </c>
      <c r="E37" s="8" t="s">
        <v>647</v>
      </c>
      <c r="F37" s="8" t="s">
        <v>526</v>
      </c>
      <c r="G37" s="8" t="s">
        <v>648</v>
      </c>
      <c r="H37" s="6" t="s">
        <v>649</v>
      </c>
      <c r="I37" s="6" t="s">
        <v>650</v>
      </c>
      <c r="J37" s="6" t="s">
        <v>651</v>
      </c>
      <c r="K37" s="25" t="s">
        <v>501</v>
      </c>
      <c r="L37" s="33" t="str">
        <f aca="false">IF('2. Financials'!$E$44="","",'2. Financials'!$E$44)</f>
        <v/>
      </c>
      <c r="M37" s="31" t="str">
        <f aca="false">IFERROR(IF(OR(L37="",S37="",T37=""),"",IF(((L37-T37)/(S37-T37))&gt;=2,5,IF(((L37-T37)/(S37-T37))&gt;=1,4,IF(((L37-T37)/(S37-T37))&gt;0,3,IF(((L37-T37)/(S37-T37))&gt;-1,2,1))))),"")</f>
        <v/>
      </c>
      <c r="N37" s="28"/>
      <c r="O37" s="29" t="str">
        <f aca="false">IF(N37="N/A","",IF(N37&lt;&gt;"",VALUE(N37&amp;""),IF(M37="","",M37)))</f>
        <v/>
      </c>
      <c r="P37" s="24" t="str">
        <f aca="false">IF(N37="N/A","N/A",IF(O37="","To do",IF(O37&gt;=4,"Supports BUY",IF(O37=3,"Neutral",IF(K37="Y","CRITICAL FLAG","Concern")))))</f>
        <v>To do</v>
      </c>
      <c r="Q37" s="9"/>
      <c r="R37" s="9"/>
      <c r="S37" s="34" t="n">
        <v>1</v>
      </c>
      <c r="T37" s="34" t="n">
        <v>3</v>
      </c>
    </row>
    <row r="38" customFormat="false" ht="23.85" hidden="false" customHeight="false" outlineLevel="0" collapsed="false">
      <c r="A38" s="24" t="s">
        <v>652</v>
      </c>
      <c r="B38" s="24" t="s">
        <v>644</v>
      </c>
      <c r="C38" s="5" t="s">
        <v>653</v>
      </c>
      <c r="D38" s="6" t="s">
        <v>654</v>
      </c>
      <c r="E38" s="8" t="s">
        <v>655</v>
      </c>
      <c r="F38" s="8" t="s">
        <v>526</v>
      </c>
      <c r="G38" s="8" t="s">
        <v>656</v>
      </c>
      <c r="H38" s="6" t="s">
        <v>657</v>
      </c>
      <c r="I38" s="6" t="s">
        <v>658</v>
      </c>
      <c r="J38" s="6" t="s">
        <v>659</v>
      </c>
      <c r="K38" s="25" t="s">
        <v>425</v>
      </c>
      <c r="L38" s="33" t="str">
        <f aca="false">IF('2. Financials'!$E$45="","",'2. Financials'!$E$45)</f>
        <v/>
      </c>
      <c r="M38" s="31" t="str">
        <f aca="false">IFERROR(IF(OR(L38="",S38="",T38=""),"",IF(((L38-T38)/(S38-T38))&gt;=2,5,IF(((L38-T38)/(S38-T38))&gt;=1,4,IF(((L38-T38)/(S38-T38))&gt;0,3,IF(((L38-T38)/(S38-T38))&gt;-1,2,1))))),"")</f>
        <v/>
      </c>
      <c r="N38" s="28"/>
      <c r="O38" s="29" t="str">
        <f aca="false">IF(N38="N/A","",IF(N38&lt;&gt;"",VALUE(N38&amp;""),IF(M38="","",M38)))</f>
        <v/>
      </c>
      <c r="P38" s="24" t="str">
        <f aca="false">IF(N38="N/A","N/A",IF(O38="","To do",IF(O38&gt;=4,"Supports BUY",IF(O38=3,"Neutral",IF(K38="Y","CRITICAL FLAG","Concern")))))</f>
        <v>To do</v>
      </c>
      <c r="Q38" s="9"/>
      <c r="R38" s="9"/>
      <c r="S38" s="34" t="n">
        <v>8</v>
      </c>
      <c r="T38" s="34" t="n">
        <v>3</v>
      </c>
    </row>
    <row r="39" customFormat="false" ht="46.25" hidden="false" customHeight="false" outlineLevel="0" collapsed="false">
      <c r="A39" s="24" t="s">
        <v>660</v>
      </c>
      <c r="B39" s="24" t="s">
        <v>644</v>
      </c>
      <c r="C39" s="5" t="s">
        <v>661</v>
      </c>
      <c r="D39" s="6" t="s">
        <v>662</v>
      </c>
      <c r="E39" s="8" t="s">
        <v>663</v>
      </c>
      <c r="F39" s="8" t="s">
        <v>526</v>
      </c>
      <c r="G39" s="8" t="s">
        <v>664</v>
      </c>
      <c r="H39" s="6" t="s">
        <v>665</v>
      </c>
      <c r="I39" s="6" t="s">
        <v>666</v>
      </c>
      <c r="J39" s="6" t="s">
        <v>667</v>
      </c>
      <c r="K39" s="25" t="s">
        <v>425</v>
      </c>
      <c r="L39" s="33" t="str">
        <f aca="false">IF('2. Financials'!$E$46="","",'2. Financials'!$E$46)</f>
        <v/>
      </c>
      <c r="M39" s="31" t="str">
        <f aca="false">IFERROR(IF(OR(L39="",S39="",T39=""),"",IF(((L39-T39)/(S39-T39))&gt;=2,5,IF(((L39-T39)/(S39-T39))&gt;=1,4,IF(((L39-T39)/(S39-T39))&gt;0,3,IF(((L39-T39)/(S39-T39))&gt;-1,2,1))))),"")</f>
        <v/>
      </c>
      <c r="N39" s="28"/>
      <c r="O39" s="29" t="str">
        <f aca="false">IF(N39="N/A","",IF(N39&lt;&gt;"",VALUE(N39&amp;""),IF(M39="","",M39)))</f>
        <v/>
      </c>
      <c r="P39" s="24" t="str">
        <f aca="false">IF(N39="N/A","N/A",IF(O39="","To do",IF(O39&gt;=4,"Supports BUY",IF(O39=3,"Neutral",IF(K39="Y","CRITICAL FLAG","Concern")))))</f>
        <v>To do</v>
      </c>
      <c r="Q39" s="9"/>
      <c r="R39" s="9"/>
      <c r="S39" s="34" t="n">
        <v>1.5</v>
      </c>
      <c r="T39" s="34" t="n">
        <v>1</v>
      </c>
    </row>
    <row r="40" customFormat="false" ht="23.85" hidden="false" customHeight="false" outlineLevel="0" collapsed="false">
      <c r="A40" s="24" t="s">
        <v>668</v>
      </c>
      <c r="B40" s="24" t="s">
        <v>644</v>
      </c>
      <c r="C40" s="5" t="s">
        <v>669</v>
      </c>
      <c r="D40" s="6" t="s">
        <v>670</v>
      </c>
      <c r="E40" s="8" t="s">
        <v>671</v>
      </c>
      <c r="F40" s="8" t="s">
        <v>526</v>
      </c>
      <c r="G40" s="8" t="s">
        <v>672</v>
      </c>
      <c r="H40" s="6" t="s">
        <v>673</v>
      </c>
      <c r="I40" s="6" t="s">
        <v>674</v>
      </c>
      <c r="J40" s="6" t="s">
        <v>675</v>
      </c>
      <c r="K40" s="25" t="s">
        <v>425</v>
      </c>
      <c r="L40" s="30" t="str">
        <f aca="false">IF('2. Financials'!$E$49="","",'2. Financials'!$E$49)</f>
        <v/>
      </c>
      <c r="M40" s="31" t="str">
        <f aca="false">IFERROR(IF(OR(L40="",S40="",T40=""),"",IF(((L40-T40)/(S40-T40))&gt;=2,5,IF(((L40-T40)/(S40-T40))&gt;=1,4,IF(((L40-T40)/(S40-T40))&gt;0,3,IF(((L40-T40)/(S40-T40))&gt;-1,2,1))))),"")</f>
        <v/>
      </c>
      <c r="N40" s="28"/>
      <c r="O40" s="29" t="str">
        <f aca="false">IF(N40="N/A","",IF(N40&lt;&gt;"",VALUE(N40&amp;""),IF(M40="","",M40)))</f>
        <v/>
      </c>
      <c r="P40" s="24" t="str">
        <f aca="false">IF(N40="N/A","N/A",IF(O40="","To do",IF(O40&gt;=4,"Supports BUY",IF(O40=3,"Neutral",IF(K40="Y","CRITICAL FLAG","Concern")))))</f>
        <v>To do</v>
      </c>
      <c r="Q40" s="9"/>
      <c r="R40" s="9"/>
      <c r="S40" s="32" t="n">
        <v>-0.01</v>
      </c>
      <c r="T40" s="32" t="n">
        <v>0.02</v>
      </c>
    </row>
    <row r="41" customFormat="false" ht="23.85" hidden="false" customHeight="false" outlineLevel="0" collapsed="false">
      <c r="A41" s="24" t="s">
        <v>676</v>
      </c>
      <c r="B41" s="24" t="s">
        <v>644</v>
      </c>
      <c r="C41" s="5" t="s">
        <v>677</v>
      </c>
      <c r="D41" s="6" t="s">
        <v>678</v>
      </c>
      <c r="E41" s="8" t="s">
        <v>679</v>
      </c>
      <c r="F41" s="8" t="s">
        <v>526</v>
      </c>
      <c r="G41" s="8" t="s">
        <v>680</v>
      </c>
      <c r="H41" s="6" t="s">
        <v>681</v>
      </c>
      <c r="I41" s="6" t="s">
        <v>682</v>
      </c>
      <c r="J41" s="6" t="s">
        <v>683</v>
      </c>
      <c r="K41" s="25" t="s">
        <v>425</v>
      </c>
      <c r="L41" s="30" t="str">
        <f aca="false">IF('2. Financials'!$E$50="","",'2. Financials'!$E$50)</f>
        <v/>
      </c>
      <c r="M41" s="31" t="str">
        <f aca="false">IFERROR(IF(OR(L41="",S41="",T41=""),"",IF(((L41-T41)/(S41-T41))&gt;=2,5,IF(((L41-T41)/(S41-T41))&gt;=1,4,IF(((L41-T41)/(S41-T41))&gt;0,3,IF(((L41-T41)/(S41-T41))&gt;-1,2,1))))),"")</f>
        <v/>
      </c>
      <c r="N41" s="28"/>
      <c r="O41" s="29" t="str">
        <f aca="false">IF(N41="N/A","",IF(N41&lt;&gt;"",VALUE(N41&amp;""),IF(M41="","",M41)))</f>
        <v/>
      </c>
      <c r="P41" s="24" t="str">
        <f aca="false">IF(N41="N/A","N/A",IF(O41="","To do",IF(O41&gt;=4,"Supports BUY",IF(O41=3,"Neutral",IF(K41="Y","CRITICAL FLAG","Concern")))))</f>
        <v>To do</v>
      </c>
      <c r="Q41" s="9"/>
      <c r="R41" s="9"/>
      <c r="S41" s="32" t="n">
        <v>0.6</v>
      </c>
      <c r="T41" s="32" t="n">
        <v>1</v>
      </c>
    </row>
    <row r="42" customFormat="false" ht="23.85" hidden="false" customHeight="false" outlineLevel="0" collapsed="false">
      <c r="A42" s="24" t="s">
        <v>684</v>
      </c>
      <c r="B42" s="24" t="s">
        <v>644</v>
      </c>
      <c r="C42" s="5" t="s">
        <v>685</v>
      </c>
      <c r="D42" s="6" t="s">
        <v>686</v>
      </c>
      <c r="E42" s="8" t="s">
        <v>687</v>
      </c>
      <c r="F42" s="8" t="s">
        <v>688</v>
      </c>
      <c r="G42" s="8" t="s">
        <v>689</v>
      </c>
      <c r="H42" s="6" t="s">
        <v>690</v>
      </c>
      <c r="I42" s="6" t="s">
        <v>691</v>
      </c>
      <c r="J42" s="6" t="s">
        <v>692</v>
      </c>
      <c r="K42" s="25" t="s">
        <v>425</v>
      </c>
      <c r="L42" s="26" t="s">
        <v>426</v>
      </c>
      <c r="M42" s="27"/>
      <c r="N42" s="28"/>
      <c r="O42" s="29" t="str">
        <f aca="false">IF(N42="N/A","",IF(N42&lt;&gt;"",VALUE(N42&amp;""),IF(M42="","",M42)))</f>
        <v/>
      </c>
      <c r="P42" s="24" t="str">
        <f aca="false">IF(N42="N/A","N/A",IF(O42="","To do",IF(O42&gt;=4,"Supports BUY",IF(O42=3,"Neutral",IF(K42="Y","CRITICAL FLAG","Concern")))))</f>
        <v>To do</v>
      </c>
      <c r="Q42" s="9"/>
      <c r="R42" s="9"/>
      <c r="S42" s="6"/>
      <c r="T42" s="6"/>
    </row>
    <row r="43" customFormat="false" ht="15" hidden="false" customHeight="false" outlineLevel="0" collapsed="false">
      <c r="A43" s="3" t="s">
        <v>693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23.85" hidden="false" customHeight="false" outlineLevel="0" collapsed="false">
      <c r="A44" s="24" t="s">
        <v>694</v>
      </c>
      <c r="B44" s="24" t="s">
        <v>695</v>
      </c>
      <c r="C44" s="5" t="s">
        <v>696</v>
      </c>
      <c r="D44" s="6" t="s">
        <v>697</v>
      </c>
      <c r="E44" s="8" t="s">
        <v>698</v>
      </c>
      <c r="F44" s="8" t="s">
        <v>699</v>
      </c>
      <c r="G44" s="8" t="s">
        <v>700</v>
      </c>
      <c r="H44" s="6" t="s">
        <v>701</v>
      </c>
      <c r="I44" s="6" t="s">
        <v>702</v>
      </c>
      <c r="J44" s="6" t="s">
        <v>703</v>
      </c>
      <c r="K44" s="25" t="s">
        <v>425</v>
      </c>
      <c r="L44" s="26" t="s">
        <v>426</v>
      </c>
      <c r="M44" s="27"/>
      <c r="N44" s="28"/>
      <c r="O44" s="29" t="str">
        <f aca="false">IF(N44="N/A","",IF(N44&lt;&gt;"",VALUE(N44&amp;""),IF(M44="","",M44)))</f>
        <v/>
      </c>
      <c r="P44" s="24" t="str">
        <f aca="false">IF(N44="N/A","N/A",IF(O44="","To do",IF(O44&gt;=4,"Supports BUY",IF(O44=3,"Neutral",IF(K44="Y","CRITICAL FLAG","Concern")))))</f>
        <v>To do</v>
      </c>
      <c r="Q44" s="9"/>
      <c r="R44" s="9"/>
      <c r="S44" s="6"/>
      <c r="T44" s="6"/>
    </row>
    <row r="45" customFormat="false" ht="23.85" hidden="false" customHeight="false" outlineLevel="0" collapsed="false">
      <c r="A45" s="24" t="s">
        <v>704</v>
      </c>
      <c r="B45" s="24" t="s">
        <v>695</v>
      </c>
      <c r="C45" s="5" t="s">
        <v>705</v>
      </c>
      <c r="D45" s="6" t="s">
        <v>706</v>
      </c>
      <c r="E45" s="8" t="s">
        <v>707</v>
      </c>
      <c r="F45" s="8" t="s">
        <v>708</v>
      </c>
      <c r="G45" s="8" t="s">
        <v>709</v>
      </c>
      <c r="H45" s="6" t="s">
        <v>710</v>
      </c>
      <c r="I45" s="6" t="s">
        <v>711</v>
      </c>
      <c r="J45" s="6" t="s">
        <v>712</v>
      </c>
      <c r="K45" s="25" t="s">
        <v>501</v>
      </c>
      <c r="L45" s="26" t="s">
        <v>426</v>
      </c>
      <c r="M45" s="27"/>
      <c r="N45" s="28"/>
      <c r="O45" s="29" t="str">
        <f aca="false">IF(N45="N/A","",IF(N45&lt;&gt;"",VALUE(N45&amp;""),IF(M45="","",M45)))</f>
        <v/>
      </c>
      <c r="P45" s="24" t="str">
        <f aca="false">IF(N45="N/A","N/A",IF(O45="","To do",IF(O45&gt;=4,"Supports BUY",IF(O45=3,"Neutral",IF(K45="Y","CRITICAL FLAG","Concern")))))</f>
        <v>To do</v>
      </c>
      <c r="Q45" s="9"/>
      <c r="R45" s="9"/>
      <c r="S45" s="6"/>
      <c r="T45" s="6"/>
    </row>
    <row r="46" customFormat="false" ht="23.85" hidden="false" customHeight="false" outlineLevel="0" collapsed="false">
      <c r="A46" s="24" t="s">
        <v>713</v>
      </c>
      <c r="B46" s="24" t="s">
        <v>695</v>
      </c>
      <c r="C46" s="5" t="s">
        <v>714</v>
      </c>
      <c r="D46" s="6" t="s">
        <v>715</v>
      </c>
      <c r="E46" s="8" t="s">
        <v>716</v>
      </c>
      <c r="F46" s="8" t="s">
        <v>717</v>
      </c>
      <c r="G46" s="8" t="s">
        <v>718</v>
      </c>
      <c r="H46" s="6" t="s">
        <v>719</v>
      </c>
      <c r="I46" s="6" t="s">
        <v>720</v>
      </c>
      <c r="J46" s="6" t="s">
        <v>721</v>
      </c>
      <c r="K46" s="25" t="s">
        <v>425</v>
      </c>
      <c r="L46" s="26" t="s">
        <v>426</v>
      </c>
      <c r="M46" s="27"/>
      <c r="N46" s="28"/>
      <c r="O46" s="29" t="str">
        <f aca="false">IF(N46="N/A","",IF(N46&lt;&gt;"",VALUE(N46&amp;""),IF(M46="","",M46)))</f>
        <v/>
      </c>
      <c r="P46" s="24" t="str">
        <f aca="false">IF(N46="N/A","N/A",IF(O46="","To do",IF(O46&gt;=4,"Supports BUY",IF(O46=3,"Neutral",IF(K46="Y","CRITICAL FLAG","Concern")))))</f>
        <v>To do</v>
      </c>
      <c r="Q46" s="9"/>
      <c r="R46" s="9"/>
      <c r="S46" s="6"/>
      <c r="T46" s="6"/>
    </row>
    <row r="47" customFormat="false" ht="23.85" hidden="false" customHeight="false" outlineLevel="0" collapsed="false">
      <c r="A47" s="24" t="s">
        <v>722</v>
      </c>
      <c r="B47" s="24" t="s">
        <v>695</v>
      </c>
      <c r="C47" s="5" t="s">
        <v>723</v>
      </c>
      <c r="D47" s="6" t="s">
        <v>724</v>
      </c>
      <c r="E47" s="8" t="s">
        <v>725</v>
      </c>
      <c r="F47" s="8" t="s">
        <v>726</v>
      </c>
      <c r="G47" s="8" t="s">
        <v>727</v>
      </c>
      <c r="H47" s="6" t="s">
        <v>728</v>
      </c>
      <c r="I47" s="6" t="s">
        <v>729</v>
      </c>
      <c r="J47" s="6" t="s">
        <v>730</v>
      </c>
      <c r="K47" s="25" t="s">
        <v>501</v>
      </c>
      <c r="L47" s="26" t="s">
        <v>426</v>
      </c>
      <c r="M47" s="27"/>
      <c r="N47" s="28"/>
      <c r="O47" s="29" t="str">
        <f aca="false">IF(N47="N/A","",IF(N47&lt;&gt;"",VALUE(N47&amp;""),IF(M47="","",M47)))</f>
        <v/>
      </c>
      <c r="P47" s="24" t="str">
        <f aca="false">IF(N47="N/A","N/A",IF(O47="","To do",IF(O47&gt;=4,"Supports BUY",IF(O47=3,"Neutral",IF(K47="Y","CRITICAL FLAG","Concern")))))</f>
        <v>To do</v>
      </c>
      <c r="Q47" s="9"/>
      <c r="R47" s="9"/>
      <c r="S47" s="6"/>
      <c r="T47" s="6"/>
    </row>
    <row r="48" customFormat="false" ht="23.85" hidden="false" customHeight="false" outlineLevel="0" collapsed="false">
      <c r="A48" s="24" t="s">
        <v>731</v>
      </c>
      <c r="B48" s="24" t="s">
        <v>695</v>
      </c>
      <c r="C48" s="5" t="s">
        <v>732</v>
      </c>
      <c r="D48" s="6" t="s">
        <v>733</v>
      </c>
      <c r="E48" s="8" t="s">
        <v>734</v>
      </c>
      <c r="F48" s="8" t="s">
        <v>735</v>
      </c>
      <c r="G48" s="8" t="s">
        <v>736</v>
      </c>
      <c r="H48" s="6" t="s">
        <v>737</v>
      </c>
      <c r="I48" s="6" t="s">
        <v>738</v>
      </c>
      <c r="J48" s="6" t="s">
        <v>739</v>
      </c>
      <c r="K48" s="25" t="s">
        <v>425</v>
      </c>
      <c r="L48" s="26" t="s">
        <v>426</v>
      </c>
      <c r="M48" s="27"/>
      <c r="N48" s="28"/>
      <c r="O48" s="29" t="str">
        <f aca="false">IF(N48="N/A","",IF(N48&lt;&gt;"",VALUE(N48&amp;""),IF(M48="","",M48)))</f>
        <v/>
      </c>
      <c r="P48" s="24" t="str">
        <f aca="false">IF(N48="N/A","N/A",IF(O48="","To do",IF(O48&gt;=4,"Supports BUY",IF(O48=3,"Neutral",IF(K48="Y","CRITICAL FLAG","Concern")))))</f>
        <v>To do</v>
      </c>
      <c r="Q48" s="9"/>
      <c r="R48" s="9"/>
      <c r="S48" s="6"/>
      <c r="T48" s="6"/>
    </row>
    <row r="49" customFormat="false" ht="35.05" hidden="false" customHeight="false" outlineLevel="0" collapsed="false">
      <c r="A49" s="24" t="s">
        <v>740</v>
      </c>
      <c r="B49" s="24" t="s">
        <v>695</v>
      </c>
      <c r="C49" s="5" t="s">
        <v>741</v>
      </c>
      <c r="D49" s="6" t="s">
        <v>742</v>
      </c>
      <c r="E49" s="8" t="s">
        <v>743</v>
      </c>
      <c r="F49" s="8" t="s">
        <v>744</v>
      </c>
      <c r="G49" s="8" t="s">
        <v>745</v>
      </c>
      <c r="H49" s="6" t="s">
        <v>746</v>
      </c>
      <c r="I49" s="6" t="s">
        <v>747</v>
      </c>
      <c r="J49" s="6" t="s">
        <v>748</v>
      </c>
      <c r="K49" s="25" t="s">
        <v>425</v>
      </c>
      <c r="L49" s="26" t="s">
        <v>426</v>
      </c>
      <c r="M49" s="27"/>
      <c r="N49" s="28"/>
      <c r="O49" s="29" t="str">
        <f aca="false">IF(N49="N/A","",IF(N49&lt;&gt;"",VALUE(N49&amp;""),IF(M49="","",M49)))</f>
        <v/>
      </c>
      <c r="P49" s="24" t="str">
        <f aca="false">IF(N49="N/A","N/A",IF(O49="","To do",IF(O49&gt;=4,"Supports BUY",IF(O49=3,"Neutral",IF(K49="Y","CRITICAL FLAG","Concern")))))</f>
        <v>To do</v>
      </c>
      <c r="Q49" s="9"/>
      <c r="R49" s="9"/>
      <c r="S49" s="6"/>
      <c r="T49" s="6"/>
    </row>
    <row r="50" customFormat="false" ht="15" hidden="false" customHeight="false" outlineLevel="0" collapsed="false">
      <c r="A50" s="3" t="s">
        <v>749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23.85" hidden="false" customHeight="false" outlineLevel="0" collapsed="false">
      <c r="A51" s="24" t="s">
        <v>750</v>
      </c>
      <c r="B51" s="24" t="s">
        <v>751</v>
      </c>
      <c r="C51" s="5" t="s">
        <v>752</v>
      </c>
      <c r="D51" s="6" t="s">
        <v>753</v>
      </c>
      <c r="E51" s="8" t="s">
        <v>754</v>
      </c>
      <c r="F51" s="8" t="s">
        <v>755</v>
      </c>
      <c r="G51" s="8" t="s">
        <v>756</v>
      </c>
      <c r="H51" s="6" t="s">
        <v>757</v>
      </c>
      <c r="I51" s="6" t="s">
        <v>758</v>
      </c>
      <c r="J51" s="6" t="s">
        <v>759</v>
      </c>
      <c r="K51" s="25" t="s">
        <v>425</v>
      </c>
      <c r="L51" s="30" t="str">
        <f aca="false">IF('4. Valuation'!$C$64="","",'4. Valuation'!$C$64)</f>
        <v/>
      </c>
      <c r="M51" s="31" t="str">
        <f aca="false">IFERROR(IF(OR(L51="",S51="",T51=""),"",IF(((L51-T51)/(S51-T51))&gt;=2,5,IF(((L51-T51)/(S51-T51))&gt;=1,4,IF(((L51-T51)/(S51-T51))&gt;0,3,IF(((L51-T51)/(S51-T51))&gt;-1,2,1))))),"")</f>
        <v/>
      </c>
      <c r="N51" s="28"/>
      <c r="O51" s="29" t="str">
        <f aca="false">IF(N51="N/A","",IF(N51&lt;&gt;"",VALUE(N51&amp;""),IF(M51="","",M51)))</f>
        <v/>
      </c>
      <c r="P51" s="24" t="str">
        <f aca="false">IF(N51="N/A","N/A",IF(O51="","To do",IF(O51&gt;=4,"Supports BUY",IF(O51=3,"Neutral",IF(K51="Y","CRITICAL FLAG","Concern")))))</f>
        <v>To do</v>
      </c>
      <c r="Q51" s="9"/>
      <c r="R51" s="9"/>
      <c r="S51" s="32" t="n">
        <v>0.15</v>
      </c>
      <c r="T51" s="32" t="n">
        <v>-0.1</v>
      </c>
    </row>
    <row r="52" customFormat="false" ht="23.85" hidden="false" customHeight="false" outlineLevel="0" collapsed="false">
      <c r="A52" s="24" t="s">
        <v>760</v>
      </c>
      <c r="B52" s="24" t="s">
        <v>751</v>
      </c>
      <c r="C52" s="5" t="s">
        <v>761</v>
      </c>
      <c r="D52" s="6" t="s">
        <v>762</v>
      </c>
      <c r="E52" s="8" t="s">
        <v>763</v>
      </c>
      <c r="F52" s="8" t="s">
        <v>755</v>
      </c>
      <c r="G52" s="8" t="s">
        <v>764</v>
      </c>
      <c r="H52" s="6" t="s">
        <v>765</v>
      </c>
      <c r="I52" s="6" t="s">
        <v>766</v>
      </c>
      <c r="J52" s="6" t="s">
        <v>767</v>
      </c>
      <c r="K52" s="25" t="s">
        <v>425</v>
      </c>
      <c r="L52" s="30" t="str">
        <f aca="false">IF('4. Valuation'!$B$14="","",'4. Valuation'!$B$14)</f>
        <v/>
      </c>
      <c r="M52" s="31" t="str">
        <f aca="false">IFERROR(IF(OR(L52="",S52="",T52=""),"",IF(((L52-T52)/(S52-T52))&gt;=2,5,IF(((L52-T52)/(S52-T52))&gt;=1,4,IF(((L52-T52)/(S52-T52))&gt;0,3,IF(((L52-T52)/(S52-T52))&gt;-1,2,1))))),"")</f>
        <v/>
      </c>
      <c r="N52" s="28"/>
      <c r="O52" s="29" t="str">
        <f aca="false">IF(N52="N/A","",IF(N52&lt;&gt;"",VALUE(N52&amp;""),IF(M52="","",M52)))</f>
        <v/>
      </c>
      <c r="P52" s="24" t="str">
        <f aca="false">IF(N52="N/A","N/A",IF(O52="","To do",IF(O52&gt;=4,"Supports BUY",IF(O52=3,"Neutral",IF(K52="Y","CRITICAL FLAG","Concern")))))</f>
        <v>To do</v>
      </c>
      <c r="Q52" s="9"/>
      <c r="R52" s="9"/>
      <c r="S52" s="32" t="n">
        <v>-0.2</v>
      </c>
      <c r="T52" s="32" t="n">
        <v>0.2</v>
      </c>
    </row>
    <row r="53" customFormat="false" ht="35.05" hidden="false" customHeight="false" outlineLevel="0" collapsed="false">
      <c r="A53" s="24" t="s">
        <v>768</v>
      </c>
      <c r="B53" s="24" t="s">
        <v>751</v>
      </c>
      <c r="C53" s="5" t="s">
        <v>769</v>
      </c>
      <c r="D53" s="6" t="s">
        <v>770</v>
      </c>
      <c r="E53" s="8" t="s">
        <v>771</v>
      </c>
      <c r="F53" s="8" t="s">
        <v>772</v>
      </c>
      <c r="G53" s="8" t="s">
        <v>773</v>
      </c>
      <c r="H53" s="6" t="s">
        <v>774</v>
      </c>
      <c r="I53" s="6" t="s">
        <v>775</v>
      </c>
      <c r="J53" s="6" t="s">
        <v>776</v>
      </c>
      <c r="K53" s="25" t="s">
        <v>425</v>
      </c>
      <c r="L53" s="26" t="s">
        <v>426</v>
      </c>
      <c r="M53" s="27"/>
      <c r="N53" s="28"/>
      <c r="O53" s="29" t="str">
        <f aca="false">IF(N53="N/A","",IF(N53&lt;&gt;"",VALUE(N53&amp;""),IF(M53="","",M53)))</f>
        <v/>
      </c>
      <c r="P53" s="24" t="str">
        <f aca="false">IF(N53="N/A","N/A",IF(O53="","To do",IF(O53&gt;=4,"Supports BUY",IF(O53=3,"Neutral",IF(K53="Y","CRITICAL FLAG","Concern")))))</f>
        <v>To do</v>
      </c>
      <c r="Q53" s="9"/>
      <c r="R53" s="9"/>
      <c r="S53" s="6"/>
      <c r="T53" s="6"/>
    </row>
    <row r="54" customFormat="false" ht="23.85" hidden="false" customHeight="false" outlineLevel="0" collapsed="false">
      <c r="A54" s="24" t="s">
        <v>777</v>
      </c>
      <c r="B54" s="24" t="s">
        <v>751</v>
      </c>
      <c r="C54" s="5" t="s">
        <v>778</v>
      </c>
      <c r="D54" s="6" t="s">
        <v>779</v>
      </c>
      <c r="E54" s="8" t="s">
        <v>780</v>
      </c>
      <c r="F54" s="8" t="s">
        <v>781</v>
      </c>
      <c r="G54" s="8" t="s">
        <v>782</v>
      </c>
      <c r="H54" s="6" t="s">
        <v>783</v>
      </c>
      <c r="I54" s="6" t="s">
        <v>784</v>
      </c>
      <c r="J54" s="6" t="s">
        <v>785</v>
      </c>
      <c r="K54" s="25" t="s">
        <v>425</v>
      </c>
      <c r="L54" s="30" t="str">
        <f aca="false">IF('1. Company Info'!$B$35="","",'1. Company Info'!$B$35)</f>
        <v/>
      </c>
      <c r="M54" s="31" t="str">
        <f aca="false">IFERROR(IF(OR(L54="",S54="",T54=""),"",IF(((L54-T54)/(S54-T54))&gt;=2,5,IF(((L54-T54)/(S54-T54))&gt;=1,4,IF(((L54-T54)/(S54-T54))&gt;0,3,IF(((L54-T54)/(S54-T54))&gt;-1,2,1))))),"")</f>
        <v/>
      </c>
      <c r="N54" s="28"/>
      <c r="O54" s="29" t="str">
        <f aca="false">IF(N54="N/A","",IF(N54&lt;&gt;"",VALUE(N54&amp;""),IF(M54="","",M54)))</f>
        <v/>
      </c>
      <c r="P54" s="24" t="str">
        <f aca="false">IF(N54="N/A","N/A",IF(O54="","To do",IF(O54&gt;=4,"Supports BUY",IF(O54=3,"Neutral",IF(K54="Y","CRITICAL FLAG","Concern")))))</f>
        <v>To do</v>
      </c>
      <c r="Q54" s="9"/>
      <c r="R54" s="9"/>
      <c r="S54" s="32" t="n">
        <v>0.06</v>
      </c>
      <c r="T54" s="32" t="n">
        <v>0.03</v>
      </c>
    </row>
    <row r="55" customFormat="false" ht="35.05" hidden="false" customHeight="false" outlineLevel="0" collapsed="false">
      <c r="A55" s="24" t="s">
        <v>786</v>
      </c>
      <c r="B55" s="24" t="s">
        <v>751</v>
      </c>
      <c r="C55" s="5" t="s">
        <v>787</v>
      </c>
      <c r="D55" s="6" t="s">
        <v>788</v>
      </c>
      <c r="E55" s="8" t="s">
        <v>789</v>
      </c>
      <c r="F55" s="8" t="s">
        <v>790</v>
      </c>
      <c r="G55" s="8" t="s">
        <v>791</v>
      </c>
      <c r="H55" s="6" t="s">
        <v>792</v>
      </c>
      <c r="I55" s="6" t="s">
        <v>793</v>
      </c>
      <c r="J55" s="6" t="s">
        <v>794</v>
      </c>
      <c r="K55" s="25" t="s">
        <v>425</v>
      </c>
      <c r="L55" s="26" t="s">
        <v>426</v>
      </c>
      <c r="M55" s="27"/>
      <c r="N55" s="28"/>
      <c r="O55" s="29" t="str">
        <f aca="false">IF(N55="N/A","",IF(N55&lt;&gt;"",VALUE(N55&amp;""),IF(M55="","",M55)))</f>
        <v/>
      </c>
      <c r="P55" s="24" t="str">
        <f aca="false">IF(N55="N/A","N/A",IF(O55="","To do",IF(O55&gt;=4,"Supports BUY",IF(O55=3,"Neutral",IF(K55="Y","CRITICAL FLAG","Concern")))))</f>
        <v>To do</v>
      </c>
      <c r="Q55" s="9"/>
      <c r="R55" s="9"/>
      <c r="S55" s="6"/>
      <c r="T55" s="6"/>
    </row>
    <row r="56" customFormat="false" ht="23.85" hidden="false" customHeight="false" outlineLevel="0" collapsed="false">
      <c r="A56" s="24" t="s">
        <v>795</v>
      </c>
      <c r="B56" s="24" t="s">
        <v>751</v>
      </c>
      <c r="C56" s="5" t="s">
        <v>796</v>
      </c>
      <c r="D56" s="6" t="s">
        <v>797</v>
      </c>
      <c r="E56" s="8" t="s">
        <v>798</v>
      </c>
      <c r="F56" s="8" t="s">
        <v>755</v>
      </c>
      <c r="G56" s="8" t="s">
        <v>799</v>
      </c>
      <c r="H56" s="6" t="s">
        <v>800</v>
      </c>
      <c r="I56" s="6" t="s">
        <v>801</v>
      </c>
      <c r="J56" s="6" t="s">
        <v>802</v>
      </c>
      <c r="K56" s="25" t="s">
        <v>425</v>
      </c>
      <c r="L56" s="33" t="str">
        <f aca="false">IF('4. Valuation'!$B$73="","",'4. Valuation'!$B$73)</f>
        <v/>
      </c>
      <c r="M56" s="31" t="str">
        <f aca="false">IFERROR(IF(OR(L56="",S56="",T56=""),"",IF(((L56-T56)/(S56-T56))&gt;=2,5,IF(((L56-T56)/(S56-T56))&gt;=1,4,IF(((L56-T56)/(S56-T56))&gt;0,3,IF(((L56-T56)/(S56-T56))&gt;-1,2,1))))),"")</f>
        <v/>
      </c>
      <c r="N56" s="28"/>
      <c r="O56" s="29" t="str">
        <f aca="false">IF(N56="N/A","",IF(N56&lt;&gt;"",VALUE(N56&amp;""),IF(M56="","",M56)))</f>
        <v/>
      </c>
      <c r="P56" s="24" t="str">
        <f aca="false">IF(N56="N/A","N/A",IF(O56="","To do",IF(O56&gt;=4,"Supports BUY",IF(O56=3,"Neutral",IF(K56="Y","CRITICAL FLAG","Concern")))))</f>
        <v>To do</v>
      </c>
      <c r="Q56" s="9"/>
      <c r="R56" s="9"/>
      <c r="S56" s="34" t="n">
        <v>2</v>
      </c>
      <c r="T56" s="34" t="n">
        <v>1</v>
      </c>
    </row>
    <row r="57" customFormat="false" ht="15" hidden="false" customHeight="false" outlineLevel="0" collapsed="false">
      <c r="A57" s="3" t="s">
        <v>803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35.05" hidden="false" customHeight="false" outlineLevel="0" collapsed="false">
      <c r="A58" s="24" t="s">
        <v>804</v>
      </c>
      <c r="B58" s="24" t="s">
        <v>805</v>
      </c>
      <c r="C58" s="5" t="s">
        <v>154</v>
      </c>
      <c r="D58" s="6" t="s">
        <v>806</v>
      </c>
      <c r="E58" s="8" t="s">
        <v>807</v>
      </c>
      <c r="F58" s="8" t="s">
        <v>808</v>
      </c>
      <c r="G58" s="8" t="s">
        <v>809</v>
      </c>
      <c r="H58" s="6" t="s">
        <v>810</v>
      </c>
      <c r="I58" s="6" t="s">
        <v>811</v>
      </c>
      <c r="J58" s="6" t="s">
        <v>812</v>
      </c>
      <c r="K58" s="25" t="s">
        <v>425</v>
      </c>
      <c r="L58" s="26" t="s">
        <v>426</v>
      </c>
      <c r="M58" s="27"/>
      <c r="N58" s="28"/>
      <c r="O58" s="29" t="str">
        <f aca="false">IF(N58="N/A","",IF(N58&lt;&gt;"",VALUE(N58&amp;""),IF(M58="","",M58)))</f>
        <v/>
      </c>
      <c r="P58" s="24" t="str">
        <f aca="false">IF(N58="N/A","N/A",IF(O58="","To do",IF(O58&gt;=4,"Supports BUY",IF(O58=3,"Neutral",IF(K58="Y","CRITICAL FLAG","Concern")))))</f>
        <v>To do</v>
      </c>
      <c r="Q58" s="9"/>
      <c r="R58" s="9"/>
      <c r="S58" s="6"/>
      <c r="T58" s="6"/>
    </row>
    <row r="59" customFormat="false" ht="35.05" hidden="false" customHeight="false" outlineLevel="0" collapsed="false">
      <c r="A59" s="24" t="s">
        <v>813</v>
      </c>
      <c r="B59" s="24" t="s">
        <v>805</v>
      </c>
      <c r="C59" s="5" t="s">
        <v>814</v>
      </c>
      <c r="D59" s="6" t="s">
        <v>815</v>
      </c>
      <c r="E59" s="8" t="s">
        <v>816</v>
      </c>
      <c r="F59" s="8" t="s">
        <v>817</v>
      </c>
      <c r="G59" s="8" t="s">
        <v>818</v>
      </c>
      <c r="H59" s="6" t="s">
        <v>819</v>
      </c>
      <c r="I59" s="6" t="s">
        <v>820</v>
      </c>
      <c r="J59" s="6" t="s">
        <v>821</v>
      </c>
      <c r="K59" s="25" t="s">
        <v>425</v>
      </c>
      <c r="L59" s="26" t="s">
        <v>426</v>
      </c>
      <c r="M59" s="27"/>
      <c r="N59" s="28"/>
      <c r="O59" s="29" t="str">
        <f aca="false">IF(N59="N/A","",IF(N59&lt;&gt;"",VALUE(N59&amp;""),IF(M59="","",M59)))</f>
        <v/>
      </c>
      <c r="P59" s="24" t="str">
        <f aca="false">IF(N59="N/A","N/A",IF(O59="","To do",IF(O59&gt;=4,"Supports BUY",IF(O59=3,"Neutral",IF(K59="Y","CRITICAL FLAG","Concern")))))</f>
        <v>To do</v>
      </c>
      <c r="Q59" s="9"/>
      <c r="R59" s="9"/>
      <c r="S59" s="6"/>
      <c r="T59" s="6"/>
    </row>
    <row r="60" customFormat="false" ht="23.85" hidden="false" customHeight="false" outlineLevel="0" collapsed="false">
      <c r="A60" s="24" t="s">
        <v>822</v>
      </c>
      <c r="B60" s="24" t="s">
        <v>805</v>
      </c>
      <c r="C60" s="5" t="s">
        <v>823</v>
      </c>
      <c r="D60" s="6" t="s">
        <v>824</v>
      </c>
      <c r="E60" s="8" t="s">
        <v>825</v>
      </c>
      <c r="F60" s="8" t="s">
        <v>826</v>
      </c>
      <c r="G60" s="8" t="s">
        <v>827</v>
      </c>
      <c r="H60" s="6" t="s">
        <v>828</v>
      </c>
      <c r="I60" s="6" t="s">
        <v>702</v>
      </c>
      <c r="J60" s="6" t="s">
        <v>829</v>
      </c>
      <c r="K60" s="25" t="s">
        <v>425</v>
      </c>
      <c r="L60" s="26" t="s">
        <v>426</v>
      </c>
      <c r="M60" s="27"/>
      <c r="N60" s="28"/>
      <c r="O60" s="29" t="str">
        <f aca="false">IF(N60="N/A","",IF(N60&lt;&gt;"",VALUE(N60&amp;""),IF(M60="","",M60)))</f>
        <v/>
      </c>
      <c r="P60" s="24" t="str">
        <f aca="false">IF(N60="N/A","N/A",IF(O60="","To do",IF(O60&gt;=4,"Supports BUY",IF(O60=3,"Neutral",IF(K60="Y","CRITICAL FLAG","Concern")))))</f>
        <v>To do</v>
      </c>
      <c r="Q60" s="9"/>
      <c r="R60" s="9"/>
      <c r="S60" s="6"/>
      <c r="T60" s="6"/>
    </row>
    <row r="61" customFormat="false" ht="23.85" hidden="false" customHeight="false" outlineLevel="0" collapsed="false">
      <c r="A61" s="24" t="s">
        <v>830</v>
      </c>
      <c r="B61" s="24" t="s">
        <v>805</v>
      </c>
      <c r="C61" s="5" t="s">
        <v>831</v>
      </c>
      <c r="D61" s="6" t="s">
        <v>832</v>
      </c>
      <c r="E61" s="8" t="s">
        <v>833</v>
      </c>
      <c r="F61" s="8" t="s">
        <v>834</v>
      </c>
      <c r="G61" s="8" t="s">
        <v>835</v>
      </c>
      <c r="H61" s="6" t="s">
        <v>836</v>
      </c>
      <c r="I61" s="6" t="s">
        <v>837</v>
      </c>
      <c r="J61" s="6" t="s">
        <v>838</v>
      </c>
      <c r="K61" s="25" t="s">
        <v>425</v>
      </c>
      <c r="L61" s="35" t="str">
        <f aca="false">'7. Technical Review'!$C$50</f>
        <v>n/a</v>
      </c>
      <c r="M61" s="27" t="str">
        <f aca="false">IF('7. Technical Review'!$C$50="UPTREND",4,IF('7. Technical Review'!$C$50="SIDEWAYS",3,IF('7. Technical Review'!$C$50="DOWNTREND",2,"")))</f>
        <v/>
      </c>
      <c r="N61" s="28"/>
      <c r="O61" s="29" t="str">
        <f aca="false">IF(N61="N/A","",IF(N61&lt;&gt;"",VALUE(N61&amp;""),IF(M61="","",M61)))</f>
        <v/>
      </c>
      <c r="P61" s="24" t="str">
        <f aca="false">IF(N61="N/A","N/A",IF(O61="","To do",IF(O61&gt;=4,"Supports BUY",IF(O61=3,"Neutral",IF(K61="Y","CRITICAL FLAG","Concern")))))</f>
        <v>To do</v>
      </c>
      <c r="Q61" s="9"/>
      <c r="R61" s="9"/>
      <c r="S61" s="6"/>
      <c r="T61" s="6"/>
    </row>
    <row r="62" customFormat="false" ht="23.85" hidden="false" customHeight="false" outlineLevel="0" collapsed="false">
      <c r="A62" s="24" t="s">
        <v>839</v>
      </c>
      <c r="B62" s="24" t="s">
        <v>805</v>
      </c>
      <c r="C62" s="5" t="s">
        <v>840</v>
      </c>
      <c r="D62" s="6" t="s">
        <v>841</v>
      </c>
      <c r="E62" s="8" t="s">
        <v>842</v>
      </c>
      <c r="F62" s="8" t="s">
        <v>843</v>
      </c>
      <c r="G62" s="8" t="s">
        <v>844</v>
      </c>
      <c r="H62" s="6" t="s">
        <v>845</v>
      </c>
      <c r="I62" s="6" t="s">
        <v>702</v>
      </c>
      <c r="J62" s="6" t="s">
        <v>846</v>
      </c>
      <c r="K62" s="25" t="s">
        <v>425</v>
      </c>
      <c r="L62" s="26" t="s">
        <v>426</v>
      </c>
      <c r="M62" s="27"/>
      <c r="N62" s="28"/>
      <c r="O62" s="29" t="str">
        <f aca="false">IF(N62="N/A","",IF(N62&lt;&gt;"",VALUE(N62&amp;""),IF(M62="","",M62)))</f>
        <v/>
      </c>
      <c r="P62" s="24" t="str">
        <f aca="false">IF(N62="N/A","N/A",IF(O62="","To do",IF(O62&gt;=4,"Supports BUY",IF(O62=3,"Neutral",IF(K62="Y","CRITICAL FLAG","Concern")))))</f>
        <v>To do</v>
      </c>
      <c r="Q62" s="9"/>
      <c r="R62" s="9"/>
      <c r="S62" s="6"/>
      <c r="T62" s="6"/>
    </row>
    <row r="63" customFormat="false" ht="15" hidden="false" customHeight="false" outlineLevel="0" collapsed="false">
      <c r="A63" s="3" t="s">
        <v>847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customFormat="false" ht="23.85" hidden="false" customHeight="false" outlineLevel="0" collapsed="false">
      <c r="A64" s="24" t="s">
        <v>848</v>
      </c>
      <c r="B64" s="24" t="s">
        <v>849</v>
      </c>
      <c r="C64" s="5" t="s">
        <v>850</v>
      </c>
      <c r="D64" s="6" t="s">
        <v>851</v>
      </c>
      <c r="E64" s="8" t="s">
        <v>852</v>
      </c>
      <c r="F64" s="8" t="s">
        <v>853</v>
      </c>
      <c r="G64" s="8" t="s">
        <v>854</v>
      </c>
      <c r="H64" s="6" t="s">
        <v>855</v>
      </c>
      <c r="I64" s="6" t="s">
        <v>856</v>
      </c>
      <c r="J64" s="6" t="s">
        <v>857</v>
      </c>
      <c r="K64" s="25" t="s">
        <v>425</v>
      </c>
      <c r="L64" s="26" t="s">
        <v>426</v>
      </c>
      <c r="M64" s="27"/>
      <c r="N64" s="28"/>
      <c r="O64" s="29" t="str">
        <f aca="false">IF(N64="N/A","",IF(N64&lt;&gt;"",VALUE(N64&amp;""),IF(M64="","",M64)))</f>
        <v/>
      </c>
      <c r="P64" s="24" t="str">
        <f aca="false">IF(N64="N/A","N/A",IF(O64="","To do",IF(O64&gt;=4,"Supports BUY",IF(O64=3,"Neutral",IF(K64="Y","CRITICAL FLAG","Concern")))))</f>
        <v>To do</v>
      </c>
      <c r="Q64" s="9"/>
      <c r="R64" s="9"/>
      <c r="S64" s="6"/>
      <c r="T64" s="6"/>
    </row>
    <row r="65" customFormat="false" ht="23.85" hidden="false" customHeight="false" outlineLevel="0" collapsed="false">
      <c r="A65" s="24" t="s">
        <v>858</v>
      </c>
      <c r="B65" s="24" t="s">
        <v>849</v>
      </c>
      <c r="C65" s="5" t="s">
        <v>859</v>
      </c>
      <c r="D65" s="6" t="s">
        <v>860</v>
      </c>
      <c r="E65" s="8" t="s">
        <v>861</v>
      </c>
      <c r="F65" s="8" t="s">
        <v>862</v>
      </c>
      <c r="G65" s="8" t="s">
        <v>863</v>
      </c>
      <c r="H65" s="6" t="s">
        <v>864</v>
      </c>
      <c r="I65" s="6" t="s">
        <v>865</v>
      </c>
      <c r="J65" s="6" t="s">
        <v>866</v>
      </c>
      <c r="K65" s="25" t="s">
        <v>425</v>
      </c>
      <c r="L65" s="36" t="str">
        <f aca="false">IF('1. Company Info'!$B$20="","",'1. Company Info'!$B$20)</f>
        <v/>
      </c>
      <c r="M65" s="31" t="str">
        <f aca="false">IFERROR(IF(OR(L65="",S65="",T65=""),"",IF(((L65-T65)/(S65-T65))&gt;=2,5,IF(((L65-T65)/(S65-T65))&gt;=1,4,IF(((L65-T65)/(S65-T65))&gt;0,3,IF(((L65-T65)/(S65-T65))&gt;-1,2,1))))),"")</f>
        <v/>
      </c>
      <c r="N65" s="28"/>
      <c r="O65" s="29" t="str">
        <f aca="false">IF(N65="N/A","",IF(N65&lt;&gt;"",VALUE(N65&amp;""),IF(M65="","",M65)))</f>
        <v/>
      </c>
      <c r="P65" s="24" t="str">
        <f aca="false">IF(N65="N/A","N/A",IF(O65="","To do",IF(O65&gt;=4,"Supports BUY",IF(O65=3,"Neutral",IF(K65="Y","CRITICAL FLAG","Concern")))))</f>
        <v>To do</v>
      </c>
      <c r="Q65" s="9"/>
      <c r="R65" s="9"/>
      <c r="S65" s="37" t="n">
        <v>1</v>
      </c>
      <c r="T65" s="37" t="n">
        <v>1.3</v>
      </c>
    </row>
    <row r="66" customFormat="false" ht="35.05" hidden="false" customHeight="false" outlineLevel="0" collapsed="false">
      <c r="A66" s="24" t="s">
        <v>867</v>
      </c>
      <c r="B66" s="24" t="s">
        <v>849</v>
      </c>
      <c r="C66" s="5" t="s">
        <v>868</v>
      </c>
      <c r="D66" s="6" t="s">
        <v>869</v>
      </c>
      <c r="E66" s="8" t="s">
        <v>870</v>
      </c>
      <c r="F66" s="8" t="s">
        <v>871</v>
      </c>
      <c r="G66" s="8" t="s">
        <v>872</v>
      </c>
      <c r="H66" s="6" t="s">
        <v>873</v>
      </c>
      <c r="I66" s="6" t="s">
        <v>856</v>
      </c>
      <c r="J66" s="6" t="s">
        <v>874</v>
      </c>
      <c r="K66" s="25" t="s">
        <v>425</v>
      </c>
      <c r="L66" s="26" t="s">
        <v>426</v>
      </c>
      <c r="M66" s="27"/>
      <c r="N66" s="28"/>
      <c r="O66" s="29" t="str">
        <f aca="false">IF(N66="N/A","",IF(N66&lt;&gt;"",VALUE(N66&amp;""),IF(M66="","",M66)))</f>
        <v/>
      </c>
      <c r="P66" s="24" t="str">
        <f aca="false">IF(N66="N/A","N/A",IF(O66="","To do",IF(O66&gt;=4,"Supports BUY",IF(O66=3,"Neutral",IF(K66="Y","CRITICAL FLAG","Concern")))))</f>
        <v>To do</v>
      </c>
      <c r="Q66" s="9"/>
      <c r="R66" s="9"/>
      <c r="S66" s="6"/>
      <c r="T66" s="6"/>
    </row>
    <row r="67" customFormat="false" ht="23.85" hidden="false" customHeight="false" outlineLevel="0" collapsed="false">
      <c r="A67" s="24" t="s">
        <v>875</v>
      </c>
      <c r="B67" s="24" t="s">
        <v>849</v>
      </c>
      <c r="C67" s="5" t="s">
        <v>876</v>
      </c>
      <c r="D67" s="6" t="s">
        <v>877</v>
      </c>
      <c r="E67" s="8" t="s">
        <v>878</v>
      </c>
      <c r="F67" s="8" t="s">
        <v>879</v>
      </c>
      <c r="G67" s="8" t="s">
        <v>880</v>
      </c>
      <c r="H67" s="6" t="s">
        <v>881</v>
      </c>
      <c r="I67" s="6" t="s">
        <v>856</v>
      </c>
      <c r="J67" s="6" t="s">
        <v>882</v>
      </c>
      <c r="K67" s="25" t="s">
        <v>425</v>
      </c>
      <c r="L67" s="26" t="s">
        <v>426</v>
      </c>
      <c r="M67" s="27"/>
      <c r="N67" s="28"/>
      <c r="O67" s="29" t="str">
        <f aca="false">IF(N67="N/A","",IF(N67&lt;&gt;"",VALUE(N67&amp;""),IF(M67="","",M67)))</f>
        <v/>
      </c>
      <c r="P67" s="24" t="str">
        <f aca="false">IF(N67="N/A","N/A",IF(O67="","To do",IF(O67&gt;=4,"Supports BUY",IF(O67=3,"Neutral",IF(K67="Y","CRITICAL FLAG","Concern")))))</f>
        <v>To do</v>
      </c>
      <c r="Q67" s="9"/>
      <c r="R67" s="9"/>
      <c r="S67" s="6"/>
      <c r="T67" s="6"/>
    </row>
    <row r="68" customFormat="false" ht="35.05" hidden="false" customHeight="false" outlineLevel="0" collapsed="false">
      <c r="A68" s="24" t="s">
        <v>883</v>
      </c>
      <c r="B68" s="24" t="s">
        <v>849</v>
      </c>
      <c r="C68" s="5" t="s">
        <v>884</v>
      </c>
      <c r="D68" s="6" t="s">
        <v>885</v>
      </c>
      <c r="E68" s="8" t="s">
        <v>886</v>
      </c>
      <c r="F68" s="8" t="s">
        <v>887</v>
      </c>
      <c r="G68" s="8" t="s">
        <v>888</v>
      </c>
      <c r="H68" s="6" t="s">
        <v>889</v>
      </c>
      <c r="I68" s="6" t="s">
        <v>890</v>
      </c>
      <c r="J68" s="6" t="s">
        <v>891</v>
      </c>
      <c r="K68" s="25" t="s">
        <v>425</v>
      </c>
      <c r="L68" s="38" t="str">
        <f aca="false">IF('7. Technical Review'!$C$36="","Judgement",'7. Technical Review'!$C$36)</f>
        <v>Judgement</v>
      </c>
      <c r="M68" s="27" t="str">
        <f aca="false">IF(NOT(ISNUMBER('7. Technical Review'!$C$36)),"",IF('7. Technical Review'!$C$36&lt;=5,5,IF('7. Technical Review'!$C$36&lt;=20,3,1)))</f>
        <v/>
      </c>
      <c r="N68" s="28"/>
      <c r="O68" s="29" t="str">
        <f aca="false">IF(N68="N/A","",IF(N68&lt;&gt;"",VALUE(N68&amp;""),IF(M68="","",M68)))</f>
        <v/>
      </c>
      <c r="P68" s="24" t="str">
        <f aca="false">IF(N68="N/A","N/A",IF(O68="","To do",IF(O68&gt;=4,"Supports BUY",IF(O68=3,"Neutral",IF(K68="Y","CRITICAL FLAG","Concern")))))</f>
        <v>To do</v>
      </c>
      <c r="Q68" s="9"/>
      <c r="R68" s="9"/>
      <c r="S68" s="6"/>
      <c r="T68" s="6"/>
    </row>
  </sheetData>
  <autoFilter ref="A4:T68"/>
  <conditionalFormatting sqref="P5:P68">
    <cfRule type="expression" priority="2" aboveAverage="0" equalAverage="0" bottom="0" percent="0" rank="0" text="" dxfId="0">
      <formula>P5="Supports BUY"</formula>
    </cfRule>
    <cfRule type="expression" priority="3" aboveAverage="0" equalAverage="0" bottom="0" percent="0" rank="0" text="" dxfId="14">
      <formula>P5="Neutral"</formula>
    </cfRule>
    <cfRule type="expression" priority="4" aboveAverage="0" equalAverage="0" bottom="0" percent="0" rank="0" text="" dxfId="1">
      <formula>P5="Concern"</formula>
    </cfRule>
    <cfRule type="expression" priority="5" aboveAverage="0" equalAverage="0" bottom="0" percent="0" rank="0" text="" dxfId="15">
      <formula>P5="CRITICAL FLAG"</formula>
    </cfRule>
    <cfRule type="expression" priority="6" aboveAverage="0" equalAverage="0" bottom="0" percent="0" rank="0" text="" dxfId="16">
      <formula>P5="To do"</formula>
    </cfRule>
  </conditionalFormatting>
  <conditionalFormatting sqref="K5:K68">
    <cfRule type="expression" priority="7" aboveAverage="0" equalAverage="0" bottom="0" percent="0" rank="0" text="" dxfId="17">
      <formula>K5="Y"</formula>
    </cfRule>
  </conditionalFormatting>
  <dataValidations count="2">
    <dataValidation allowBlank="true" error="Choose 1–5 or N/A" errorStyle="stop" operator="between" prompt="5 = strongly supports BUY, 3 = neutral, 1 = red flag. Section J: 5 = low risk." promptTitle="Score" showDropDown="false" showErrorMessage="true" showInputMessage="true" sqref="N5:N68" type="list">
      <formula1>"1,2,3,4,5,N/A"</formula1>
      <formula2>0</formula2>
    </dataValidation>
    <dataValidation allowBlank="true" errorStyle="stop" operator="between" showDropDown="false" showErrorMessage="false" showInputMessage="false" sqref="K5:K6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G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892</v>
      </c>
    </row>
    <row r="2" customFormat="false" ht="15" hidden="false" customHeight="false" outlineLevel="0" collapsed="false">
      <c r="A2" s="2" t="s">
        <v>893</v>
      </c>
    </row>
    <row r="4" customFormat="false" ht="15" hidden="false" customHeight="false" outlineLevel="0" collapsed="false">
      <c r="A4" s="3" t="s">
        <v>894</v>
      </c>
      <c r="B4" s="4"/>
      <c r="C4" s="4"/>
      <c r="D4" s="4"/>
      <c r="E4" s="4"/>
      <c r="F4" s="4"/>
      <c r="G4" s="4"/>
    </row>
    <row r="5" customFormat="false" ht="23.85" hidden="false" customHeight="false" outlineLevel="0" collapsed="false">
      <c r="A5" s="7" t="s">
        <v>895</v>
      </c>
      <c r="B5" s="7" t="s">
        <v>280</v>
      </c>
      <c r="C5" s="7" t="s">
        <v>282</v>
      </c>
      <c r="D5" s="7" t="s">
        <v>896</v>
      </c>
      <c r="E5" s="7" t="s">
        <v>348</v>
      </c>
      <c r="F5" s="7" t="s">
        <v>897</v>
      </c>
      <c r="G5" s="7"/>
    </row>
    <row r="6" customFormat="false" ht="15" hidden="false" customHeight="false" outlineLevel="0" collapsed="false">
      <c r="A6" s="9"/>
      <c r="B6" s="39"/>
      <c r="C6" s="39"/>
      <c r="D6" s="20"/>
      <c r="E6" s="20"/>
      <c r="F6" s="9"/>
    </row>
    <row r="7" customFormat="false" ht="15" hidden="false" customHeight="false" outlineLevel="0" collapsed="false">
      <c r="A7" s="9"/>
      <c r="B7" s="39"/>
      <c r="C7" s="39"/>
      <c r="D7" s="20"/>
      <c r="E7" s="20"/>
      <c r="F7" s="9"/>
    </row>
    <row r="8" customFormat="false" ht="15" hidden="false" customHeight="false" outlineLevel="0" collapsed="false">
      <c r="A8" s="9"/>
      <c r="B8" s="39"/>
      <c r="C8" s="39"/>
      <c r="D8" s="20"/>
      <c r="E8" s="20"/>
      <c r="F8" s="9"/>
    </row>
    <row r="9" customFormat="false" ht="15" hidden="false" customHeight="false" outlineLevel="0" collapsed="false">
      <c r="A9" s="9"/>
      <c r="B9" s="39"/>
      <c r="C9" s="39"/>
      <c r="D9" s="20"/>
      <c r="E9" s="20"/>
      <c r="F9" s="9"/>
    </row>
    <row r="10" customFormat="false" ht="15" hidden="false" customHeight="false" outlineLevel="0" collapsed="false">
      <c r="A10" s="9"/>
      <c r="B10" s="39"/>
      <c r="C10" s="39"/>
      <c r="D10" s="20"/>
      <c r="E10" s="20"/>
      <c r="F10" s="9"/>
    </row>
    <row r="11" customFormat="false" ht="15" hidden="false" customHeight="false" outlineLevel="0" collapsed="false">
      <c r="A11" s="9"/>
      <c r="B11" s="39"/>
      <c r="C11" s="39"/>
      <c r="D11" s="20"/>
      <c r="E11" s="20"/>
      <c r="F11" s="9"/>
    </row>
    <row r="12" customFormat="false" ht="15" hidden="false" customHeight="false" outlineLevel="0" collapsed="false">
      <c r="A12" s="5" t="s">
        <v>898</v>
      </c>
      <c r="B12" s="23" t="str">
        <f aca="false">IF(COUNT(B6:B11)=0,"",MEDIAN(B6:B11))</f>
        <v/>
      </c>
      <c r="C12" s="23" t="str">
        <f aca="false">IF(COUNT(C6:C11)=0,"",MEDIAN(C6:C11))</f>
        <v/>
      </c>
      <c r="D12" s="21" t="str">
        <f aca="false">IF(COUNT(D6:D11)=0,"",MEDIAN(D6:D11))</f>
        <v/>
      </c>
      <c r="E12" s="21" t="str">
        <f aca="false">IF(COUNT(E6:E11)=0,"",MEDIAN(E6:E11))</f>
        <v/>
      </c>
    </row>
    <row r="13" customFormat="false" ht="15" hidden="false" customHeight="false" outlineLevel="0" collapsed="false">
      <c r="A13" s="5" t="s">
        <v>899</v>
      </c>
      <c r="B13" s="16" t="str">
        <f aca="false">IF('1. Company Info'!B33="","",'1. Company Info'!B33)</f>
        <v/>
      </c>
      <c r="C13" s="16" t="str">
        <f aca="false">IF('1. Company Info'!B34="","",'1. Company Info'!B34)</f>
        <v/>
      </c>
      <c r="D13" s="17" t="str">
        <f aca="false">IF('2. Financials'!$E$32="","",'2. Financials'!$E$32)</f>
        <v/>
      </c>
      <c r="E13" s="17" t="str">
        <f aca="false">IF('2. Financials'!$E$34="","",'2. Financials'!$E$34)</f>
        <v/>
      </c>
    </row>
    <row r="14" customFormat="false" ht="35.05" hidden="false" customHeight="false" outlineLevel="0" collapsed="false">
      <c r="A14" s="5" t="s">
        <v>900</v>
      </c>
      <c r="B14" s="21" t="str">
        <f aca="false">IFERROR(IF(OR(B13="",B12=""),"",B13/B12-1),"")</f>
        <v/>
      </c>
      <c r="C14" s="21" t="str">
        <f aca="false">IFERROR(IF(OR(C13="",C12=""),"",C13/C12-1),"")</f>
        <v/>
      </c>
      <c r="F14" s="8" t="s">
        <v>901</v>
      </c>
    </row>
    <row r="16" customFormat="false" ht="15" hidden="false" customHeight="false" outlineLevel="0" collapsed="false">
      <c r="A16" s="3" t="s">
        <v>902</v>
      </c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6" t="s">
        <v>903</v>
      </c>
      <c r="B17" s="40" t="str">
        <f aca="false">IF('1. Company Info'!$B$23="","",'1. Company Info'!$B$23)</f>
        <v/>
      </c>
      <c r="F17" s="8" t="s">
        <v>904</v>
      </c>
    </row>
    <row r="18" customFormat="false" ht="23.85" hidden="false" customHeight="false" outlineLevel="0" collapsed="false">
      <c r="A18" s="6" t="s">
        <v>905</v>
      </c>
      <c r="B18" s="39"/>
      <c r="C18" s="27" t="str">
        <f aca="false">IF(B12="","","Peer median: "&amp;TEXT(B12,"0.0")&amp;"x")</f>
        <v/>
      </c>
      <c r="F18" s="8" t="s">
        <v>906</v>
      </c>
    </row>
    <row r="19" customFormat="false" ht="15" hidden="false" customHeight="false" outlineLevel="0" collapsed="false">
      <c r="A19" s="5" t="s">
        <v>907</v>
      </c>
      <c r="B19" s="41" t="str">
        <f aca="false">IFERROR(IF(OR(B17="",B18=""),"",B17*B18),"")</f>
        <v/>
      </c>
    </row>
    <row r="21" customFormat="false" ht="15" hidden="false" customHeight="false" outlineLevel="0" collapsed="false">
      <c r="A21" s="3" t="s">
        <v>908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5" t="s">
        <v>909</v>
      </c>
    </row>
    <row r="23" customFormat="false" ht="35.05" hidden="false" customHeight="false" outlineLevel="0" collapsed="false">
      <c r="A23" s="6" t="s">
        <v>129</v>
      </c>
      <c r="B23" s="20"/>
      <c r="F23" s="8" t="s">
        <v>910</v>
      </c>
    </row>
    <row r="24" customFormat="false" ht="15" hidden="false" customHeight="false" outlineLevel="0" collapsed="false">
      <c r="A24" s="6" t="s">
        <v>127</v>
      </c>
      <c r="B24" s="42" t="str">
        <f aca="false">IF('1. Company Info'!$B$20="","",'1. Company Info'!$B$20)</f>
        <v/>
      </c>
      <c r="F24" s="8" t="s">
        <v>904</v>
      </c>
    </row>
    <row r="25" customFormat="false" ht="23.85" hidden="false" customHeight="false" outlineLevel="0" collapsed="false">
      <c r="A25" s="6" t="s">
        <v>911</v>
      </c>
      <c r="B25" s="20"/>
      <c r="F25" s="8" t="s">
        <v>912</v>
      </c>
    </row>
    <row r="26" customFormat="false" ht="15" hidden="false" customHeight="false" outlineLevel="0" collapsed="false">
      <c r="A26" s="6" t="s">
        <v>913</v>
      </c>
      <c r="B26" s="21" t="str">
        <f aca="false">IF(OR(B23="",B24="",B25=""),"",B23+B24*B25)</f>
        <v/>
      </c>
      <c r="F26" s="8" t="s">
        <v>914</v>
      </c>
    </row>
    <row r="27" customFormat="false" ht="23.85" hidden="false" customHeight="false" outlineLevel="0" collapsed="false">
      <c r="A27" s="6" t="s">
        <v>915</v>
      </c>
      <c r="B27" s="20"/>
      <c r="F27" s="8" t="s">
        <v>916</v>
      </c>
    </row>
    <row r="28" customFormat="false" ht="15" hidden="false" customHeight="false" outlineLevel="0" collapsed="false">
      <c r="A28" s="6" t="s">
        <v>917</v>
      </c>
      <c r="B28" s="17" t="str">
        <f aca="false">IF('2. Financials'!$E$28="","",'2. Financials'!$E$28)</f>
        <v/>
      </c>
      <c r="F28" s="8" t="s">
        <v>918</v>
      </c>
    </row>
    <row r="29" customFormat="false" ht="15" hidden="false" customHeight="false" outlineLevel="0" collapsed="false">
      <c r="A29" s="6" t="s">
        <v>919</v>
      </c>
      <c r="B29" s="17" t="n">
        <f aca="false">IFERROR(IF(OR('2. Financials'!$E$20="",'1. Company Info'!B29=""),0,'2. Financials'!$E$20/('2. Financials'!$E$20+'1. Company Info'!B29)),0)</f>
        <v>0</v>
      </c>
      <c r="F29" s="8" t="s">
        <v>920</v>
      </c>
    </row>
    <row r="30" customFormat="false" ht="23.85" hidden="false" customHeight="false" outlineLevel="0" collapsed="false">
      <c r="A30" s="6" t="s">
        <v>921</v>
      </c>
      <c r="B30" s="21" t="str">
        <f aca="false">IF(B26="","",(1-B29)*B26+B29*N(B27)*(1-N(B28)))</f>
        <v/>
      </c>
      <c r="F30" s="8" t="s">
        <v>922</v>
      </c>
    </row>
    <row r="31" customFormat="false" ht="23.85" hidden="false" customHeight="false" outlineLevel="0" collapsed="false">
      <c r="A31" s="6" t="s">
        <v>923</v>
      </c>
      <c r="B31" s="20"/>
      <c r="F31" s="8" t="s">
        <v>924</v>
      </c>
    </row>
    <row r="32" customFormat="false" ht="15" hidden="false" customHeight="false" outlineLevel="0" collapsed="false">
      <c r="A32" s="6" t="s">
        <v>925</v>
      </c>
      <c r="B32" s="43" t="str">
        <f aca="false">IF(B31&lt;&gt;"",B31,B30)</f>
        <v/>
      </c>
      <c r="F32" s="8"/>
    </row>
    <row r="33" customFormat="false" ht="35.05" hidden="false" customHeight="false" outlineLevel="0" collapsed="false">
      <c r="A33" s="6" t="s">
        <v>926</v>
      </c>
      <c r="B33" s="20"/>
      <c r="F33" s="8" t="s">
        <v>927</v>
      </c>
    </row>
    <row r="34" customFormat="false" ht="23.85" hidden="false" customHeight="false" outlineLevel="0" collapsed="false">
      <c r="A34" s="6" t="s">
        <v>928</v>
      </c>
      <c r="B34" s="20"/>
      <c r="C34" s="27" t="str">
        <f aca="false">IF('2. Financials'!$E$39="","","Latest actual: "&amp;TEXT('2. Financials'!$E$39,"0.0%"))</f>
        <v/>
      </c>
      <c r="F34" s="8" t="s">
        <v>929</v>
      </c>
    </row>
    <row r="36" customFormat="false" ht="15" hidden="false" customHeight="false" outlineLevel="0" collapsed="false">
      <c r="A36" s="7"/>
      <c r="B36" s="7" t="s">
        <v>930</v>
      </c>
      <c r="C36" s="7" t="s">
        <v>341</v>
      </c>
      <c r="D36" s="7" t="s">
        <v>296</v>
      </c>
      <c r="E36" s="7" t="s">
        <v>297</v>
      </c>
      <c r="F36" s="7" t="s">
        <v>931</v>
      </c>
      <c r="G36" s="7" t="s">
        <v>932</v>
      </c>
    </row>
    <row r="37" customFormat="false" ht="15" hidden="false" customHeight="false" outlineLevel="0" collapsed="false">
      <c r="A37" s="6" t="s">
        <v>933</v>
      </c>
      <c r="C37" s="20"/>
      <c r="D37" s="20"/>
      <c r="E37" s="20"/>
      <c r="F37" s="20"/>
      <c r="G37" s="20"/>
    </row>
    <row r="38" customFormat="false" ht="15" hidden="false" customHeight="false" outlineLevel="0" collapsed="false">
      <c r="A38" s="6" t="s">
        <v>934</v>
      </c>
      <c r="B38" s="14" t="str">
        <f aca="false">IF('2. Financials'!$E$7="","",'2. Financials'!$E$7)</f>
        <v/>
      </c>
      <c r="C38" s="22" t="str">
        <f aca="false">IF(OR(B38="",C37=""),"",B38*(1+C37))</f>
        <v/>
      </c>
      <c r="D38" s="22" t="str">
        <f aca="false">IF(OR(C38="",D37=""),"",C38*(1+D37))</f>
        <v/>
      </c>
      <c r="E38" s="22" t="str">
        <f aca="false">IF(OR(D38="",E37=""),"",D38*(1+E37))</f>
        <v/>
      </c>
      <c r="F38" s="22" t="str">
        <f aca="false">IF(OR(E38="",F37=""),"",E38*(1+F37))</f>
        <v/>
      </c>
      <c r="G38" s="22" t="str">
        <f aca="false">IF(OR(F38="",G37=""),"",F38*(1+G37))</f>
        <v/>
      </c>
    </row>
    <row r="39" customFormat="false" ht="15" hidden="false" customHeight="false" outlineLevel="0" collapsed="false">
      <c r="A39" s="6" t="s">
        <v>935</v>
      </c>
      <c r="C39" s="22" t="str">
        <f aca="false">IF(OR(C38="",$B$34=""),"",C38*$B$34)</f>
        <v/>
      </c>
      <c r="D39" s="22" t="str">
        <f aca="false">IF(OR(D38="",$B$34=""),"",D38*$B$34)</f>
        <v/>
      </c>
      <c r="E39" s="22" t="str">
        <f aca="false">IF(OR(E38="",$B$34=""),"",E38*$B$34)</f>
        <v/>
      </c>
      <c r="F39" s="22" t="str">
        <f aca="false">IF(OR(F38="",$B$34=""),"",F38*$B$34)</f>
        <v/>
      </c>
      <c r="G39" s="22" t="str">
        <f aca="false">IF(OR(G38="",$B$34=""),"",G38*$B$34)</f>
        <v/>
      </c>
    </row>
    <row r="40" customFormat="false" ht="15" hidden="false" customHeight="false" outlineLevel="0" collapsed="false">
      <c r="A40" s="6" t="s">
        <v>936</v>
      </c>
      <c r="C40" s="44" t="n">
        <v>1</v>
      </c>
      <c r="D40" s="44" t="n">
        <v>2</v>
      </c>
      <c r="E40" s="44" t="n">
        <v>3</v>
      </c>
      <c r="F40" s="44" t="n">
        <v>4</v>
      </c>
      <c r="G40" s="44" t="n">
        <v>5</v>
      </c>
    </row>
    <row r="41" customFormat="false" ht="15" hidden="false" customHeight="false" outlineLevel="0" collapsed="false">
      <c r="A41" s="6" t="s">
        <v>937</v>
      </c>
      <c r="C41" s="45" t="str">
        <f aca="false">IF($B$32="","",1/(1+$B$32)^C40)</f>
        <v/>
      </c>
      <c r="D41" s="45" t="str">
        <f aca="false">IF($B$32="","",1/(1+$B$32)^D40)</f>
        <v/>
      </c>
      <c r="E41" s="45" t="str">
        <f aca="false">IF($B$32="","",1/(1+$B$32)^E40)</f>
        <v/>
      </c>
      <c r="F41" s="45" t="str">
        <f aca="false">IF($B$32="","",1/(1+$B$32)^F40)</f>
        <v/>
      </c>
      <c r="G41" s="45" t="str">
        <f aca="false">IF($B$32="","",1/(1+$B$32)^G40)</f>
        <v/>
      </c>
    </row>
    <row r="42" customFormat="false" ht="15" hidden="false" customHeight="false" outlineLevel="0" collapsed="false">
      <c r="A42" s="6" t="s">
        <v>938</v>
      </c>
      <c r="C42" s="22" t="str">
        <f aca="false">IFERROR(C39*C41,"")</f>
        <v/>
      </c>
      <c r="D42" s="22" t="str">
        <f aca="false">IFERROR(D39*D41,"")</f>
        <v/>
      </c>
      <c r="E42" s="22" t="str">
        <f aca="false">IFERROR(E39*E41,"")</f>
        <v/>
      </c>
      <c r="F42" s="22" t="str">
        <f aca="false">IFERROR(F39*F41,"")</f>
        <v/>
      </c>
      <c r="G42" s="22" t="str">
        <f aca="false">IFERROR(G39*G41,"")</f>
        <v/>
      </c>
    </row>
    <row r="44" customFormat="false" ht="15" hidden="false" customHeight="false" outlineLevel="0" collapsed="false">
      <c r="A44" s="6" t="s">
        <v>939</v>
      </c>
      <c r="B44" s="22" t="str">
        <f aca="false">IF(COUNT(C42:G42)&lt;5,"",SUM(C42:G42))</f>
        <v/>
      </c>
      <c r="F44" s="8"/>
    </row>
    <row r="45" customFormat="false" ht="23.85" hidden="false" customHeight="false" outlineLevel="0" collapsed="false">
      <c r="A45" s="6" t="s">
        <v>940</v>
      </c>
      <c r="B45" s="22" t="str">
        <f aca="false">IFERROR(IF(OR(G39="",B33="",B32="",B32&lt;=B33),"",G39*(1+B33)/(B32-B33)),"")</f>
        <v/>
      </c>
      <c r="F45" s="8" t="s">
        <v>941</v>
      </c>
    </row>
    <row r="46" customFormat="false" ht="23.85" hidden="false" customHeight="false" outlineLevel="0" collapsed="false">
      <c r="A46" s="6" t="s">
        <v>942</v>
      </c>
      <c r="B46" s="22" t="str">
        <f aca="false">IFERROR(B45*G41,"")</f>
        <v/>
      </c>
      <c r="F46" s="8" t="s">
        <v>943</v>
      </c>
    </row>
    <row r="47" customFormat="false" ht="15" hidden="false" customHeight="false" outlineLevel="0" collapsed="false">
      <c r="A47" s="6" t="s">
        <v>944</v>
      </c>
      <c r="B47" s="22" t="str">
        <f aca="false">IFERROR(B44+B46,"")</f>
        <v/>
      </c>
      <c r="F47" s="8"/>
    </row>
    <row r="48" customFormat="false" ht="23.85" hidden="false" customHeight="false" outlineLevel="0" collapsed="false">
      <c r="A48" s="6" t="s">
        <v>945</v>
      </c>
      <c r="B48" s="14" t="str">
        <f aca="false">IF('2. Financials'!$E$43="","",'2. Financials'!$E$43)</f>
        <v/>
      </c>
      <c r="F48" s="8" t="s">
        <v>946</v>
      </c>
    </row>
    <row r="49" customFormat="false" ht="15" hidden="false" customHeight="false" outlineLevel="0" collapsed="false">
      <c r="A49" s="6" t="s">
        <v>947</v>
      </c>
      <c r="B49" s="22" t="str">
        <f aca="false">IFERROR(B47-N(B48),"")</f>
        <v/>
      </c>
      <c r="F49" s="8"/>
    </row>
    <row r="50" customFormat="false" ht="23.85" hidden="false" customHeight="false" outlineLevel="0" collapsed="false">
      <c r="A50" s="5" t="s">
        <v>948</v>
      </c>
      <c r="B50" s="40" t="str">
        <f aca="false">IFERROR(B49/'2. Financials'!$E$15,"")</f>
        <v/>
      </c>
      <c r="F50" s="8" t="s">
        <v>949</v>
      </c>
    </row>
    <row r="51" customFormat="false" ht="23.85" hidden="false" customHeight="false" outlineLevel="0" collapsed="false">
      <c r="A51" s="6" t="s">
        <v>950</v>
      </c>
      <c r="B51" s="21" t="str">
        <f aca="false">IFERROR(B46/B47,"")</f>
        <v/>
      </c>
      <c r="F51" s="8" t="s">
        <v>951</v>
      </c>
    </row>
    <row r="53" customFormat="false" ht="15" hidden="false" customHeight="false" outlineLevel="0" collapsed="false">
      <c r="A53" s="3" t="s">
        <v>952</v>
      </c>
      <c r="B53" s="4"/>
      <c r="C53" s="4"/>
      <c r="D53" s="4"/>
      <c r="E53" s="4"/>
      <c r="F53" s="4"/>
      <c r="G53" s="4"/>
    </row>
    <row r="54" customFormat="false" ht="15" hidden="false" customHeight="false" outlineLevel="0" collapsed="false">
      <c r="A54" s="6" t="s">
        <v>953</v>
      </c>
      <c r="B54" s="14" t="str">
        <f aca="false">IFERROR(IF(OR('2. Financials'!$E$36="",C37=""),"",'2. Financials'!$E$36*(1+C37)),"")</f>
        <v/>
      </c>
    </row>
    <row r="55" customFormat="false" ht="15" hidden="false" customHeight="false" outlineLevel="0" collapsed="false">
      <c r="A55" s="6" t="s">
        <v>954</v>
      </c>
      <c r="B55" s="39"/>
      <c r="C55" s="27" t="str">
        <f aca="false">IF(C12="","","Peer median: "&amp;TEXT(C12,"0.0")&amp;"x")</f>
        <v/>
      </c>
      <c r="F55" s="8" t="s">
        <v>955</v>
      </c>
    </row>
    <row r="56" customFormat="false" ht="15" hidden="false" customHeight="false" outlineLevel="0" collapsed="false">
      <c r="A56" s="6" t="s">
        <v>956</v>
      </c>
      <c r="B56" s="22" t="str">
        <f aca="false">IFERROR(IF(OR(B54="",B55=""),"",B54*B55),"")</f>
        <v/>
      </c>
    </row>
    <row r="57" customFormat="false" ht="15" hidden="false" customHeight="false" outlineLevel="0" collapsed="false">
      <c r="A57" s="5" t="s">
        <v>957</v>
      </c>
      <c r="B57" s="41" t="str">
        <f aca="false">IFERROR(IF(B56="","",(B56-N('2. Financials'!$E$43))/'2. Financials'!$E$15),"")</f>
        <v/>
      </c>
    </row>
    <row r="59" customFormat="false" ht="15" hidden="false" customHeight="false" outlineLevel="0" collapsed="false">
      <c r="A59" s="3" t="s">
        <v>958</v>
      </c>
      <c r="B59" s="4"/>
      <c r="C59" s="4"/>
      <c r="D59" s="4"/>
      <c r="E59" s="4"/>
      <c r="F59" s="4"/>
      <c r="G59" s="4"/>
    </row>
    <row r="60" customFormat="false" ht="15" hidden="false" customHeight="false" outlineLevel="0" collapsed="false">
      <c r="A60" s="7" t="s">
        <v>959</v>
      </c>
      <c r="B60" s="7" t="s">
        <v>960</v>
      </c>
      <c r="C60" s="7" t="s">
        <v>961</v>
      </c>
      <c r="D60" s="7" t="s">
        <v>962</v>
      </c>
      <c r="E60" s="7" t="s">
        <v>963</v>
      </c>
      <c r="F60" s="7" t="s">
        <v>964</v>
      </c>
      <c r="G60" s="7"/>
    </row>
    <row r="61" customFormat="false" ht="15" hidden="false" customHeight="false" outlineLevel="0" collapsed="false">
      <c r="A61" s="6" t="s">
        <v>965</v>
      </c>
      <c r="B61" s="46" t="str">
        <f aca="false">B19</f>
        <v/>
      </c>
      <c r="C61" s="17" t="str">
        <f aca="false">IFERROR(IF(OR(B61="",'1. Company Info'!$B$16=""),"",B61/'1. Company Info'!$B$16-1),"")</f>
        <v/>
      </c>
      <c r="D61" s="20" t="n">
        <v>0.4</v>
      </c>
      <c r="E61" s="21" t="n">
        <f aca="false">IF(ISNUMBER(B61),D61,0)</f>
        <v>0</v>
      </c>
      <c r="F61" s="46" t="n">
        <f aca="false">IF(ISNUMBER(B61),B61*D61,0)</f>
        <v>0</v>
      </c>
    </row>
    <row r="62" customFormat="false" ht="15" hidden="false" customHeight="false" outlineLevel="0" collapsed="false">
      <c r="A62" s="6" t="s">
        <v>966</v>
      </c>
      <c r="B62" s="46" t="str">
        <f aca="false">B50</f>
        <v/>
      </c>
      <c r="C62" s="17" t="str">
        <f aca="false">IFERROR(IF(OR(B62="",'1. Company Info'!$B$16=""),"",B62/'1. Company Info'!$B$16-1),"")</f>
        <v/>
      </c>
      <c r="D62" s="20" t="n">
        <v>0.3</v>
      </c>
      <c r="E62" s="21" t="n">
        <f aca="false">IF(ISNUMBER(B62),D62,0)</f>
        <v>0</v>
      </c>
      <c r="F62" s="46" t="n">
        <f aca="false">IF(ISNUMBER(B62),B62*D62,0)</f>
        <v>0</v>
      </c>
    </row>
    <row r="63" customFormat="false" ht="15" hidden="false" customHeight="false" outlineLevel="0" collapsed="false">
      <c r="A63" s="6" t="s">
        <v>967</v>
      </c>
      <c r="B63" s="46" t="str">
        <f aca="false">B57</f>
        <v/>
      </c>
      <c r="C63" s="17" t="str">
        <f aca="false">IFERROR(IF(OR(B63="",'1. Company Info'!$B$16=""),"",B63/'1. Company Info'!$B$16-1),"")</f>
        <v/>
      </c>
      <c r="D63" s="20" t="n">
        <v>0.3</v>
      </c>
      <c r="E63" s="21" t="n">
        <f aca="false">IF(ISNUMBER(B63),D63,0)</f>
        <v>0</v>
      </c>
      <c r="F63" s="46" t="n">
        <f aca="false">IF(ISNUMBER(B63),B63*D63,0)</f>
        <v>0</v>
      </c>
    </row>
    <row r="64" customFormat="false" ht="23.85" hidden="false" customHeight="false" outlineLevel="0" collapsed="false">
      <c r="A64" s="5" t="s">
        <v>968</v>
      </c>
      <c r="B64" s="47" t="str">
        <f aca="false">IF(SUM(E61:E63)=0,"",SUM(F61:F63)/SUM(E61:E63))</f>
        <v/>
      </c>
      <c r="C64" s="48" t="str">
        <f aca="false">IFERROR(IF(OR(B64="",'1. Company Info'!$B$16=""),"",B64/'1. Company Info'!$B$16-1),"")</f>
        <v/>
      </c>
      <c r="D64" s="21" t="n">
        <f aca="false">SUM(D61:D63)</f>
        <v>1</v>
      </c>
      <c r="F64" s="8" t="s">
        <v>969</v>
      </c>
    </row>
    <row r="65" customFormat="false" ht="15" hidden="false" customHeight="false" outlineLevel="0" collapsed="false">
      <c r="A65" s="6" t="s">
        <v>970</v>
      </c>
      <c r="B65" s="9"/>
      <c r="C65" s="9"/>
      <c r="D65" s="9"/>
      <c r="E65" s="9"/>
      <c r="F65" s="9"/>
      <c r="G65" s="9"/>
    </row>
    <row r="67" customFormat="false" ht="15" hidden="false" customHeight="false" outlineLevel="0" collapsed="false">
      <c r="A67" s="3" t="s">
        <v>971</v>
      </c>
      <c r="B67" s="4"/>
      <c r="C67" s="4"/>
      <c r="D67" s="4"/>
      <c r="E67" s="4"/>
      <c r="F67" s="4"/>
      <c r="G67" s="4"/>
    </row>
    <row r="68" customFormat="false" ht="35.05" hidden="false" customHeight="false" outlineLevel="0" collapsed="false">
      <c r="A68" s="7" t="s">
        <v>972</v>
      </c>
      <c r="B68" s="7" t="s">
        <v>973</v>
      </c>
      <c r="C68" s="7" t="s">
        <v>974</v>
      </c>
      <c r="D68" s="7" t="s">
        <v>975</v>
      </c>
      <c r="E68" s="7" t="s">
        <v>976</v>
      </c>
      <c r="F68" s="7"/>
      <c r="G68" s="7"/>
    </row>
    <row r="69" customFormat="false" ht="15" hidden="false" customHeight="false" outlineLevel="0" collapsed="false">
      <c r="A69" s="6" t="s">
        <v>977</v>
      </c>
      <c r="B69" s="11"/>
      <c r="C69" s="17" t="str">
        <f aca="false">IFERROR(IF(OR(B69="",'1. Company Info'!$B$16=""),"",B69/'1. Company Info'!$B$16-1),"")</f>
        <v/>
      </c>
      <c r="D69" s="20" t="n">
        <v>0.25</v>
      </c>
      <c r="E69" s="9"/>
      <c r="F69" s="9"/>
      <c r="G69" s="9"/>
    </row>
    <row r="70" customFormat="false" ht="15" hidden="false" customHeight="false" outlineLevel="0" collapsed="false">
      <c r="A70" s="6" t="s">
        <v>978</v>
      </c>
      <c r="B70" s="46" t="str">
        <f aca="false">B64</f>
        <v/>
      </c>
      <c r="C70" s="17" t="str">
        <f aca="false">IFERROR(IF(OR(B70="",'1. Company Info'!$B$16=""),"",B70/'1. Company Info'!$B$16-1),"")</f>
        <v/>
      </c>
      <c r="D70" s="20" t="n">
        <v>0.5</v>
      </c>
      <c r="E70" s="9"/>
      <c r="F70" s="9"/>
      <c r="G70" s="9"/>
    </row>
    <row r="71" customFormat="false" ht="15" hidden="false" customHeight="false" outlineLevel="0" collapsed="false">
      <c r="A71" s="6" t="s">
        <v>979</v>
      </c>
      <c r="B71" s="11"/>
      <c r="C71" s="17" t="str">
        <f aca="false">IFERROR(IF(OR(B71="",'1. Company Info'!$B$16=""),"",B71/'1. Company Info'!$B$16-1),"")</f>
        <v/>
      </c>
      <c r="D71" s="20" t="n">
        <v>0.25</v>
      </c>
      <c r="E71" s="9"/>
      <c r="F71" s="9"/>
      <c r="G71" s="9"/>
    </row>
    <row r="72" customFormat="false" ht="15" hidden="false" customHeight="false" outlineLevel="0" collapsed="false">
      <c r="A72" s="5" t="s">
        <v>980</v>
      </c>
      <c r="B72" s="46" t="str">
        <f aca="false">IFERROR(IF(COUNT(B69:B71)&lt;3,"",SUMPRODUCT(B69:B71,D69:D71)),"")</f>
        <v/>
      </c>
      <c r="C72" s="17" t="str">
        <f aca="false">IFERROR(B72/'1. Company Info'!$B$16-1,"")</f>
        <v/>
      </c>
      <c r="D72" s="21" t="n">
        <f aca="false">SUM(D69:D71)</f>
        <v>1</v>
      </c>
    </row>
    <row r="73" customFormat="false" ht="68.65" hidden="false" customHeight="false" outlineLevel="0" collapsed="false">
      <c r="A73" s="5" t="s">
        <v>981</v>
      </c>
      <c r="B73" s="23" t="str">
        <f aca="false">IFERROR(IF(OR(C69="",C71="",C69&gt;=0),"",C71/ABS(C69)),"")</f>
        <v/>
      </c>
      <c r="E73" s="8" t="s">
        <v>982</v>
      </c>
    </row>
    <row r="75" customFormat="false" ht="15" hidden="false" customHeight="false" outlineLevel="0" collapsed="false">
      <c r="A75" s="3" t="s">
        <v>983</v>
      </c>
      <c r="B75" s="4"/>
      <c r="C75" s="4"/>
      <c r="D75" s="4"/>
      <c r="E75" s="4"/>
      <c r="F75" s="4"/>
      <c r="G75" s="4"/>
    </row>
    <row r="76" customFormat="false" ht="15" hidden="false" customHeight="false" outlineLevel="0" collapsed="false">
      <c r="A76" s="49" t="s">
        <v>984</v>
      </c>
      <c r="B76" s="50" t="str">
        <f aca="false">IF($B$33="","",$B$33+-0.01)</f>
        <v/>
      </c>
      <c r="C76" s="50" t="str">
        <f aca="false">IF($B$33="","",$B$33+-0.005)</f>
        <v/>
      </c>
      <c r="D76" s="50" t="str">
        <f aca="false">IF($B$33="","",$B$33+0)</f>
        <v/>
      </c>
      <c r="E76" s="50" t="str">
        <f aca="false">IF($B$33="","",$B$33+0.005)</f>
        <v/>
      </c>
      <c r="F76" s="50" t="str">
        <f aca="false">IF($B$33="","",$B$33+0.01)</f>
        <v/>
      </c>
    </row>
    <row r="77" customFormat="false" ht="15" hidden="false" customHeight="false" outlineLevel="0" collapsed="false">
      <c r="A77" s="50" t="str">
        <f aca="false">IF($B$32="","",$B$32+-0.02)</f>
        <v/>
      </c>
      <c r="B77" s="51" t="str">
        <f aca="false">IFERROR(IF($A77&lt;=B$76,"",(SUMPRODUCT($C$39:$G$39/(1+$A77)^$C$40:$G$40)+$G$39*(1+B$76)/($A77-B$76)/(1+$A77)^5-N('2. Financials'!$E$43))/'2. Financials'!$E$15),"")</f>
        <v/>
      </c>
      <c r="C77" s="51" t="str">
        <f aca="false">IFERROR(IF($A77&lt;=C$76,"",(SUMPRODUCT($C$39:$G$39/(1+$A77)^$C$40:$G$40)+$G$39*(1+C$76)/($A77-C$76)/(1+$A77)^5-N('2. Financials'!$E$43))/'2. Financials'!$E$15),"")</f>
        <v/>
      </c>
      <c r="D77" s="51" t="str">
        <f aca="false">IFERROR(IF($A77&lt;=D$76,"",(SUMPRODUCT($C$39:$G$39/(1+$A77)^$C$40:$G$40)+$G$39*(1+D$76)/($A77-D$76)/(1+$A77)^5-N('2. Financials'!$E$43))/'2. Financials'!$E$15),"")</f>
        <v/>
      </c>
      <c r="E77" s="51" t="str">
        <f aca="false">IFERROR(IF($A77&lt;=E$76,"",(SUMPRODUCT($C$39:$G$39/(1+$A77)^$C$40:$G$40)+$G$39*(1+E$76)/($A77-E$76)/(1+$A77)^5-N('2. Financials'!$E$43))/'2. Financials'!$E$15),"")</f>
        <v/>
      </c>
      <c r="F77" s="51" t="str">
        <f aca="false">IFERROR(IF($A77&lt;=F$76,"",(SUMPRODUCT($C$39:$G$39/(1+$A77)^$C$40:$G$40)+$G$39*(1+F$76)/($A77-F$76)/(1+$A77)^5-N('2. Financials'!$E$43))/'2. Financials'!$E$15),"")</f>
        <v/>
      </c>
    </row>
    <row r="78" customFormat="false" ht="15" hidden="false" customHeight="false" outlineLevel="0" collapsed="false">
      <c r="A78" s="50" t="str">
        <f aca="false">IF($B$32="","",$B$32+-0.01)</f>
        <v/>
      </c>
      <c r="B78" s="51" t="str">
        <f aca="false">IFERROR(IF($A78&lt;=B$76,"",(SUMPRODUCT($C$39:$G$39/(1+$A78)^$C$40:$G$40)+$G$39*(1+B$76)/($A78-B$76)/(1+$A78)^5-N('2. Financials'!$E$43))/'2. Financials'!$E$15),"")</f>
        <v/>
      </c>
      <c r="C78" s="51" t="str">
        <f aca="false">IFERROR(IF($A78&lt;=C$76,"",(SUMPRODUCT($C$39:$G$39/(1+$A78)^$C$40:$G$40)+$G$39*(1+C$76)/($A78-C$76)/(1+$A78)^5-N('2. Financials'!$E$43))/'2. Financials'!$E$15),"")</f>
        <v/>
      </c>
      <c r="D78" s="51" t="str">
        <f aca="false">IFERROR(IF($A78&lt;=D$76,"",(SUMPRODUCT($C$39:$G$39/(1+$A78)^$C$40:$G$40)+$G$39*(1+D$76)/($A78-D$76)/(1+$A78)^5-N('2. Financials'!$E$43))/'2. Financials'!$E$15),"")</f>
        <v/>
      </c>
      <c r="E78" s="51" t="str">
        <f aca="false">IFERROR(IF($A78&lt;=E$76,"",(SUMPRODUCT($C$39:$G$39/(1+$A78)^$C$40:$G$40)+$G$39*(1+E$76)/($A78-E$76)/(1+$A78)^5-N('2. Financials'!$E$43))/'2. Financials'!$E$15),"")</f>
        <v/>
      </c>
      <c r="F78" s="51" t="str">
        <f aca="false">IFERROR(IF($A78&lt;=F$76,"",(SUMPRODUCT($C$39:$G$39/(1+$A78)^$C$40:$G$40)+$G$39*(1+F$76)/($A78-F$76)/(1+$A78)^5-N('2. Financials'!$E$43))/'2. Financials'!$E$15),"")</f>
        <v/>
      </c>
    </row>
    <row r="79" customFormat="false" ht="15" hidden="false" customHeight="false" outlineLevel="0" collapsed="false">
      <c r="A79" s="50" t="str">
        <f aca="false">IF($B$32="","",$B$32+0)</f>
        <v/>
      </c>
      <c r="B79" s="51" t="str">
        <f aca="false">IFERROR(IF($A79&lt;=B$76,"",(SUMPRODUCT($C$39:$G$39/(1+$A79)^$C$40:$G$40)+$G$39*(1+B$76)/($A79-B$76)/(1+$A79)^5-N('2. Financials'!$E$43))/'2. Financials'!$E$15),"")</f>
        <v/>
      </c>
      <c r="C79" s="51" t="str">
        <f aca="false">IFERROR(IF($A79&lt;=C$76,"",(SUMPRODUCT($C$39:$G$39/(1+$A79)^$C$40:$G$40)+$G$39*(1+C$76)/($A79-C$76)/(1+$A79)^5-N('2. Financials'!$E$43))/'2. Financials'!$E$15),"")</f>
        <v/>
      </c>
      <c r="D79" s="51" t="str">
        <f aca="false">IFERROR(IF($A79&lt;=D$76,"",(SUMPRODUCT($C$39:$G$39/(1+$A79)^$C$40:$G$40)+$G$39*(1+D$76)/($A79-D$76)/(1+$A79)^5-N('2. Financials'!$E$43))/'2. Financials'!$E$15),"")</f>
        <v/>
      </c>
      <c r="E79" s="51" t="str">
        <f aca="false">IFERROR(IF($A79&lt;=E$76,"",(SUMPRODUCT($C$39:$G$39/(1+$A79)^$C$40:$G$40)+$G$39*(1+E$76)/($A79-E$76)/(1+$A79)^5-N('2. Financials'!$E$43))/'2. Financials'!$E$15),"")</f>
        <v/>
      </c>
      <c r="F79" s="51" t="str">
        <f aca="false">IFERROR(IF($A79&lt;=F$76,"",(SUMPRODUCT($C$39:$G$39/(1+$A79)^$C$40:$G$40)+$G$39*(1+F$76)/($A79-F$76)/(1+$A79)^5-N('2. Financials'!$E$43))/'2. Financials'!$E$15),"")</f>
        <v/>
      </c>
    </row>
    <row r="80" customFormat="false" ht="15" hidden="false" customHeight="false" outlineLevel="0" collapsed="false">
      <c r="A80" s="50" t="str">
        <f aca="false">IF($B$32="","",$B$32+0.01)</f>
        <v/>
      </c>
      <c r="B80" s="51" t="str">
        <f aca="false">IFERROR(IF($A80&lt;=B$76,"",(SUMPRODUCT($C$39:$G$39/(1+$A80)^$C$40:$G$40)+$G$39*(1+B$76)/($A80-B$76)/(1+$A80)^5-N('2. Financials'!$E$43))/'2. Financials'!$E$15),"")</f>
        <v/>
      </c>
      <c r="C80" s="51" t="str">
        <f aca="false">IFERROR(IF($A80&lt;=C$76,"",(SUMPRODUCT($C$39:$G$39/(1+$A80)^$C$40:$G$40)+$G$39*(1+C$76)/($A80-C$76)/(1+$A80)^5-N('2. Financials'!$E$43))/'2. Financials'!$E$15),"")</f>
        <v/>
      </c>
      <c r="D80" s="51" t="str">
        <f aca="false">IFERROR(IF($A80&lt;=D$76,"",(SUMPRODUCT($C$39:$G$39/(1+$A80)^$C$40:$G$40)+$G$39*(1+D$76)/($A80-D$76)/(1+$A80)^5-N('2. Financials'!$E$43))/'2. Financials'!$E$15),"")</f>
        <v/>
      </c>
      <c r="E80" s="51" t="str">
        <f aca="false">IFERROR(IF($A80&lt;=E$76,"",(SUMPRODUCT($C$39:$G$39/(1+$A80)^$C$40:$G$40)+$G$39*(1+E$76)/($A80-E$76)/(1+$A80)^5-N('2. Financials'!$E$43))/'2. Financials'!$E$15),"")</f>
        <v/>
      </c>
      <c r="F80" s="51" t="str">
        <f aca="false">IFERROR(IF($A80&lt;=F$76,"",(SUMPRODUCT($C$39:$G$39/(1+$A80)^$C$40:$G$40)+$G$39*(1+F$76)/($A80-F$76)/(1+$A80)^5-N('2. Financials'!$E$43))/'2. Financials'!$E$15),"")</f>
        <v/>
      </c>
    </row>
    <row r="81" customFormat="false" ht="15" hidden="false" customHeight="false" outlineLevel="0" collapsed="false">
      <c r="A81" s="50" t="str">
        <f aca="false">IF($B$32="","",$B$32+0.02)</f>
        <v/>
      </c>
      <c r="B81" s="51" t="str">
        <f aca="false">IFERROR(IF($A81&lt;=B$76,"",(SUMPRODUCT($C$39:$G$39/(1+$A81)^$C$40:$G$40)+$G$39*(1+B$76)/($A81-B$76)/(1+$A81)^5-N('2. Financials'!$E$43))/'2. Financials'!$E$15),"")</f>
        <v/>
      </c>
      <c r="C81" s="51" t="str">
        <f aca="false">IFERROR(IF($A81&lt;=C$76,"",(SUMPRODUCT($C$39:$G$39/(1+$A81)^$C$40:$G$40)+$G$39*(1+C$76)/($A81-C$76)/(1+$A81)^5-N('2. Financials'!$E$43))/'2. Financials'!$E$15),"")</f>
        <v/>
      </c>
      <c r="D81" s="51" t="str">
        <f aca="false">IFERROR(IF($A81&lt;=D$76,"",(SUMPRODUCT($C$39:$G$39/(1+$A81)^$C$40:$G$40)+$G$39*(1+D$76)/($A81-D$76)/(1+$A81)^5-N('2. Financials'!$E$43))/'2. Financials'!$E$15),"")</f>
        <v/>
      </c>
      <c r="E81" s="51" t="str">
        <f aca="false">IFERROR(IF($A81&lt;=E$76,"",(SUMPRODUCT($C$39:$G$39/(1+$A81)^$C$40:$G$40)+$G$39*(1+E$76)/($A81-E$76)/(1+$A81)^5-N('2. Financials'!$E$43))/'2. Financials'!$E$15),"")</f>
        <v/>
      </c>
      <c r="F81" s="51" t="str">
        <f aca="false">IFERROR(IF($A81&lt;=F$76,"",(SUMPRODUCT($C$39:$G$39/(1+$A81)^$C$40:$G$40)+$G$39*(1+F$76)/($A81-F$76)/(1+$A81)^5-N('2. Financials'!$E$43))/'2. Financials'!$E$15),"")</f>
        <v/>
      </c>
    </row>
    <row r="82" customFormat="false" ht="35.05" hidden="false" customHeight="false" outlineLevel="0" collapsed="false">
      <c r="A82" s="52" t="s">
        <v>985</v>
      </c>
    </row>
    <row r="84" customFormat="false" ht="15" hidden="false" customHeight="false" outlineLevel="0" collapsed="false">
      <c r="A84" s="3" t="s">
        <v>986</v>
      </c>
      <c r="B84" s="4"/>
      <c r="C84" s="4"/>
      <c r="D84" s="4"/>
      <c r="E84" s="4"/>
      <c r="F84" s="4"/>
      <c r="G84" s="4"/>
    </row>
    <row r="85" customFormat="false" ht="15" hidden="false" customHeight="false" outlineLevel="0" collapsed="false">
      <c r="A85" s="7" t="s">
        <v>987</v>
      </c>
      <c r="B85" s="7" t="s">
        <v>988</v>
      </c>
      <c r="C85" s="7"/>
      <c r="D85" s="7"/>
      <c r="E85" s="7"/>
      <c r="F85" s="7" t="s">
        <v>398</v>
      </c>
      <c r="G85" s="7"/>
    </row>
    <row r="86" customFormat="false" ht="15" hidden="false" customHeight="true" outlineLevel="0" collapsed="false">
      <c r="A86" s="6" t="s">
        <v>989</v>
      </c>
      <c r="B86" s="24" t="str">
        <f aca="false">IF(ABS(D64-1)&lt;0.001,"OK","FLAG")</f>
        <v>OK</v>
      </c>
      <c r="F86" s="8" t="s">
        <v>990</v>
      </c>
      <c r="G86" s="8"/>
    </row>
    <row r="87" customFormat="false" ht="15" hidden="false" customHeight="true" outlineLevel="0" collapsed="false">
      <c r="A87" s="6" t="s">
        <v>991</v>
      </c>
      <c r="B87" s="24" t="str">
        <f aca="false">IF(OR(B32="",B33=""),"-",IF(B32&gt;B33,"OK","FLAG"))</f>
        <v>-</v>
      </c>
      <c r="F87" s="8" t="s">
        <v>992</v>
      </c>
      <c r="G87" s="8"/>
    </row>
    <row r="88" customFormat="false" ht="15" hidden="false" customHeight="true" outlineLevel="0" collapsed="false">
      <c r="A88" s="6" t="s">
        <v>993</v>
      </c>
      <c r="B88" s="24" t="str">
        <f aca="false">IF(B51="","-",IF(B51&lt;=0.75,"OK","FLAG"))</f>
        <v>-</v>
      </c>
      <c r="F88" s="8" t="s">
        <v>994</v>
      </c>
      <c r="G88" s="8"/>
    </row>
    <row r="89" customFormat="false" ht="15" hidden="false" customHeight="true" outlineLevel="0" collapsed="false">
      <c r="A89" s="6" t="s">
        <v>995</v>
      </c>
      <c r="B89" s="24" t="str">
        <f aca="false">IF(B33="","-",IF(B33&lt;=0.05,"OK","FLAG"))</f>
        <v>-</v>
      </c>
      <c r="F89" s="8" t="s">
        <v>996</v>
      </c>
      <c r="G89" s="8"/>
    </row>
    <row r="90" customFormat="false" ht="15" hidden="false" customHeight="true" outlineLevel="0" collapsed="false">
      <c r="A90" s="6" t="s">
        <v>997</v>
      </c>
      <c r="B90" s="53" t="str">
        <f aca="false">IF(OR(B34="",'2. Financials'!$E$39=""),"-",IF(ABS(B34-'2. Financials'!$E$39)&lt;=0.1,"OK","FLAG"))</f>
        <v>-</v>
      </c>
      <c r="F90" s="8" t="s">
        <v>998</v>
      </c>
      <c r="G90" s="8"/>
    </row>
    <row r="91" customFormat="false" ht="15" hidden="false" customHeight="true" outlineLevel="0" collapsed="false">
      <c r="A91" s="6" t="s">
        <v>999</v>
      </c>
      <c r="B91" s="53" t="str">
        <f aca="false">IF(LEFT('1. Company Info'!B30,2)="OK","OK",IF(LEFT('1. Company Info'!B30,5)="Enter","-","FLAG"))</f>
        <v>-</v>
      </c>
      <c r="F91" s="8" t="s">
        <v>1000</v>
      </c>
      <c r="G91" s="8"/>
    </row>
    <row r="92" customFormat="false" ht="15" hidden="false" customHeight="true" outlineLevel="0" collapsed="false">
      <c r="A92" s="6" t="s">
        <v>1001</v>
      </c>
      <c r="B92" s="53" t="str">
        <f aca="false">IF('1. Company Info'!B39="","-",IF('1. Company Info'!B39&lt;=7,"OK","FLAG"))</f>
        <v>-</v>
      </c>
      <c r="F92" s="8" t="s">
        <v>1002</v>
      </c>
      <c r="G92" s="8"/>
    </row>
    <row r="93" customFormat="false" ht="23.85" hidden="false" customHeight="true" outlineLevel="0" collapsed="false">
      <c r="A93" s="6" t="s">
        <v>1003</v>
      </c>
      <c r="B93" s="53" t="str">
        <f aca="false">IF(OR(B64="",'1. Company Info'!$B$24=""),"-",IF(ABS(B64/'1. Company Info'!$B$24-1)&lt;=0.5,"OK","FLAG"))</f>
        <v>-</v>
      </c>
      <c r="F93" s="8" t="s">
        <v>1004</v>
      </c>
      <c r="G93" s="8"/>
    </row>
    <row r="94" customFormat="false" ht="15" hidden="false" customHeight="true" outlineLevel="0" collapsed="false">
      <c r="A94" s="6" t="s">
        <v>1005</v>
      </c>
      <c r="B94" s="24" t="str">
        <f aca="false">"CHECK"</f>
        <v>CHECK</v>
      </c>
      <c r="F94" s="8" t="s">
        <v>1006</v>
      </c>
      <c r="G94" s="8"/>
    </row>
  </sheetData>
  <mergeCells count="13">
    <mergeCell ref="B65:G65"/>
    <mergeCell ref="E69:G69"/>
    <mergeCell ref="E70:G70"/>
    <mergeCell ref="E71:G71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</mergeCells>
  <conditionalFormatting sqref="B77:F81">
    <cfRule type="expression" priority="2" aboveAverage="0" equalAverage="0" bottom="0" percent="0" rank="0" text="" dxfId="18">
      <formula>AND(ISNUMBER(B77),B77&lt;'1. Company Info'!$B$16)</formula>
    </cfRule>
    <cfRule type="expression" priority="3" aboveAverage="0" equalAverage="0" bottom="0" percent="0" rank="0" text="" dxfId="0">
      <formula>AND(ISNUMBER(B77),B77&gt;='1. Company Info'!$B$16)</formula>
    </cfRule>
  </conditionalFormatting>
  <conditionalFormatting sqref="B86:B94">
    <cfRule type="expression" priority="4" aboveAverage="0" equalAverage="0" bottom="0" percent="0" rank="0" text="" dxfId="0">
      <formula>B86="OK"</formula>
    </cfRule>
    <cfRule type="expression" priority="5" aboveAverage="0" equalAverage="0" bottom="0" percent="0" rank="0" text="" dxfId="1">
      <formula>B86="FLAG"</formula>
    </cfRule>
    <cfRule type="expression" priority="6" aboveAverage="0" equalAverage="0" bottom="0" percent="0" rank="0" text="" dxfId="14">
      <formula>B86="CHECK"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1007</v>
      </c>
    </row>
    <row r="2" customFormat="false" ht="15" hidden="false" customHeight="false" outlineLevel="0" collapsed="false">
      <c r="A2" s="2" t="s">
        <v>1008</v>
      </c>
    </row>
    <row r="4" customFormat="false" ht="15" hidden="false" customHeight="true" outlineLevel="0" collapsed="false">
      <c r="A4" s="5" t="s">
        <v>1009</v>
      </c>
      <c r="B4" s="5"/>
      <c r="C4" s="54" t="str">
        <f aca="false">IF('1. Company Info'!$B$6="","(enter in Step 1)",'1. Company Info'!$B$6&amp;" ("&amp;'1. Company Info'!$B$7&amp;")")</f>
        <v>(enter in Step 1)</v>
      </c>
    </row>
    <row r="5" customFormat="false" ht="15" hidden="false" customHeight="true" outlineLevel="0" collapsed="false">
      <c r="A5" s="5" t="s">
        <v>1010</v>
      </c>
      <c r="B5" s="5"/>
      <c r="C5" s="54" t="str">
        <f aca="false">'1. Company Info'!$B$12&amp;" / "&amp;'1. Company Info'!$B$13</f>
        <v> / </v>
      </c>
    </row>
    <row r="7" customFormat="false" ht="15" hidden="false" customHeight="false" outlineLevel="0" collapsed="false">
      <c r="A7" s="3" t="s">
        <v>1011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7" t="s">
        <v>1012</v>
      </c>
      <c r="B8" s="7" t="s">
        <v>395</v>
      </c>
      <c r="C8" s="7" t="s">
        <v>962</v>
      </c>
      <c r="D8" s="7" t="s">
        <v>1013</v>
      </c>
      <c r="E8" s="7" t="s">
        <v>1014</v>
      </c>
      <c r="F8" s="7" t="s">
        <v>43</v>
      </c>
      <c r="G8" s="7" t="s">
        <v>1015</v>
      </c>
      <c r="H8" s="7" t="s">
        <v>1016</v>
      </c>
    </row>
    <row r="9" customFormat="false" ht="15" hidden="false" customHeight="false" outlineLevel="0" collapsed="false">
      <c r="A9" s="24" t="s">
        <v>416</v>
      </c>
      <c r="B9" s="6" t="s">
        <v>414</v>
      </c>
      <c r="C9" s="20" t="n">
        <v>0.1</v>
      </c>
      <c r="D9" s="55" t="n">
        <f aca="false">COUNTIF('3. Checklist'!$B$5:$B$68,A9)</f>
        <v>6</v>
      </c>
      <c r="E9" s="55" t="n">
        <f aca="false">COUNTIFS('3. Checklist'!$B$5:$B$68,A9,'3. Checklist'!$O$5:$O$68,"&gt;=1")</f>
        <v>0</v>
      </c>
      <c r="F9" s="55" t="n">
        <f aca="false">COUNTIFS('3. Checklist'!$B$5:$B$68,A9,'3. Checklist'!$N$5:$N$68,"N/A")</f>
        <v>0</v>
      </c>
      <c r="G9" s="56" t="str">
        <f aca="false">IF(E9=0,"",AVERAGEIF('3. Checklist'!$B$5:$B$68,A9,'3. Checklist'!$O$5:$O$68))</f>
        <v/>
      </c>
      <c r="H9" s="57" t="str">
        <f aca="false">IF(G9="","",C9*G9)</f>
        <v/>
      </c>
    </row>
    <row r="10" customFormat="false" ht="15" hidden="false" customHeight="false" outlineLevel="0" collapsed="false">
      <c r="A10" s="24" t="s">
        <v>474</v>
      </c>
      <c r="B10" s="6" t="s">
        <v>472</v>
      </c>
      <c r="C10" s="20" t="n">
        <v>0.1</v>
      </c>
      <c r="D10" s="55" t="n">
        <f aca="false">COUNTIF('3. Checklist'!$B$5:$B$68,A10)</f>
        <v>5</v>
      </c>
      <c r="E10" s="55" t="n">
        <f aca="false">COUNTIFS('3. Checklist'!$B$5:$B$68,A10,'3. Checklist'!$O$5:$O$68,"&gt;=1")</f>
        <v>0</v>
      </c>
      <c r="F10" s="55" t="n">
        <f aca="false">COUNTIFS('3. Checklist'!$B$5:$B$68,A10,'3. Checklist'!$N$5:$N$68,"N/A")</f>
        <v>0</v>
      </c>
      <c r="G10" s="56" t="str">
        <f aca="false">IF(E10=0,"",AVERAGEIF('3. Checklist'!$B$5:$B$68,A10,'3. Checklist'!$O$5:$O$68))</f>
        <v/>
      </c>
      <c r="H10" s="57" t="str">
        <f aca="false">IF(G10="","",C10*G10)</f>
        <v/>
      </c>
    </row>
    <row r="11" customFormat="false" ht="15" hidden="false" customHeight="false" outlineLevel="0" collapsed="false">
      <c r="A11" s="24" t="s">
        <v>522</v>
      </c>
      <c r="B11" s="6" t="s">
        <v>520</v>
      </c>
      <c r="C11" s="20" t="n">
        <v>0.12</v>
      </c>
      <c r="D11" s="55" t="n">
        <f aca="false">COUNTIF('3. Checklist'!$B$5:$B$68,A11)</f>
        <v>5</v>
      </c>
      <c r="E11" s="55" t="n">
        <f aca="false">COUNTIFS('3. Checklist'!$B$5:$B$68,A11,'3. Checklist'!$O$5:$O$68,"&gt;=1")</f>
        <v>0</v>
      </c>
      <c r="F11" s="55" t="n">
        <f aca="false">COUNTIFS('3. Checklist'!$B$5:$B$68,A11,'3. Checklist'!$N$5:$N$68,"N/A")</f>
        <v>0</v>
      </c>
      <c r="G11" s="56" t="str">
        <f aca="false">IF(E11=0,"",AVERAGEIF('3. Checklist'!$B$5:$B$68,A11,'3. Checklist'!$O$5:$O$68))</f>
        <v/>
      </c>
      <c r="H11" s="57" t="str">
        <f aca="false">IF(G11="","",C11*G11)</f>
        <v/>
      </c>
    </row>
    <row r="12" customFormat="false" ht="15" hidden="false" customHeight="false" outlineLevel="0" collapsed="false">
      <c r="A12" s="24" t="s">
        <v>565</v>
      </c>
      <c r="B12" s="6" t="s">
        <v>563</v>
      </c>
      <c r="C12" s="20" t="n">
        <v>0.12</v>
      </c>
      <c r="D12" s="55" t="n">
        <f aca="false">COUNTIF('3. Checklist'!$B$5:$B$68,A12)</f>
        <v>6</v>
      </c>
      <c r="E12" s="55" t="n">
        <f aca="false">COUNTIFS('3. Checklist'!$B$5:$B$68,A12,'3. Checklist'!$O$5:$O$68,"&gt;=1")</f>
        <v>0</v>
      </c>
      <c r="F12" s="55" t="n">
        <f aca="false">COUNTIFS('3. Checklist'!$B$5:$B$68,A12,'3. Checklist'!$N$5:$N$68,"N/A")</f>
        <v>0</v>
      </c>
      <c r="G12" s="56" t="str">
        <f aca="false">IF(E12=0,"",AVERAGEIF('3. Checklist'!$B$5:$B$68,A12,'3. Checklist'!$O$5:$O$68))</f>
        <v/>
      </c>
      <c r="H12" s="57" t="str">
        <f aca="false">IF(G12="","",C12*G12)</f>
        <v/>
      </c>
    </row>
    <row r="13" customFormat="false" ht="15" hidden="false" customHeight="false" outlineLevel="0" collapsed="false">
      <c r="A13" s="24" t="s">
        <v>613</v>
      </c>
      <c r="B13" s="6" t="s">
        <v>611</v>
      </c>
      <c r="C13" s="20" t="n">
        <v>0.1</v>
      </c>
      <c r="D13" s="55" t="n">
        <f aca="false">COUNTIF('3. Checklist'!$B$5:$B$68,A13)</f>
        <v>4</v>
      </c>
      <c r="E13" s="55" t="n">
        <f aca="false">COUNTIFS('3. Checklist'!$B$5:$B$68,A13,'3. Checklist'!$O$5:$O$68,"&gt;=1")</f>
        <v>0</v>
      </c>
      <c r="F13" s="55" t="n">
        <f aca="false">COUNTIFS('3. Checklist'!$B$5:$B$68,A13,'3. Checklist'!$N$5:$N$68,"N/A")</f>
        <v>0</v>
      </c>
      <c r="G13" s="56" t="str">
        <f aca="false">IF(E13=0,"",AVERAGEIF('3. Checklist'!$B$5:$B$68,A13,'3. Checklist'!$O$5:$O$68))</f>
        <v/>
      </c>
      <c r="H13" s="57" t="str">
        <f aca="false">IF(G13="","",C13*G13)</f>
        <v/>
      </c>
    </row>
    <row r="14" customFormat="false" ht="15" hidden="false" customHeight="false" outlineLevel="0" collapsed="false">
      <c r="A14" s="24" t="s">
        <v>644</v>
      </c>
      <c r="B14" s="6" t="s">
        <v>642</v>
      </c>
      <c r="C14" s="20" t="n">
        <v>0.1</v>
      </c>
      <c r="D14" s="55" t="n">
        <f aca="false">COUNTIF('3. Checklist'!$B$5:$B$68,A14)</f>
        <v>6</v>
      </c>
      <c r="E14" s="55" t="n">
        <f aca="false">COUNTIFS('3. Checklist'!$B$5:$B$68,A14,'3. Checklist'!$O$5:$O$68,"&gt;=1")</f>
        <v>0</v>
      </c>
      <c r="F14" s="55" t="n">
        <f aca="false">COUNTIFS('3. Checklist'!$B$5:$B$68,A14,'3. Checklist'!$N$5:$N$68,"N/A")</f>
        <v>0</v>
      </c>
      <c r="G14" s="56" t="str">
        <f aca="false">IF(E14=0,"",AVERAGEIF('3. Checklist'!$B$5:$B$68,A14,'3. Checklist'!$O$5:$O$68))</f>
        <v/>
      </c>
      <c r="H14" s="57" t="str">
        <f aca="false">IF(G14="","",C14*G14)</f>
        <v/>
      </c>
    </row>
    <row r="15" customFormat="false" ht="15" hidden="false" customHeight="false" outlineLevel="0" collapsed="false">
      <c r="A15" s="24" t="s">
        <v>695</v>
      </c>
      <c r="B15" s="6" t="s">
        <v>693</v>
      </c>
      <c r="C15" s="20" t="n">
        <v>0.08</v>
      </c>
      <c r="D15" s="55" t="n">
        <f aca="false">COUNTIF('3. Checklist'!$B$5:$B$68,A15)</f>
        <v>6</v>
      </c>
      <c r="E15" s="55" t="n">
        <f aca="false">COUNTIFS('3. Checklist'!$B$5:$B$68,A15,'3. Checklist'!$O$5:$O$68,"&gt;=1")</f>
        <v>0</v>
      </c>
      <c r="F15" s="55" t="n">
        <f aca="false">COUNTIFS('3. Checklist'!$B$5:$B$68,A15,'3. Checklist'!$N$5:$N$68,"N/A")</f>
        <v>0</v>
      </c>
      <c r="G15" s="56" t="str">
        <f aca="false">IF(E15=0,"",AVERAGEIF('3. Checklist'!$B$5:$B$68,A15,'3. Checklist'!$O$5:$O$68))</f>
        <v/>
      </c>
      <c r="H15" s="57" t="str">
        <f aca="false">IF(G15="","",C15*G15)</f>
        <v/>
      </c>
    </row>
    <row r="16" customFormat="false" ht="15" hidden="false" customHeight="false" outlineLevel="0" collapsed="false">
      <c r="A16" s="24" t="s">
        <v>751</v>
      </c>
      <c r="B16" s="6" t="s">
        <v>749</v>
      </c>
      <c r="C16" s="20" t="n">
        <v>0.15</v>
      </c>
      <c r="D16" s="55" t="n">
        <f aca="false">COUNTIF('3. Checklist'!$B$5:$B$68,A16)</f>
        <v>6</v>
      </c>
      <c r="E16" s="55" t="n">
        <f aca="false">COUNTIFS('3. Checklist'!$B$5:$B$68,A16,'3. Checklist'!$O$5:$O$68,"&gt;=1")</f>
        <v>0</v>
      </c>
      <c r="F16" s="55" t="n">
        <f aca="false">COUNTIFS('3. Checklist'!$B$5:$B$68,A16,'3. Checklist'!$N$5:$N$68,"N/A")</f>
        <v>0</v>
      </c>
      <c r="G16" s="56" t="str">
        <f aca="false">IF(E16=0,"",AVERAGEIF('3. Checklist'!$B$5:$B$68,A16,'3. Checklist'!$O$5:$O$68))</f>
        <v/>
      </c>
      <c r="H16" s="57" t="str">
        <f aca="false">IF(G16="","",C16*G16)</f>
        <v/>
      </c>
    </row>
    <row r="17" customFormat="false" ht="15" hidden="false" customHeight="false" outlineLevel="0" collapsed="false">
      <c r="A17" s="24" t="s">
        <v>805</v>
      </c>
      <c r="B17" s="6" t="s">
        <v>803</v>
      </c>
      <c r="C17" s="20" t="n">
        <v>0.05</v>
      </c>
      <c r="D17" s="55" t="n">
        <f aca="false">COUNTIF('3. Checklist'!$B$5:$B$68,A17)</f>
        <v>5</v>
      </c>
      <c r="E17" s="55" t="n">
        <f aca="false">COUNTIFS('3. Checklist'!$B$5:$B$68,A17,'3. Checklist'!$O$5:$O$68,"&gt;=1")</f>
        <v>0</v>
      </c>
      <c r="F17" s="55" t="n">
        <f aca="false">COUNTIFS('3. Checklist'!$B$5:$B$68,A17,'3. Checklist'!$N$5:$N$68,"N/A")</f>
        <v>0</v>
      </c>
      <c r="G17" s="56" t="str">
        <f aca="false">IF(E17=0,"",AVERAGEIF('3. Checklist'!$B$5:$B$68,A17,'3. Checklist'!$O$5:$O$68))</f>
        <v/>
      </c>
      <c r="H17" s="57" t="str">
        <f aca="false">IF(G17="","",C17*G17)</f>
        <v/>
      </c>
    </row>
    <row r="18" customFormat="false" ht="15" hidden="false" customHeight="false" outlineLevel="0" collapsed="false">
      <c r="A18" s="24" t="s">
        <v>849</v>
      </c>
      <c r="B18" s="6" t="s">
        <v>847</v>
      </c>
      <c r="C18" s="20" t="n">
        <v>0.08</v>
      </c>
      <c r="D18" s="55" t="n">
        <f aca="false">COUNTIF('3. Checklist'!$B$5:$B$68,A18)</f>
        <v>5</v>
      </c>
      <c r="E18" s="55" t="n">
        <f aca="false">COUNTIFS('3. Checklist'!$B$5:$B$68,A18,'3. Checklist'!$O$5:$O$68,"&gt;=1")</f>
        <v>0</v>
      </c>
      <c r="F18" s="55" t="n">
        <f aca="false">COUNTIFS('3. Checklist'!$B$5:$B$68,A18,'3. Checklist'!$N$5:$N$68,"N/A")</f>
        <v>0</v>
      </c>
      <c r="G18" s="56" t="str">
        <f aca="false">IF(E18=0,"",AVERAGEIF('3. Checklist'!$B$5:$B$68,A18,'3. Checklist'!$O$5:$O$68))</f>
        <v/>
      </c>
      <c r="H18" s="57" t="str">
        <f aca="false">IF(G18="","",C18*G18)</f>
        <v/>
      </c>
    </row>
    <row r="19" customFormat="false" ht="15" hidden="false" customHeight="false" outlineLevel="0" collapsed="false">
      <c r="B19" s="5" t="s">
        <v>1017</v>
      </c>
      <c r="C19" s="58" t="n">
        <f aca="false">SUM(C9:C18)</f>
        <v>1</v>
      </c>
      <c r="D19" s="59" t="n">
        <f aca="false">SUM(D9:D18)</f>
        <v>54</v>
      </c>
      <c r="E19" s="59" t="n">
        <f aca="false">SUM(E9:E18)</f>
        <v>0</v>
      </c>
      <c r="F19" s="59" t="n">
        <f aca="false">SUM(F9:F18)</f>
        <v>0</v>
      </c>
    </row>
    <row r="21" customFormat="false" ht="15" hidden="false" customHeight="false" outlineLevel="0" collapsed="false">
      <c r="A21" s="3" t="s">
        <v>1018</v>
      </c>
      <c r="B21" s="4"/>
      <c r="C21" s="4"/>
      <c r="D21" s="4"/>
      <c r="E21" s="4"/>
      <c r="F21" s="4"/>
      <c r="G21" s="4"/>
      <c r="H21" s="4"/>
    </row>
    <row r="22" customFormat="false" ht="15" hidden="false" customHeight="true" outlineLevel="0" collapsed="false">
      <c r="A22" s="6" t="s">
        <v>1019</v>
      </c>
      <c r="B22" s="6"/>
      <c r="C22" s="20" t="n">
        <v>0.15</v>
      </c>
    </row>
    <row r="23" customFormat="false" ht="15" hidden="false" customHeight="true" outlineLevel="0" collapsed="false">
      <c r="A23" s="6" t="s">
        <v>1020</v>
      </c>
      <c r="B23" s="6"/>
      <c r="C23" s="12" t="n">
        <v>3.5</v>
      </c>
    </row>
    <row r="24" customFormat="false" ht="15" hidden="false" customHeight="true" outlineLevel="0" collapsed="false">
      <c r="A24" s="6" t="s">
        <v>1021</v>
      </c>
      <c r="B24" s="6"/>
      <c r="C24" s="20" t="n">
        <v>-0.1</v>
      </c>
    </row>
    <row r="25" customFormat="false" ht="15" hidden="false" customHeight="true" outlineLevel="0" collapsed="false">
      <c r="A25" s="6" t="s">
        <v>1022</v>
      </c>
      <c r="B25" s="6"/>
      <c r="C25" s="12" t="n">
        <v>2.5</v>
      </c>
    </row>
    <row r="26" customFormat="false" ht="23.85" hidden="false" customHeight="true" outlineLevel="0" collapsed="false">
      <c r="A26" s="6" t="s">
        <v>1023</v>
      </c>
      <c r="B26" s="6"/>
      <c r="C26" s="60" t="n">
        <v>2</v>
      </c>
    </row>
    <row r="27" customFormat="false" ht="15" hidden="false" customHeight="true" outlineLevel="0" collapsed="false">
      <c r="A27" s="6" t="s">
        <v>1024</v>
      </c>
      <c r="B27" s="6"/>
      <c r="C27" s="20" t="n">
        <v>0.8</v>
      </c>
    </row>
    <row r="29" customFormat="false" ht="15" hidden="false" customHeight="false" outlineLevel="0" collapsed="false">
      <c r="A29" s="3" t="s">
        <v>988</v>
      </c>
      <c r="B29" s="4"/>
      <c r="C29" s="4"/>
      <c r="D29" s="4"/>
      <c r="E29" s="4"/>
      <c r="F29" s="4"/>
      <c r="G29" s="4"/>
      <c r="H29" s="4"/>
    </row>
    <row r="30" customFormat="false" ht="15" hidden="false" customHeight="true" outlineLevel="0" collapsed="false">
      <c r="A30" s="5" t="s">
        <v>254</v>
      </c>
      <c r="B30" s="5"/>
      <c r="C30" s="61" t="str">
        <f aca="false">IF('1. Company Info'!$B$16="","",'1. Company Info'!$B$16)</f>
        <v/>
      </c>
    </row>
    <row r="31" customFormat="false" ht="15" hidden="false" customHeight="true" outlineLevel="0" collapsed="false">
      <c r="A31" s="5" t="s">
        <v>1025</v>
      </c>
      <c r="B31" s="5"/>
      <c r="C31" s="61" t="str">
        <f aca="false">IF('4. Valuation'!$B$64="","",'4. Valuation'!$B$64)</f>
        <v/>
      </c>
    </row>
    <row r="32" customFormat="false" ht="15" hidden="false" customHeight="true" outlineLevel="0" collapsed="false">
      <c r="A32" s="5" t="s">
        <v>1026</v>
      </c>
      <c r="B32" s="5"/>
      <c r="C32" s="58" t="str">
        <f aca="false">IFERROR(IF(OR(C31="",C30=""),"",C31/C30-1),"")</f>
        <v/>
      </c>
    </row>
    <row r="33" customFormat="false" ht="15" hidden="false" customHeight="true" outlineLevel="0" collapsed="false">
      <c r="A33" s="5" t="s">
        <v>980</v>
      </c>
      <c r="B33" s="5"/>
      <c r="C33" s="61" t="str">
        <f aca="false">IF('4. Valuation'!$B$72="","",'4. Valuation'!$B$72)</f>
        <v/>
      </c>
    </row>
    <row r="34" customFormat="false" ht="15" hidden="false" customHeight="true" outlineLevel="0" collapsed="false">
      <c r="A34" s="5" t="s">
        <v>1027</v>
      </c>
      <c r="B34" s="5"/>
      <c r="C34" s="57" t="str">
        <f aca="false">IFERROR(SUM(H9:H18)/SUMIF(E9:E18,"&gt;0",C9:C18),"")</f>
        <v/>
      </c>
    </row>
    <row r="35" customFormat="false" ht="15" hidden="false" customHeight="true" outlineLevel="0" collapsed="false">
      <c r="A35" s="5" t="s">
        <v>1028</v>
      </c>
      <c r="B35" s="5"/>
      <c r="C35" s="55" t="n">
        <f aca="false">COUNTIFS('3. Checklist'!$K$5:$K$68,"Y",'3. Checklist'!$O$5:$O$68,"&lt;="&amp;C26)</f>
        <v>0</v>
      </c>
    </row>
    <row r="36" customFormat="false" ht="15" hidden="false" customHeight="true" outlineLevel="0" collapsed="false">
      <c r="A36" s="5" t="s">
        <v>1029</v>
      </c>
      <c r="B36" s="5"/>
      <c r="C36" s="58" t="n">
        <f aca="false">IFERROR(E19/(D19-F19),0)</f>
        <v>0</v>
      </c>
    </row>
    <row r="37" customFormat="false" ht="27.75" hidden="false" customHeight="true" outlineLevel="0" collapsed="false">
      <c r="A37" s="5" t="s">
        <v>1030</v>
      </c>
      <c r="B37" s="5"/>
      <c r="C37" s="62" t="str">
        <f aca="false">IF(OR(C36&lt;C27,C32="",C34=""),"INCOMPLETE",IF(OR(C32&lt;=C24,C34&lt;C25),"SELL",IF(AND(C32&gt;=C22,C34&gt;=C23,C35=0),"BUY","HOLD")))</f>
        <v>INCOMPLETE</v>
      </c>
    </row>
    <row r="38" customFormat="false" ht="15" hidden="false" customHeight="true" outlineLevel="0" collapsed="false">
      <c r="A38" s="5" t="s">
        <v>1031</v>
      </c>
      <c r="B38" s="5"/>
      <c r="C38" s="6" t="str">
        <f aca="false">IF(C37="INCOMPLETE","-",IF(AND(C34&gt;=4,ABS(C32)&gt;=0.25),"High",IF(C34&gt;=3.25,"Medium","Low")))</f>
        <v>-</v>
      </c>
    </row>
    <row r="39" customFormat="false" ht="15" hidden="false" customHeight="true" outlineLevel="0" collapsed="false">
      <c r="A39" s="5" t="s">
        <v>1032</v>
      </c>
      <c r="B39" s="5"/>
      <c r="C39" s="6" t="str">
        <f aca="false">IF(C37="INCOMPLETE",IF(C36&lt;C27,"Score more items: "&amp;TEXT(C36,"0%")&amp;" done, need "&amp;TEXT(C27,"0%"),"Finish the valuation (target price) and checklist"),IF(C37="BUY","Upside and quality both clear the bar, no critical flags",IF(C37="SELL",IF(C32&lt;=C24,"Share looks overvalued","Quality score too low"),IF(C35&gt;0,"Upside may be there, but "&amp;C35&amp;" critical item(s) flagged",IF(C32&lt;C22,"Not enough upside for a BUY","Quality score below the BUY bar")))))</f>
        <v>Score more items: 0% done, need 80%</v>
      </c>
      <c r="D39" s="6"/>
      <c r="E39" s="6"/>
      <c r="F39" s="6"/>
      <c r="G39" s="6"/>
      <c r="H39" s="6"/>
    </row>
    <row r="41" customFormat="false" ht="15" hidden="false" customHeight="false" outlineLevel="0" collapsed="false">
      <c r="A41" s="3" t="s">
        <v>1033</v>
      </c>
      <c r="B41" s="4"/>
      <c r="C41" s="4"/>
      <c r="D41" s="4"/>
      <c r="E41" s="4"/>
      <c r="F41" s="4"/>
      <c r="G41" s="4"/>
      <c r="H41" s="4"/>
    </row>
    <row r="42" customFormat="false" ht="48" hidden="false" customHeight="true" outlineLevel="0" collapsed="false">
      <c r="A42" s="5" t="s">
        <v>1034</v>
      </c>
      <c r="B42" s="5"/>
      <c r="C42" s="9"/>
      <c r="D42" s="9"/>
      <c r="E42" s="9"/>
      <c r="F42" s="9"/>
      <c r="G42" s="9"/>
      <c r="H42" s="9"/>
    </row>
    <row r="43" customFormat="false" ht="48" hidden="false" customHeight="true" outlineLevel="0" collapsed="false">
      <c r="A43" s="5" t="s">
        <v>1035</v>
      </c>
      <c r="B43" s="5"/>
      <c r="C43" s="9"/>
      <c r="D43" s="9"/>
      <c r="E43" s="9"/>
      <c r="F43" s="9"/>
      <c r="G43" s="9"/>
      <c r="H43" s="9"/>
    </row>
    <row r="44" customFormat="false" ht="48" hidden="false" customHeight="true" outlineLevel="0" collapsed="false">
      <c r="A44" s="5" t="s">
        <v>1036</v>
      </c>
      <c r="B44" s="5"/>
      <c r="C44" s="9"/>
      <c r="D44" s="9"/>
      <c r="E44" s="9"/>
      <c r="F44" s="9"/>
      <c r="G44" s="9"/>
      <c r="H44" s="9"/>
    </row>
    <row r="45" customFormat="false" ht="48" hidden="false" customHeight="true" outlineLevel="0" collapsed="false">
      <c r="A45" s="5" t="s">
        <v>1037</v>
      </c>
      <c r="B45" s="5"/>
      <c r="C45" s="9"/>
      <c r="D45" s="9"/>
      <c r="E45" s="9"/>
      <c r="F45" s="9"/>
      <c r="G45" s="9"/>
      <c r="H45" s="9"/>
    </row>
    <row r="46" customFormat="false" ht="48" hidden="false" customHeight="true" outlineLevel="0" collapsed="false">
      <c r="A46" s="5" t="s">
        <v>1038</v>
      </c>
      <c r="B46" s="5"/>
      <c r="C46" s="9"/>
      <c r="D46" s="9"/>
      <c r="E46" s="9"/>
      <c r="F46" s="9"/>
      <c r="G46" s="9"/>
      <c r="H46" s="9"/>
    </row>
    <row r="47" customFormat="false" ht="48" hidden="false" customHeight="true" outlineLevel="0" collapsed="false">
      <c r="A47" s="5" t="s">
        <v>1039</v>
      </c>
      <c r="B47" s="5"/>
      <c r="C47" s="9"/>
      <c r="D47" s="9"/>
      <c r="E47" s="9"/>
      <c r="F47" s="9"/>
      <c r="G47" s="9"/>
      <c r="H47" s="9"/>
    </row>
    <row r="49" customFormat="false" ht="15" hidden="false" customHeight="false" outlineLevel="0" collapsed="false">
      <c r="A49" s="3" t="s">
        <v>1040</v>
      </c>
      <c r="B49" s="4"/>
      <c r="C49" s="4"/>
      <c r="D49" s="4"/>
      <c r="E49" s="4"/>
      <c r="F49" s="4"/>
      <c r="G49" s="4"/>
      <c r="H49" s="4"/>
    </row>
    <row r="50" customFormat="false" ht="15" hidden="false" customHeight="false" outlineLevel="0" collapsed="false">
      <c r="A50" s="7"/>
      <c r="B50" s="7" t="s">
        <v>1041</v>
      </c>
      <c r="C50" s="7" t="s">
        <v>1042</v>
      </c>
      <c r="D50" s="7" t="s">
        <v>1043</v>
      </c>
      <c r="E50" s="7"/>
      <c r="F50" s="7"/>
      <c r="G50" s="7"/>
      <c r="H50" s="7"/>
    </row>
    <row r="51" customFormat="false" ht="35.05" hidden="false" customHeight="false" outlineLevel="0" collapsed="false">
      <c r="A51" s="5" t="s">
        <v>1044</v>
      </c>
      <c r="B51" s="9"/>
      <c r="C51" s="10"/>
      <c r="D51" s="9"/>
      <c r="E51" s="9"/>
      <c r="F51" s="9"/>
      <c r="G51" s="9"/>
      <c r="H51" s="9"/>
    </row>
    <row r="52" customFormat="false" ht="46.25" hidden="false" customHeight="false" outlineLevel="0" collapsed="false">
      <c r="A52" s="5" t="s">
        <v>1045</v>
      </c>
      <c r="B52" s="9"/>
      <c r="C52" s="10"/>
      <c r="D52" s="9"/>
      <c r="E52" s="9"/>
      <c r="F52" s="9"/>
      <c r="G52" s="9"/>
      <c r="H52" s="9"/>
    </row>
    <row r="53" customFormat="false" ht="68.65" hidden="false" customHeight="false" outlineLevel="0" collapsed="false">
      <c r="A53" s="5" t="s">
        <v>1046</v>
      </c>
      <c r="B53" s="9"/>
      <c r="C53" s="10"/>
      <c r="D53" s="9"/>
      <c r="E53" s="9"/>
      <c r="F53" s="9"/>
      <c r="G53" s="9"/>
      <c r="H53" s="9"/>
    </row>
  </sheetData>
  <mergeCells count="34">
    <mergeCell ref="A4:B4"/>
    <mergeCell ref="A5:B5"/>
    <mergeCell ref="A22:B22"/>
    <mergeCell ref="A23:B23"/>
    <mergeCell ref="A24:B24"/>
    <mergeCell ref="A25:B25"/>
    <mergeCell ref="A26:B26"/>
    <mergeCell ref="A27:B27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C39:H39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7:B47"/>
    <mergeCell ref="C47:H47"/>
    <mergeCell ref="D51:H51"/>
    <mergeCell ref="D52:H52"/>
    <mergeCell ref="D53:H53"/>
  </mergeCells>
  <conditionalFormatting sqref="G9:G18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C37">
    <cfRule type="expression" priority="3" aboveAverage="0" equalAverage="0" bottom="0" percent="0" rank="0" text="" dxfId="19">
      <formula>C37="BUY"</formula>
    </cfRule>
    <cfRule type="expression" priority="4" aboveAverage="0" equalAverage="0" bottom="0" percent="0" rank="0" text="" dxfId="20">
      <formula>C37="HOLD"</formula>
    </cfRule>
    <cfRule type="expression" priority="5" aboveAverage="0" equalAverage="0" bottom="0" percent="0" rank="0" text="" dxfId="21">
      <formula>C37="SELL"</formula>
    </cfRule>
    <cfRule type="expression" priority="6" aboveAverage="0" equalAverage="0" bottom="0" percent="0" rank="0" text="" dxfId="22">
      <formula>C37="INCOMPLETE"</formula>
    </cfRule>
  </conditionalFormatting>
  <conditionalFormatting sqref="C36">
    <cfRule type="dataBar" priority="7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{B08E3983-3C17-4941-8244-657F3B284D1C}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8E3983-3C17-4941-8244-657F3B284D1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C36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56"/>
  </cols>
  <sheetData>
    <row r="1" customFormat="false" ht="17.35" hidden="false" customHeight="false" outlineLevel="0" collapsed="false">
      <c r="A1" s="1" t="s">
        <v>1047</v>
      </c>
    </row>
    <row r="2" customFormat="false" ht="15" hidden="false" customHeight="false" outlineLevel="0" collapsed="false">
      <c r="A2" s="2" t="s">
        <v>1048</v>
      </c>
    </row>
    <row r="4" customFormat="false" ht="23.85" hidden="false" customHeight="false" outlineLevel="0" collapsed="false">
      <c r="A4" s="5" t="s">
        <v>1009</v>
      </c>
      <c r="B4" s="54" t="str">
        <f aca="false">IF('1. Company Info'!$B$6="","(enter in Step 1)",'1. Company Info'!$B$6&amp;" ("&amp;'1. Company Info'!$B$7&amp;")")</f>
        <v>(enter in Step 1)</v>
      </c>
      <c r="C4" s="54"/>
      <c r="F4" s="63" t="s">
        <v>1049</v>
      </c>
      <c r="G4" s="64" t="n">
        <f aca="false">COUNTIF(I9:I38,"GREAT")</f>
        <v>0</v>
      </c>
      <c r="H4" s="65" t="s">
        <v>1050</v>
      </c>
      <c r="I4" s="66" t="str">
        <f aca="false">IFERROR((2*G4+G5)/(2*(G4+G5+G6)),"")</f>
        <v/>
      </c>
      <c r="J4" s="8" t="s">
        <v>1051</v>
      </c>
    </row>
    <row r="5" customFormat="false" ht="39.55" hidden="false" customHeight="false" outlineLevel="0" collapsed="false">
      <c r="A5" s="5" t="s">
        <v>1052</v>
      </c>
      <c r="B5" s="54" t="str">
        <f aca="false">IF('1. Company Info'!$B$16="","",TEXT('1. Company Info'!$B$16,"#,##0.00")&amp;"  on  "&amp;TEXT('1. Company Info'!$B$17,"dd mmm yyyy"))</f>
        <v/>
      </c>
      <c r="C5" s="54"/>
      <c r="F5" s="67" t="s">
        <v>1053</v>
      </c>
      <c r="G5" s="64" t="n">
        <f aca="false">COUNTIF(I9:I38,"OK")</f>
        <v>0</v>
      </c>
      <c r="H5" s="65" t="s">
        <v>1054</v>
      </c>
      <c r="I5" s="68" t="str">
        <f aca="false">IF(G4+G5+G6&lt;10,"Not enough data",IF(I4&gt;=0.7,"STRONG",IF(I4&gt;=0.45,"MIXED","WEAK")))</f>
        <v>Not enough data</v>
      </c>
      <c r="J5" s="8" t="s">
        <v>1055</v>
      </c>
    </row>
    <row r="6" customFormat="false" ht="23.85" hidden="false" customHeight="false" outlineLevel="0" collapsed="false">
      <c r="A6" s="5" t="s">
        <v>1056</v>
      </c>
      <c r="B6" s="54" t="str">
        <f aca="false">'1. Company Info'!$B$10&amp;" / "&amp;'1. Company Info'!$B$11</f>
        <v> / </v>
      </c>
      <c r="C6" s="54"/>
      <c r="F6" s="69" t="s">
        <v>1057</v>
      </c>
      <c r="G6" s="64" t="n">
        <f aca="false">COUNTIF(I9:I38,"WEAK")</f>
        <v>0</v>
      </c>
      <c r="H6" s="65" t="s">
        <v>1058</v>
      </c>
      <c r="I6" s="24" t="str">
        <f aca="false">G4+G5+G6&amp;" of 30"</f>
        <v>0 of 30</v>
      </c>
      <c r="J6" s="54" t="str">
        <f aca="false">"Checklist rating: "&amp;'5. Rating Summary'!C37</f>
        <v>Checklist rating: INCOMPLETE</v>
      </c>
    </row>
    <row r="8" customFormat="false" ht="15" hidden="false" customHeight="false" outlineLevel="0" collapsed="false">
      <c r="A8" s="7" t="s">
        <v>1059</v>
      </c>
      <c r="B8" s="7" t="s">
        <v>340</v>
      </c>
      <c r="C8" s="7" t="s">
        <v>1060</v>
      </c>
      <c r="D8" s="7" t="s">
        <v>1061</v>
      </c>
      <c r="E8" s="7" t="s">
        <v>1062</v>
      </c>
      <c r="F8" s="7" t="s">
        <v>1063</v>
      </c>
      <c r="G8" s="7" t="s">
        <v>1064</v>
      </c>
      <c r="H8" s="7" t="s">
        <v>1065</v>
      </c>
      <c r="I8" s="7" t="s">
        <v>1066</v>
      </c>
      <c r="J8" s="7" t="s">
        <v>343</v>
      </c>
    </row>
    <row r="9" customFormat="false" ht="23.85" hidden="false" customHeight="false" outlineLevel="0" collapsed="false">
      <c r="A9" s="5" t="s">
        <v>1067</v>
      </c>
      <c r="B9" s="5" t="s">
        <v>280</v>
      </c>
      <c r="C9" s="8" t="s">
        <v>1068</v>
      </c>
      <c r="D9" s="33" t="str">
        <f aca="false">IF(E9&lt;&gt;"",E9,IF('1. Company Info'!$B$33="","",'1. Company Info'!$B$33))</f>
        <v/>
      </c>
      <c r="E9" s="70"/>
      <c r="F9" s="24" t="s">
        <v>1069</v>
      </c>
      <c r="G9" s="71" t="n">
        <v>15</v>
      </c>
      <c r="H9" s="72" t="n">
        <v>25</v>
      </c>
      <c r="I9" s="65" t="str">
        <f aca="false">IF(NOT(ISNUMBER(D9)),"n/a",IF(D9&lt;=G9,"GREAT",IF(D9&gt;=H9,"WEAK","OK")))</f>
        <v>n/a</v>
      </c>
      <c r="J9" s="8" t="s">
        <v>1070</v>
      </c>
    </row>
    <row r="10" customFormat="false" ht="15" hidden="false" customHeight="false" outlineLevel="0" collapsed="false">
      <c r="A10" s="5"/>
      <c r="B10" s="5" t="s">
        <v>278</v>
      </c>
      <c r="C10" s="8" t="s">
        <v>1071</v>
      </c>
      <c r="D10" s="33" t="str">
        <f aca="false">IF(E10&lt;&gt;"",E10,IF('1. Company Info'!$B$32="","",'1. Company Info'!$B$32))</f>
        <v/>
      </c>
      <c r="E10" s="70"/>
      <c r="F10" s="24" t="s">
        <v>1069</v>
      </c>
      <c r="G10" s="71" t="n">
        <v>15</v>
      </c>
      <c r="H10" s="72" t="n">
        <v>25</v>
      </c>
      <c r="I10" s="65" t="str">
        <f aca="false">IF(NOT(ISNUMBER(D10)),"n/a",IF(D10&lt;=G10,"GREAT",IF(D10&gt;=H10,"WEAK","OK")))</f>
        <v>n/a</v>
      </c>
      <c r="J10" s="8" t="s">
        <v>1072</v>
      </c>
    </row>
    <row r="11" customFormat="false" ht="15" hidden="false" customHeight="false" outlineLevel="0" collapsed="false">
      <c r="A11" s="5"/>
      <c r="B11" s="5" t="s">
        <v>1073</v>
      </c>
      <c r="C11" s="8" t="s">
        <v>1074</v>
      </c>
      <c r="D11" s="36" t="str">
        <f aca="false">IF(E11&lt;&gt;"",E11,IFERROR(IF(OR('1. Company Info'!$B$33="",'2. Financials'!$E$54="",N('2. Financials'!$E$54)&lt;=0),"",'1. Company Info'!$B$33/('2. Financials'!$E$54*100)),""))</f>
        <v/>
      </c>
      <c r="E11" s="73"/>
      <c r="F11" s="24" t="s">
        <v>1069</v>
      </c>
      <c r="G11" s="74" t="n">
        <v>1</v>
      </c>
      <c r="H11" s="75" t="n">
        <v>2</v>
      </c>
      <c r="I11" s="65" t="str">
        <f aca="false">IF(NOT(ISNUMBER(D11)),"n/a",IF(D11&lt;=G11,"GREAT",IF(D11&gt;=H11,"WEAK","OK")))</f>
        <v>n/a</v>
      </c>
      <c r="J11" s="8" t="s">
        <v>1075</v>
      </c>
    </row>
    <row r="12" customFormat="false" ht="23.85" hidden="false" customHeight="false" outlineLevel="0" collapsed="false">
      <c r="A12" s="5"/>
      <c r="B12" s="5" t="s">
        <v>282</v>
      </c>
      <c r="C12" s="8" t="s">
        <v>1076</v>
      </c>
      <c r="D12" s="33" t="str">
        <f aca="false">IF(E12&lt;&gt;"",E12,IF('1. Company Info'!$B$34="","",'1. Company Info'!$B$34))</f>
        <v/>
      </c>
      <c r="E12" s="70"/>
      <c r="F12" s="24" t="s">
        <v>1069</v>
      </c>
      <c r="G12" s="71" t="n">
        <v>10</v>
      </c>
      <c r="H12" s="72" t="n">
        <v>15</v>
      </c>
      <c r="I12" s="65" t="str">
        <f aca="false">IF(NOT(ISNUMBER(D12)),"n/a",IF(D12&lt;=G12,"GREAT",IF(D12&gt;=H12,"WEAK","OK")))</f>
        <v>n/a</v>
      </c>
      <c r="J12" s="8" t="s">
        <v>1077</v>
      </c>
    </row>
    <row r="13" customFormat="false" ht="23.85" hidden="false" customHeight="false" outlineLevel="0" collapsed="false">
      <c r="A13" s="5"/>
      <c r="B13" s="5" t="s">
        <v>286</v>
      </c>
      <c r="C13" s="8" t="s">
        <v>1078</v>
      </c>
      <c r="D13" s="33" t="str">
        <f aca="false">IF(E13&lt;&gt;"",E13,IF('1. Company Info'!$B$37="","",'1. Company Info'!$B$37))</f>
        <v/>
      </c>
      <c r="E13" s="70"/>
      <c r="F13" s="24" t="s">
        <v>1069</v>
      </c>
      <c r="G13" s="71" t="n">
        <v>1.5</v>
      </c>
      <c r="H13" s="72" t="n">
        <v>5</v>
      </c>
      <c r="I13" s="65" t="str">
        <f aca="false">IF(NOT(ISNUMBER(D13)),"n/a",IF(D13&lt;=G13,"GREAT",IF(D13&gt;=H13,"WEAK","OK")))</f>
        <v>n/a</v>
      </c>
      <c r="J13" s="8" t="s">
        <v>1079</v>
      </c>
    </row>
    <row r="14" customFormat="false" ht="15" hidden="false" customHeight="false" outlineLevel="0" collapsed="false">
      <c r="A14" s="5"/>
      <c r="B14" s="5" t="s">
        <v>123</v>
      </c>
      <c r="C14" s="8" t="s">
        <v>1080</v>
      </c>
      <c r="D14" s="30" t="str">
        <f aca="false">IF(E14&lt;&gt;"",E14,IF('1. Company Info'!$B$35="","",'1. Company Info'!$B$35))</f>
        <v/>
      </c>
      <c r="E14" s="76"/>
      <c r="F14" s="24" t="s">
        <v>1081</v>
      </c>
      <c r="G14" s="77" t="n">
        <v>0.06</v>
      </c>
      <c r="H14" s="78" t="n">
        <v>0.03</v>
      </c>
      <c r="I14" s="65" t="str">
        <f aca="false">IF(NOT(ISNUMBER(D14)),"n/a",IF(D14&gt;=G14,"GREAT",IF(D14&lt;=H14,"WEAK","OK")))</f>
        <v>n/a</v>
      </c>
      <c r="J14" s="8" t="s">
        <v>1082</v>
      </c>
    </row>
    <row r="15" customFormat="false" ht="23.85" hidden="false" customHeight="false" outlineLevel="0" collapsed="false">
      <c r="A15" s="5"/>
      <c r="B15" s="5" t="s">
        <v>1083</v>
      </c>
      <c r="C15" s="8" t="s">
        <v>1084</v>
      </c>
      <c r="D15" s="30" t="str">
        <f aca="false">IF(E15&lt;&gt;"",E15,IFERROR(IF(OR('1. Company Info'!$B$33="",'4. Valuation'!$B$23=""),"",1/'1. Company Info'!$B$33-'4. Valuation'!$B$23),""))</f>
        <v/>
      </c>
      <c r="E15" s="76"/>
      <c r="F15" s="24" t="s">
        <v>1081</v>
      </c>
      <c r="G15" s="77" t="n">
        <v>0.03</v>
      </c>
      <c r="H15" s="78" t="n">
        <v>0</v>
      </c>
      <c r="I15" s="65" t="str">
        <f aca="false">IF(NOT(ISNUMBER(D15)),"n/a",IF(D15&gt;=G15,"GREAT",IF(D15&lt;=H15,"WEAK","OK")))</f>
        <v>n/a</v>
      </c>
      <c r="J15" s="8" t="s">
        <v>1085</v>
      </c>
    </row>
    <row r="16" customFormat="false" ht="15" hidden="false" customHeight="false" outlineLevel="0" collapsed="false">
      <c r="A16" s="5"/>
      <c r="B16" s="5" t="s">
        <v>752</v>
      </c>
      <c r="C16" s="8" t="s">
        <v>1086</v>
      </c>
      <c r="D16" s="30" t="str">
        <f aca="false">IF(E16&lt;&gt;"",E16,'4. Valuation'!$C$64)</f>
        <v/>
      </c>
      <c r="E16" s="76"/>
      <c r="F16" s="24" t="s">
        <v>1081</v>
      </c>
      <c r="G16" s="77" t="n">
        <v>0.15</v>
      </c>
      <c r="H16" s="78" t="n">
        <v>-0.1</v>
      </c>
      <c r="I16" s="65" t="str">
        <f aca="false">IF(NOT(ISNUMBER(D16)),"n/a",IF(D16&gt;=G16,"GREAT",IF(D16&lt;=H16,"WEAK","OK")))</f>
        <v>n/a</v>
      </c>
      <c r="J16" s="8" t="s">
        <v>1087</v>
      </c>
    </row>
    <row r="17" customFormat="false" ht="15" hidden="false" customHeight="false" outlineLevel="0" collapsed="false">
      <c r="A17" s="5" t="s">
        <v>1088</v>
      </c>
      <c r="B17" s="5" t="s">
        <v>344</v>
      </c>
      <c r="C17" s="8" t="s">
        <v>1089</v>
      </c>
      <c r="D17" s="30" t="str">
        <f aca="false">IF(E17&lt;&gt;"",E17,IF('2. Financials'!$E$32="","",'2. Financials'!$E$32))</f>
        <v/>
      </c>
      <c r="E17" s="76"/>
      <c r="F17" s="24" t="s">
        <v>1081</v>
      </c>
      <c r="G17" s="77" t="n">
        <v>0.1</v>
      </c>
      <c r="H17" s="78" t="n">
        <v>0</v>
      </c>
      <c r="I17" s="65" t="str">
        <f aca="false">IF(NOT(ISNUMBER(D17)),"n/a",IF(D17&gt;=G17,"GREAT",IF(D17&lt;=H17,"WEAK","OK")))</f>
        <v>n/a</v>
      </c>
      <c r="J17" s="8" t="s">
        <v>1090</v>
      </c>
    </row>
    <row r="18" customFormat="false" ht="15" hidden="false" customHeight="false" outlineLevel="0" collapsed="false">
      <c r="A18" s="5"/>
      <c r="B18" s="5" t="s">
        <v>1091</v>
      </c>
      <c r="C18" s="8" t="s">
        <v>1092</v>
      </c>
      <c r="D18" s="30" t="str">
        <f aca="false">IF(E18&lt;&gt;"",E18,IF('2. Financials'!$E$53="","",'2. Financials'!$E$53))</f>
        <v/>
      </c>
      <c r="E18" s="76"/>
      <c r="F18" s="24" t="s">
        <v>1081</v>
      </c>
      <c r="G18" s="77" t="n">
        <v>0.08</v>
      </c>
      <c r="H18" s="78" t="n">
        <v>0</v>
      </c>
      <c r="I18" s="65" t="str">
        <f aca="false">IF(NOT(ISNUMBER(D18)),"n/a",IF(D18&gt;=G18,"GREAT",IF(D18&lt;=H18,"WEAK","OK")))</f>
        <v>n/a</v>
      </c>
      <c r="J18" s="8" t="s">
        <v>1093</v>
      </c>
    </row>
    <row r="19" customFormat="false" ht="15" hidden="false" customHeight="false" outlineLevel="0" collapsed="false">
      <c r="A19" s="5"/>
      <c r="B19" s="5" t="s">
        <v>353</v>
      </c>
      <c r="C19" s="8" t="s">
        <v>1094</v>
      </c>
      <c r="D19" s="30" t="str">
        <f aca="false">IF(E19&lt;&gt;"",E19,IF('2. Financials'!$E$37="","",'2. Financials'!$E$37))</f>
        <v/>
      </c>
      <c r="E19" s="76"/>
      <c r="F19" s="24" t="s">
        <v>1081</v>
      </c>
      <c r="G19" s="77" t="n">
        <v>0.1</v>
      </c>
      <c r="H19" s="78" t="n">
        <v>0</v>
      </c>
      <c r="I19" s="65" t="str">
        <f aca="false">IF(NOT(ISNUMBER(D19)),"n/a",IF(D19&gt;=G19,"GREAT",IF(D19&lt;=H19,"WEAK","OK")))</f>
        <v>n/a</v>
      </c>
      <c r="J19" s="8" t="s">
        <v>1095</v>
      </c>
    </row>
    <row r="20" customFormat="false" ht="15" hidden="false" customHeight="false" outlineLevel="0" collapsed="false">
      <c r="A20" s="5"/>
      <c r="B20" s="5" t="s">
        <v>1096</v>
      </c>
      <c r="C20" s="8" t="s">
        <v>1092</v>
      </c>
      <c r="D20" s="30" t="str">
        <f aca="false">IF(E20&lt;&gt;"",E20,IF('2. Financials'!$E$54="","",'2. Financials'!$E$54))</f>
        <v/>
      </c>
      <c r="E20" s="76"/>
      <c r="F20" s="24" t="s">
        <v>1081</v>
      </c>
      <c r="G20" s="77" t="n">
        <v>0.1</v>
      </c>
      <c r="H20" s="78" t="n">
        <v>0</v>
      </c>
      <c r="I20" s="65" t="str">
        <f aca="false">IF(NOT(ISNUMBER(D20)),"n/a",IF(D20&gt;=G20,"GREAT",IF(D20&lt;=H20,"WEAK","OK")))</f>
        <v>n/a</v>
      </c>
      <c r="J20" s="8"/>
    </row>
    <row r="21" customFormat="false" ht="15" hidden="false" customHeight="false" outlineLevel="0" collapsed="false">
      <c r="A21" s="5" t="s">
        <v>1097</v>
      </c>
      <c r="B21" s="5" t="s">
        <v>346</v>
      </c>
      <c r="C21" s="8" t="s">
        <v>1098</v>
      </c>
      <c r="D21" s="30" t="str">
        <f aca="false">IF(E21&lt;&gt;"",E21,IF('2. Financials'!$E$33="","",'2. Financials'!$E$33))</f>
        <v/>
      </c>
      <c r="E21" s="76"/>
      <c r="F21" s="24" t="s">
        <v>1081</v>
      </c>
      <c r="G21" s="77" t="n">
        <v>0.4</v>
      </c>
      <c r="H21" s="78" t="n">
        <v>0.2</v>
      </c>
      <c r="I21" s="65" t="str">
        <f aca="false">IF(NOT(ISNUMBER(D21)),"n/a",IF(D21&gt;=G21,"GREAT",IF(D21&lt;=H21,"WEAK","OK")))</f>
        <v>n/a</v>
      </c>
      <c r="J21" s="8" t="s">
        <v>1099</v>
      </c>
    </row>
    <row r="22" customFormat="false" ht="15" hidden="false" customHeight="false" outlineLevel="0" collapsed="false">
      <c r="A22" s="5"/>
      <c r="B22" s="5" t="s">
        <v>348</v>
      </c>
      <c r="C22" s="8" t="s">
        <v>1100</v>
      </c>
      <c r="D22" s="30" t="str">
        <f aca="false">IF(E22&lt;&gt;"",E22,IF('2. Financials'!$E$34="","",'2. Financials'!$E$34))</f>
        <v/>
      </c>
      <c r="E22" s="76"/>
      <c r="F22" s="24" t="s">
        <v>1081</v>
      </c>
      <c r="G22" s="77" t="n">
        <v>0.15</v>
      </c>
      <c r="H22" s="78" t="n">
        <v>0.05</v>
      </c>
      <c r="I22" s="65" t="str">
        <f aca="false">IF(NOT(ISNUMBER(D22)),"n/a",IF(D22&gt;=G22,"GREAT",IF(D22&lt;=H22,"WEAK","OK")))</f>
        <v>n/a</v>
      </c>
      <c r="J22" s="8" t="s">
        <v>1101</v>
      </c>
    </row>
    <row r="23" customFormat="false" ht="15" hidden="false" customHeight="false" outlineLevel="0" collapsed="false">
      <c r="A23" s="5"/>
      <c r="B23" s="5" t="s">
        <v>350</v>
      </c>
      <c r="C23" s="8" t="s">
        <v>1102</v>
      </c>
      <c r="D23" s="30" t="str">
        <f aca="false">IF(E23&lt;&gt;"",E23,IF('2. Financials'!$E$35="","",'2. Financials'!$E$35))</f>
        <v/>
      </c>
      <c r="E23" s="76"/>
      <c r="F23" s="24" t="s">
        <v>1081</v>
      </c>
      <c r="G23" s="77" t="n">
        <v>0.1</v>
      </c>
      <c r="H23" s="78" t="n">
        <v>0.03</v>
      </c>
      <c r="I23" s="65" t="str">
        <f aca="false">IF(NOT(ISNUMBER(D23)),"n/a",IF(D23&gt;=G23,"GREAT",IF(D23&lt;=H23,"WEAK","OK")))</f>
        <v>n/a</v>
      </c>
      <c r="J23" s="8" t="s">
        <v>351</v>
      </c>
    </row>
    <row r="24" customFormat="false" ht="15" hidden="false" customHeight="false" outlineLevel="0" collapsed="false">
      <c r="A24" s="5"/>
      <c r="B24" s="5" t="s">
        <v>371</v>
      </c>
      <c r="C24" s="8" t="s">
        <v>1103</v>
      </c>
      <c r="D24" s="30" t="str">
        <f aca="false">IF(E24&lt;&gt;"",E24,IF('2. Financials'!$E$47="","",'2. Financials'!$E$47))</f>
        <v/>
      </c>
      <c r="E24" s="76"/>
      <c r="F24" s="24" t="s">
        <v>1081</v>
      </c>
      <c r="G24" s="77" t="n">
        <v>0.15</v>
      </c>
      <c r="H24" s="78" t="n">
        <v>0.08</v>
      </c>
      <c r="I24" s="65" t="str">
        <f aca="false">IF(NOT(ISNUMBER(D24)),"n/a",IF(D24&gt;=G24,"GREAT",IF(D24&lt;=H24,"WEAK","OK")))</f>
        <v>n/a</v>
      </c>
      <c r="J24" s="8" t="s">
        <v>1104</v>
      </c>
    </row>
    <row r="25" customFormat="false" ht="23.85" hidden="false" customHeight="false" outlineLevel="0" collapsed="false">
      <c r="A25" s="5"/>
      <c r="B25" s="5" t="s">
        <v>373</v>
      </c>
      <c r="C25" s="8" t="s">
        <v>1105</v>
      </c>
      <c r="D25" s="30" t="str">
        <f aca="false">IF(E25&lt;&gt;"",E25,IF('2. Financials'!$E$48="","",'2. Financials'!$E$48))</f>
        <v/>
      </c>
      <c r="E25" s="76"/>
      <c r="F25" s="24" t="s">
        <v>1081</v>
      </c>
      <c r="G25" s="77" t="n">
        <v>0.12</v>
      </c>
      <c r="H25" s="78" t="n">
        <v>0.06</v>
      </c>
      <c r="I25" s="65" t="str">
        <f aca="false">IF(NOT(ISNUMBER(D25)),"n/a",IF(D25&gt;=G25,"GREAT",IF(D25&lt;=H25,"WEAK","OK")))</f>
        <v>n/a</v>
      </c>
      <c r="J25" s="8" t="s">
        <v>1106</v>
      </c>
    </row>
    <row r="26" customFormat="false" ht="23.85" hidden="false" customHeight="false" outlineLevel="0" collapsed="false">
      <c r="A26" s="5"/>
      <c r="B26" s="5" t="s">
        <v>1107</v>
      </c>
      <c r="C26" s="8" t="s">
        <v>1108</v>
      </c>
      <c r="D26" s="30" t="str">
        <f aca="false">IF(E26&lt;&gt;"",E26,IFERROR(IF(OR('2. Financials'!$E$48="",'4. Valuation'!$B$32=""),"",'2. Financials'!$E$48-'4. Valuation'!$B$32),""))</f>
        <v/>
      </c>
      <c r="E26" s="76"/>
      <c r="F26" s="24" t="s">
        <v>1081</v>
      </c>
      <c r="G26" s="77" t="n">
        <v>0.05</v>
      </c>
      <c r="H26" s="78" t="n">
        <v>0</v>
      </c>
      <c r="I26" s="65" t="str">
        <f aca="false">IF(NOT(ISNUMBER(D26)),"n/a",IF(D26&gt;=G26,"GREAT",IF(D26&lt;=H26,"WEAK","OK")))</f>
        <v>n/a</v>
      </c>
      <c r="J26" s="8" t="s">
        <v>1109</v>
      </c>
    </row>
    <row r="27" customFormat="false" ht="15" hidden="false" customHeight="false" outlineLevel="0" collapsed="false">
      <c r="A27" s="5" t="s">
        <v>1110</v>
      </c>
      <c r="B27" s="5" t="s">
        <v>356</v>
      </c>
      <c r="C27" s="8" t="s">
        <v>1111</v>
      </c>
      <c r="D27" s="30" t="str">
        <f aca="false">IF(E27&lt;&gt;"",E27,IF('2. Financials'!$E$39="","",'2. Financials'!$E$39))</f>
        <v/>
      </c>
      <c r="E27" s="76"/>
      <c r="F27" s="24" t="s">
        <v>1081</v>
      </c>
      <c r="G27" s="77" t="n">
        <v>0.1</v>
      </c>
      <c r="H27" s="78" t="n">
        <v>0.02</v>
      </c>
      <c r="I27" s="65" t="str">
        <f aca="false">IF(NOT(ISNUMBER(D27)),"n/a",IF(D27&gt;=G27,"GREAT",IF(D27&lt;=H27,"WEAK","OK")))</f>
        <v>n/a</v>
      </c>
      <c r="J27" s="8" t="s">
        <v>1112</v>
      </c>
    </row>
    <row r="28" customFormat="false" ht="15" hidden="false" customHeight="false" outlineLevel="0" collapsed="false">
      <c r="A28" s="5"/>
      <c r="B28" s="5" t="s">
        <v>621</v>
      </c>
      <c r="C28" s="8" t="s">
        <v>1113</v>
      </c>
      <c r="D28" s="33" t="str">
        <f aca="false">IF(E28&lt;&gt;"",E28,IF('2. Financials'!$E$40="","",'2. Financials'!$E$40))</f>
        <v/>
      </c>
      <c r="E28" s="70"/>
      <c r="F28" s="24" t="s">
        <v>1081</v>
      </c>
      <c r="G28" s="72" t="n">
        <v>1</v>
      </c>
      <c r="H28" s="71" t="n">
        <v>0.7</v>
      </c>
      <c r="I28" s="65" t="str">
        <f aca="false">IF(NOT(ISNUMBER(D28)),"n/a",IF(D28&gt;=G28,"GREAT",IF(D28&lt;=H28,"WEAK","OK")))</f>
        <v>n/a</v>
      </c>
      <c r="J28" s="8" t="s">
        <v>1114</v>
      </c>
    </row>
    <row r="29" customFormat="false" ht="15" hidden="false" customHeight="false" outlineLevel="0" collapsed="false">
      <c r="A29" s="5"/>
      <c r="B29" s="5" t="s">
        <v>1115</v>
      </c>
      <c r="C29" s="8" t="s">
        <v>1116</v>
      </c>
      <c r="D29" s="30" t="str">
        <f aca="false">IF(E29&lt;&gt;"",E29,IF('2. Financials'!$E$41="","",'2. Financials'!$E$41))</f>
        <v/>
      </c>
      <c r="E29" s="76"/>
      <c r="F29" s="24" t="s">
        <v>1069</v>
      </c>
      <c r="G29" s="78" t="n">
        <v>0.05</v>
      </c>
      <c r="H29" s="77" t="n">
        <v>0.15</v>
      </c>
      <c r="I29" s="65" t="str">
        <f aca="false">IF(NOT(ISNUMBER(D29)),"n/a",IF(D29&lt;=G29,"GREAT",IF(D29&gt;=H29,"WEAK","OK")))</f>
        <v>n/a</v>
      </c>
      <c r="J29" s="8" t="s">
        <v>1117</v>
      </c>
    </row>
    <row r="30" customFormat="false" ht="15" hidden="false" customHeight="false" outlineLevel="0" collapsed="false">
      <c r="A30" s="5"/>
      <c r="B30" s="5" t="s">
        <v>635</v>
      </c>
      <c r="C30" s="8" t="s">
        <v>1118</v>
      </c>
      <c r="D30" s="30" t="str">
        <f aca="false">IF(E30&lt;&gt;"",E30,IF('2. Financials'!$E$42="","",'2. Financials'!$E$42))</f>
        <v/>
      </c>
      <c r="E30" s="76"/>
      <c r="F30" s="24" t="s">
        <v>1069</v>
      </c>
      <c r="G30" s="78" t="n">
        <v>0.02</v>
      </c>
      <c r="H30" s="77" t="n">
        <v>0.08</v>
      </c>
      <c r="I30" s="65" t="str">
        <f aca="false">IF(NOT(ISNUMBER(D30)),"n/a",IF(D30&lt;=G30,"GREAT",IF(D30&gt;=H30,"WEAK","OK")))</f>
        <v>n/a</v>
      </c>
      <c r="J30" s="8" t="s">
        <v>1119</v>
      </c>
    </row>
    <row r="31" customFormat="false" ht="15" hidden="false" customHeight="false" outlineLevel="0" collapsed="false">
      <c r="A31" s="5" t="s">
        <v>1120</v>
      </c>
      <c r="B31" s="5" t="s">
        <v>366</v>
      </c>
      <c r="C31" s="8" t="s">
        <v>1121</v>
      </c>
      <c r="D31" s="33" t="str">
        <f aca="false">IF(E31&lt;&gt;"",E31,IF('2. Financials'!$E$44="","",'2. Financials'!$E$44))</f>
        <v/>
      </c>
      <c r="E31" s="70"/>
      <c r="F31" s="24" t="s">
        <v>1069</v>
      </c>
      <c r="G31" s="71" t="n">
        <v>1</v>
      </c>
      <c r="H31" s="72" t="n">
        <v>3</v>
      </c>
      <c r="I31" s="65" t="str">
        <f aca="false">IF(NOT(ISNUMBER(D31)),"n/a",IF(D31&lt;=G31,"GREAT",IF(D31&gt;=H31,"WEAK","OK")))</f>
        <v>n/a</v>
      </c>
      <c r="J31" s="8" t="s">
        <v>1122</v>
      </c>
    </row>
    <row r="32" customFormat="false" ht="15" hidden="false" customHeight="false" outlineLevel="0" collapsed="false">
      <c r="A32" s="5"/>
      <c r="B32" s="5" t="s">
        <v>1123</v>
      </c>
      <c r="C32" s="8" t="s">
        <v>1124</v>
      </c>
      <c r="D32" s="33" t="str">
        <f aca="false">IF(E32&lt;&gt;"",E32,IFERROR(IF(OR('2. Financials'!$E$20="",'2. Financials'!$E$21="",N('2. Financials'!$E$21)&lt;=0),"",'2. Financials'!$E$20/'2. Financials'!$E$21),""))</f>
        <v/>
      </c>
      <c r="E32" s="70"/>
      <c r="F32" s="24" t="s">
        <v>1069</v>
      </c>
      <c r="G32" s="71" t="n">
        <v>0.5</v>
      </c>
      <c r="H32" s="72" t="n">
        <v>1.5</v>
      </c>
      <c r="I32" s="65" t="str">
        <f aca="false">IF(NOT(ISNUMBER(D32)),"n/a",IF(D32&lt;=G32,"GREAT",IF(D32&gt;=H32,"WEAK","OK")))</f>
        <v>n/a</v>
      </c>
      <c r="J32" s="8" t="s">
        <v>1125</v>
      </c>
    </row>
    <row r="33" customFormat="false" ht="15" hidden="false" customHeight="false" outlineLevel="0" collapsed="false">
      <c r="A33" s="5"/>
      <c r="B33" s="5" t="s">
        <v>653</v>
      </c>
      <c r="C33" s="8" t="s">
        <v>1126</v>
      </c>
      <c r="D33" s="33" t="str">
        <f aca="false">IF(E33&lt;&gt;"",E33,IF('2. Financials'!$E$45="","",'2. Financials'!$E$45))</f>
        <v/>
      </c>
      <c r="E33" s="70"/>
      <c r="F33" s="24" t="s">
        <v>1081</v>
      </c>
      <c r="G33" s="72" t="n">
        <v>8</v>
      </c>
      <c r="H33" s="71" t="n">
        <v>3</v>
      </c>
      <c r="I33" s="65" t="str">
        <f aca="false">IF(NOT(ISNUMBER(D33)),"n/a",IF(D33&gt;=G33,"GREAT",IF(D33&lt;=H33,"WEAK","OK")))</f>
        <v>n/a</v>
      </c>
      <c r="J33" s="8" t="s">
        <v>1127</v>
      </c>
    </row>
    <row r="34" customFormat="false" ht="15" hidden="false" customHeight="false" outlineLevel="0" collapsed="false">
      <c r="A34" s="5"/>
      <c r="B34" s="5" t="s">
        <v>107</v>
      </c>
      <c r="C34" s="8" t="s">
        <v>1128</v>
      </c>
      <c r="D34" s="33" t="str">
        <f aca="false">IF(E34&lt;&gt;"",E34,IF('2. Financials'!$E$46="","",'2. Financials'!$E$46))</f>
        <v/>
      </c>
      <c r="E34" s="70"/>
      <c r="F34" s="24" t="s">
        <v>1081</v>
      </c>
      <c r="G34" s="72" t="n">
        <v>1.5</v>
      </c>
      <c r="H34" s="71" t="n">
        <v>1</v>
      </c>
      <c r="I34" s="65" t="str">
        <f aca="false">IF(NOT(ISNUMBER(D34)),"n/a",IF(D34&gt;=G34,"GREAT",IF(D34&lt;=H34,"WEAK","OK")))</f>
        <v>n/a</v>
      </c>
      <c r="J34" s="8" t="s">
        <v>1129</v>
      </c>
    </row>
    <row r="35" customFormat="false" ht="15" hidden="false" customHeight="false" outlineLevel="0" collapsed="false">
      <c r="A35" s="5" t="s">
        <v>1130</v>
      </c>
      <c r="B35" s="5" t="s">
        <v>1131</v>
      </c>
      <c r="C35" s="8" t="s">
        <v>1132</v>
      </c>
      <c r="D35" s="30" t="str">
        <f aca="false">IF(E35&lt;&gt;"",E35,IF('2. Financials'!$E$49="","",'2. Financials'!$E$49))</f>
        <v/>
      </c>
      <c r="E35" s="76"/>
      <c r="F35" s="24" t="s">
        <v>1069</v>
      </c>
      <c r="G35" s="78" t="n">
        <v>-0.01</v>
      </c>
      <c r="H35" s="77" t="n">
        <v>0.02</v>
      </c>
      <c r="I35" s="65" t="str">
        <f aca="false">IF(NOT(ISNUMBER(D35)),"n/a",IF(D35&lt;=G35,"GREAT",IF(D35&gt;=H35,"WEAK","OK")))</f>
        <v>n/a</v>
      </c>
      <c r="J35" s="8" t="s">
        <v>1133</v>
      </c>
    </row>
    <row r="36" customFormat="false" ht="15" hidden="false" customHeight="false" outlineLevel="0" collapsed="false">
      <c r="A36" s="5"/>
      <c r="B36" s="5" t="s">
        <v>1134</v>
      </c>
      <c r="C36" s="8" t="s">
        <v>1135</v>
      </c>
      <c r="D36" s="30" t="str">
        <f aca="false">IF(E36&lt;&gt;"",E36,IF('2. Financials'!$E$50="","",'2. Financials'!$E$50))</f>
        <v/>
      </c>
      <c r="E36" s="76"/>
      <c r="F36" s="24" t="s">
        <v>1069</v>
      </c>
      <c r="G36" s="78" t="n">
        <v>0.6</v>
      </c>
      <c r="H36" s="77" t="n">
        <v>1</v>
      </c>
      <c r="I36" s="65" t="str">
        <f aca="false">IF(NOT(ISNUMBER(D36)),"n/a",IF(D36&lt;=G36,"GREAT",IF(D36&gt;=H36,"WEAK","OK")))</f>
        <v>n/a</v>
      </c>
      <c r="J36" s="8" t="s">
        <v>1136</v>
      </c>
    </row>
    <row r="37" customFormat="false" ht="23.85" hidden="false" customHeight="false" outlineLevel="0" collapsed="false">
      <c r="A37" s="5"/>
      <c r="B37" s="5" t="s">
        <v>125</v>
      </c>
      <c r="C37" s="8" t="s">
        <v>1137</v>
      </c>
      <c r="D37" s="30" t="str">
        <f aca="false">IF(E37&lt;&gt;"",E37,IF(OR('1. Company Info'!$B$36="",'1. Company Info'!$B$36=0),"",'1. Company Info'!$B$36))</f>
        <v/>
      </c>
      <c r="E37" s="76"/>
      <c r="F37" s="24" t="s">
        <v>1081</v>
      </c>
      <c r="G37" s="77" t="n">
        <v>0.03</v>
      </c>
      <c r="H37" s="78" t="n">
        <v>0.01</v>
      </c>
      <c r="I37" s="65" t="str">
        <f aca="false">IF(NOT(ISNUMBER(D37)),"n/a",IF(D37&gt;=G37,"GREAT",IF(D37&lt;=H37,"WEAK","OK")))</f>
        <v>n/a</v>
      </c>
      <c r="J37" s="8" t="s">
        <v>1138</v>
      </c>
    </row>
    <row r="38" customFormat="false" ht="15" hidden="false" customHeight="false" outlineLevel="0" collapsed="false">
      <c r="A38" s="5" t="s">
        <v>1139</v>
      </c>
      <c r="B38" s="5" t="s">
        <v>127</v>
      </c>
      <c r="C38" s="8" t="s">
        <v>1140</v>
      </c>
      <c r="D38" s="36" t="str">
        <f aca="false">IF(E38&lt;&gt;"",E38,IF('1. Company Info'!$B$20="","",'1. Company Info'!$B$20))</f>
        <v/>
      </c>
      <c r="E38" s="73"/>
      <c r="F38" s="24" t="s">
        <v>1069</v>
      </c>
      <c r="G38" s="74" t="n">
        <v>1</v>
      </c>
      <c r="H38" s="75" t="n">
        <v>1.3</v>
      </c>
      <c r="I38" s="65" t="str">
        <f aca="false">IF(NOT(ISNUMBER(D38)),"n/a",IF(D38&lt;=G38,"GREAT",IF(D38&gt;=H38,"WEAK","OK")))</f>
        <v>n/a</v>
      </c>
      <c r="J38" s="8" t="s">
        <v>1141</v>
      </c>
    </row>
    <row r="40" customFormat="false" ht="15" hidden="false" customHeight="false" outlineLevel="0" collapsed="false">
      <c r="A40" s="79" t="s">
        <v>175</v>
      </c>
    </row>
    <row r="41" customFormat="false" ht="15" hidden="false" customHeight="true" outlineLevel="0" collapsed="false">
      <c r="A41" s="80" t="s">
        <v>1142</v>
      </c>
      <c r="B41" s="80"/>
      <c r="C41" s="80"/>
      <c r="D41" s="80"/>
      <c r="E41" s="80"/>
      <c r="F41" s="80"/>
      <c r="G41" s="80"/>
      <c r="H41" s="80"/>
      <c r="I41" s="80"/>
      <c r="J41" s="80"/>
    </row>
    <row r="42" customFormat="false" ht="15" hidden="false" customHeight="true" outlineLevel="0" collapsed="false">
      <c r="A42" s="80" t="s">
        <v>1143</v>
      </c>
      <c r="B42" s="80"/>
      <c r="C42" s="80"/>
      <c r="D42" s="80"/>
      <c r="E42" s="80"/>
      <c r="F42" s="80"/>
      <c r="G42" s="80"/>
      <c r="H42" s="80"/>
      <c r="I42" s="80"/>
      <c r="J42" s="80"/>
    </row>
    <row r="43" customFormat="false" ht="15" hidden="false" customHeight="true" outlineLevel="0" collapsed="false">
      <c r="A43" s="80" t="s">
        <v>1144</v>
      </c>
      <c r="B43" s="80"/>
      <c r="C43" s="80"/>
      <c r="D43" s="80"/>
      <c r="E43" s="80"/>
      <c r="F43" s="80"/>
      <c r="G43" s="80"/>
      <c r="H43" s="80"/>
      <c r="I43" s="80"/>
      <c r="J43" s="80"/>
    </row>
    <row r="44" customFormat="false" ht="15" hidden="false" customHeight="true" outlineLevel="0" collapsed="false">
      <c r="A44" s="80" t="s">
        <v>1145</v>
      </c>
      <c r="B44" s="80"/>
      <c r="C44" s="80"/>
      <c r="D44" s="80"/>
      <c r="E44" s="80"/>
      <c r="F44" s="80"/>
      <c r="G44" s="80"/>
      <c r="H44" s="80"/>
      <c r="I44" s="80"/>
      <c r="J44" s="80"/>
    </row>
  </sheetData>
  <mergeCells count="7">
    <mergeCell ref="B4:C4"/>
    <mergeCell ref="B5:C5"/>
    <mergeCell ref="B6:C6"/>
    <mergeCell ref="A41:J41"/>
    <mergeCell ref="A42:J42"/>
    <mergeCell ref="A43:J43"/>
    <mergeCell ref="A44:J44"/>
  </mergeCells>
  <conditionalFormatting sqref="I9:I38">
    <cfRule type="expression" priority="2" aboveAverage="0" equalAverage="0" bottom="0" percent="0" rank="0" text="" dxfId="23">
      <formula>I9="GREAT"</formula>
    </cfRule>
    <cfRule type="expression" priority="3" aboveAverage="0" equalAverage="0" bottom="0" percent="0" rank="0" text="" dxfId="24">
      <formula>I9="OK"</formula>
    </cfRule>
    <cfRule type="expression" priority="4" aboveAverage="0" equalAverage="0" bottom="0" percent="0" rank="0" text="" dxfId="25">
      <formula>I9="WEAK"</formula>
    </cfRule>
    <cfRule type="expression" priority="5" aboveAverage="0" equalAverage="0" bottom="0" percent="0" rank="0" text="" dxfId="26">
      <formula>I9="n/a"</formula>
    </cfRule>
  </conditionalFormatting>
  <conditionalFormatting sqref="E9:E38">
    <cfRule type="expression" priority="6" aboveAverage="0" equalAverage="0" bottom="0" percent="0" rank="0" text="" dxfId="27">
      <formula>E9&lt;&gt;""</formula>
    </cfRule>
  </conditionalFormatting>
  <conditionalFormatting sqref="I5">
    <cfRule type="expression" priority="7" aboveAverage="0" equalAverage="0" bottom="0" percent="0" rank="0" text="" dxfId="28">
      <formula>I5="STRONG"</formula>
    </cfRule>
    <cfRule type="expression" priority="8" aboveAverage="0" equalAverage="0" bottom="0" percent="0" rank="0" text="" dxfId="29">
      <formula>I5="MIXED"</formula>
    </cfRule>
    <cfRule type="expression" priority="9" aboveAverage="0" equalAverage="0" bottom="0" percent="0" rank="0" text="" dxfId="30">
      <formula>I5="WEAK"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33"/>
  </cols>
  <sheetData>
    <row r="1" customFormat="false" ht="17.35" hidden="false" customHeight="false" outlineLevel="0" collapsed="false">
      <c r="A1" s="81" t="str">
        <f aca="false">"Step 7 — Technical Review &amp; Timing  |  "&amp;IF('1. Company Info'!$B$6="","[Company]",'1. Company Info'!$B$6&amp;" ("&amp;'1. Company Info'!$B$7&amp;")")</f>
        <v>Step 7 — Technical Review &amp; Timing  |  [Company]</v>
      </c>
      <c r="B1" s="81"/>
      <c r="C1" s="81"/>
      <c r="D1" s="81"/>
      <c r="E1" s="81"/>
      <c r="F1" s="81"/>
      <c r="G1" s="81"/>
      <c r="H1" s="81"/>
    </row>
    <row r="2" customFormat="false" ht="25.5" hidden="false" customHeight="true" outlineLevel="0" collapsed="false">
      <c r="A2" s="82" t="s">
        <v>1146</v>
      </c>
      <c r="B2" s="82"/>
      <c r="C2" s="82"/>
      <c r="D2" s="82"/>
      <c r="E2" s="82"/>
      <c r="F2" s="82"/>
      <c r="G2" s="82"/>
      <c r="H2" s="82"/>
    </row>
    <row r="4" customFormat="false" ht="16.5" hidden="false" customHeight="true" outlineLevel="0" collapsed="false">
      <c r="A4" s="83" t="s">
        <v>1147</v>
      </c>
      <c r="B4" s="83"/>
      <c r="C4" s="83"/>
      <c r="D4" s="83"/>
      <c r="E4" s="83"/>
      <c r="F4" s="83"/>
      <c r="G4" s="83"/>
      <c r="H4" s="83"/>
    </row>
    <row r="5" customFormat="false" ht="15" hidden="false" customHeight="false" outlineLevel="0" collapsed="false">
      <c r="A5" s="84" t="s">
        <v>1148</v>
      </c>
      <c r="B5" s="84" t="s">
        <v>1149</v>
      </c>
      <c r="C5" s="84" t="s">
        <v>1061</v>
      </c>
      <c r="D5" s="84"/>
      <c r="E5" s="84" t="s">
        <v>1150</v>
      </c>
      <c r="F5" s="84"/>
      <c r="G5" s="84"/>
      <c r="H5" s="84"/>
    </row>
    <row r="6" customFormat="false" ht="15" hidden="false" customHeight="true" outlineLevel="0" collapsed="false">
      <c r="A6" s="24" t="n">
        <v>1</v>
      </c>
      <c r="B6" s="6" t="s">
        <v>1151</v>
      </c>
      <c r="C6" s="85" t="str">
        <f aca="false">IF('1. Company Info'!$B$16="","",'1. Company Info'!$B$16)</f>
        <v/>
      </c>
      <c r="D6" s="85"/>
      <c r="E6" s="86" t="s">
        <v>1152</v>
      </c>
      <c r="F6" s="86"/>
      <c r="G6" s="86"/>
      <c r="H6" s="86"/>
    </row>
    <row r="7" customFormat="false" ht="15" hidden="false" customHeight="true" outlineLevel="0" collapsed="false">
      <c r="A7" s="24" t="n">
        <v>2</v>
      </c>
      <c r="B7" s="6" t="s">
        <v>1153</v>
      </c>
      <c r="C7" s="87"/>
      <c r="D7" s="87"/>
      <c r="E7" s="86" t="s">
        <v>1154</v>
      </c>
      <c r="F7" s="86"/>
      <c r="G7" s="86"/>
      <c r="H7" s="86"/>
    </row>
    <row r="8" customFormat="false" ht="15" hidden="false" customHeight="true" outlineLevel="0" collapsed="false">
      <c r="A8" s="24" t="n">
        <v>3</v>
      </c>
      <c r="B8" s="6" t="s">
        <v>1155</v>
      </c>
      <c r="C8" s="87"/>
      <c r="D8" s="87"/>
      <c r="E8" s="86" t="s">
        <v>1156</v>
      </c>
      <c r="F8" s="86"/>
      <c r="G8" s="86"/>
      <c r="H8" s="86"/>
    </row>
    <row r="9" customFormat="false" ht="15" hidden="false" customHeight="true" outlineLevel="0" collapsed="false">
      <c r="A9" s="24" t="n">
        <v>4</v>
      </c>
      <c r="B9" s="6" t="s">
        <v>1157</v>
      </c>
      <c r="C9" s="87"/>
      <c r="D9" s="87"/>
      <c r="E9" s="86" t="s">
        <v>1158</v>
      </c>
      <c r="F9" s="86"/>
      <c r="G9" s="86"/>
      <c r="H9" s="86"/>
    </row>
    <row r="10" customFormat="false" ht="15" hidden="false" customHeight="true" outlineLevel="0" collapsed="false">
      <c r="A10" s="24" t="n">
        <v>5</v>
      </c>
      <c r="B10" s="6" t="s">
        <v>1159</v>
      </c>
      <c r="C10" s="88"/>
      <c r="D10" s="88"/>
      <c r="E10" s="86" t="s">
        <v>1160</v>
      </c>
      <c r="F10" s="86"/>
      <c r="G10" s="86"/>
      <c r="H10" s="86"/>
    </row>
    <row r="11" customFormat="false" ht="15" hidden="false" customHeight="true" outlineLevel="0" collapsed="false">
      <c r="A11" s="24" t="n">
        <v>6</v>
      </c>
      <c r="B11" s="6" t="s">
        <v>1161</v>
      </c>
      <c r="C11" s="87"/>
      <c r="D11" s="87"/>
      <c r="E11" s="86" t="s">
        <v>1162</v>
      </c>
      <c r="F11" s="86"/>
      <c r="G11" s="86"/>
      <c r="H11" s="86"/>
    </row>
    <row r="12" customFormat="false" ht="15" hidden="false" customHeight="false" outlineLevel="0" collapsed="false">
      <c r="A12" s="24" t="n">
        <v>7</v>
      </c>
      <c r="B12" s="6" t="s">
        <v>1163</v>
      </c>
      <c r="C12" s="87"/>
      <c r="D12" s="87"/>
      <c r="E12" s="86"/>
      <c r="F12" s="86"/>
      <c r="G12" s="86"/>
      <c r="H12" s="86"/>
    </row>
    <row r="13" customFormat="false" ht="15" hidden="false" customHeight="true" outlineLevel="0" collapsed="false">
      <c r="A13" s="24" t="n">
        <v>8</v>
      </c>
      <c r="B13" s="6" t="s">
        <v>1164</v>
      </c>
      <c r="C13" s="28"/>
      <c r="D13" s="28"/>
      <c r="E13" s="86" t="s">
        <v>1165</v>
      </c>
      <c r="F13" s="86"/>
      <c r="G13" s="86"/>
      <c r="H13" s="86"/>
    </row>
    <row r="14" customFormat="false" ht="15" hidden="false" customHeight="true" outlineLevel="0" collapsed="false">
      <c r="A14" s="24" t="n">
        <v>9</v>
      </c>
      <c r="B14" s="6" t="s">
        <v>1166</v>
      </c>
      <c r="C14" s="76"/>
      <c r="D14" s="76"/>
      <c r="E14" s="86" t="s">
        <v>1167</v>
      </c>
      <c r="F14" s="86"/>
      <c r="G14" s="86"/>
      <c r="H14" s="86"/>
    </row>
    <row r="15" customFormat="false" ht="15" hidden="false" customHeight="false" outlineLevel="0" collapsed="false">
      <c r="A15" s="24" t="n">
        <v>10</v>
      </c>
      <c r="B15" s="6" t="s">
        <v>1168</v>
      </c>
      <c r="C15" s="76"/>
      <c r="D15" s="76"/>
      <c r="E15" s="86"/>
      <c r="F15" s="86"/>
      <c r="G15" s="86"/>
      <c r="H15" s="86"/>
    </row>
    <row r="16" customFormat="false" ht="23.85" hidden="false" customHeight="true" outlineLevel="0" collapsed="false">
      <c r="A16" s="24" t="n">
        <v>11</v>
      </c>
      <c r="B16" s="6" t="s">
        <v>1169</v>
      </c>
      <c r="C16" s="89"/>
      <c r="D16" s="89"/>
      <c r="E16" s="86" t="s">
        <v>1170</v>
      </c>
      <c r="F16" s="86"/>
      <c r="G16" s="86"/>
      <c r="H16" s="86"/>
    </row>
    <row r="17" customFormat="false" ht="15" hidden="false" customHeight="true" outlineLevel="0" collapsed="false">
      <c r="A17" s="24" t="n">
        <v>12</v>
      </c>
      <c r="B17" s="6" t="s">
        <v>1171</v>
      </c>
      <c r="C17" s="89"/>
      <c r="D17" s="89"/>
      <c r="E17" s="86" t="s">
        <v>1172</v>
      </c>
      <c r="F17" s="86"/>
      <c r="G17" s="86"/>
      <c r="H17" s="86"/>
    </row>
    <row r="18" customFormat="false" ht="15" hidden="false" customHeight="true" outlineLevel="0" collapsed="false">
      <c r="A18" s="24" t="n">
        <v>13</v>
      </c>
      <c r="B18" s="6" t="s">
        <v>1173</v>
      </c>
      <c r="C18" s="87"/>
      <c r="D18" s="87"/>
      <c r="E18" s="86" t="s">
        <v>1174</v>
      </c>
      <c r="F18" s="86"/>
      <c r="G18" s="86"/>
      <c r="H18" s="86"/>
    </row>
    <row r="19" customFormat="false" ht="15" hidden="false" customHeight="true" outlineLevel="0" collapsed="false">
      <c r="A19" s="24" t="n">
        <v>14</v>
      </c>
      <c r="B19" s="6" t="s">
        <v>1175</v>
      </c>
      <c r="C19" s="87"/>
      <c r="D19" s="87"/>
      <c r="E19" s="86" t="s">
        <v>1176</v>
      </c>
      <c r="F19" s="86"/>
      <c r="G19" s="86"/>
      <c r="H19" s="86"/>
    </row>
    <row r="20" customFormat="false" ht="15" hidden="false" customHeight="true" outlineLevel="0" collapsed="false">
      <c r="A20" s="24" t="n">
        <v>15</v>
      </c>
      <c r="B20" s="6" t="s">
        <v>1177</v>
      </c>
      <c r="C20" s="90"/>
      <c r="D20" s="90"/>
      <c r="E20" s="86" t="s">
        <v>1178</v>
      </c>
      <c r="F20" s="86"/>
      <c r="G20" s="86"/>
      <c r="H20" s="86"/>
    </row>
    <row r="21" customFormat="false" ht="23.85" hidden="false" customHeight="true" outlineLevel="0" collapsed="false">
      <c r="A21" s="24" t="n">
        <v>16</v>
      </c>
      <c r="B21" s="6" t="s">
        <v>1179</v>
      </c>
      <c r="C21" s="76" t="n">
        <v>0.03</v>
      </c>
      <c r="D21" s="76"/>
      <c r="E21" s="86" t="s">
        <v>1180</v>
      </c>
      <c r="F21" s="86"/>
      <c r="G21" s="86"/>
      <c r="H21" s="86"/>
    </row>
    <row r="22" customFormat="false" ht="15" hidden="false" customHeight="true" outlineLevel="0" collapsed="false">
      <c r="A22" s="24" t="n">
        <v>17</v>
      </c>
      <c r="B22" s="6" t="s">
        <v>1181</v>
      </c>
      <c r="C22" s="76" t="n">
        <v>0.2</v>
      </c>
      <c r="D22" s="76"/>
      <c r="E22" s="86" t="s">
        <v>1182</v>
      </c>
      <c r="F22" s="86"/>
      <c r="G22" s="86"/>
      <c r="H22" s="86"/>
    </row>
    <row r="24" customFormat="false" ht="16.5" hidden="false" customHeight="true" outlineLevel="0" collapsed="false">
      <c r="A24" s="83" t="s">
        <v>1183</v>
      </c>
      <c r="B24" s="83"/>
      <c r="C24" s="83"/>
      <c r="D24" s="83"/>
      <c r="E24" s="83"/>
      <c r="F24" s="83"/>
      <c r="G24" s="83"/>
      <c r="H24" s="83"/>
    </row>
    <row r="25" customFormat="false" ht="25.5" hidden="false" customHeight="true" outlineLevel="0" collapsed="false">
      <c r="A25" s="91" t="s">
        <v>1148</v>
      </c>
      <c r="B25" s="91" t="s">
        <v>1184</v>
      </c>
      <c r="C25" s="91" t="s">
        <v>1061</v>
      </c>
      <c r="D25" s="91" t="s">
        <v>1185</v>
      </c>
      <c r="E25" s="91" t="s">
        <v>1186</v>
      </c>
      <c r="F25" s="91" t="s">
        <v>1187</v>
      </c>
      <c r="G25" s="91" t="s">
        <v>988</v>
      </c>
      <c r="H25" s="91" t="s">
        <v>1188</v>
      </c>
    </row>
    <row r="26" customFormat="false" ht="25.5" hidden="false" customHeight="true" outlineLevel="0" collapsed="false">
      <c r="A26" s="65" t="n">
        <v>1</v>
      </c>
      <c r="B26" s="5" t="s">
        <v>1189</v>
      </c>
      <c r="C26" s="92" t="str">
        <f aca="false">IFERROR(IF(OR($C$6="",$C$8=""),"",$C$6/$C$8-1),"")</f>
        <v/>
      </c>
      <c r="D26" s="93" t="str">
        <f aca="false">IF(NOT(ISNUMBER(C26)),"no data",IF(C26&gt;=0,"MET","NOT MET"))</f>
        <v>no data</v>
      </c>
      <c r="E26" s="94" t="s">
        <v>1190</v>
      </c>
      <c r="F26" s="25"/>
      <c r="G26" s="65" t="str">
        <f aca="false">IF(E26="✔","MET",IF(E26="✘","NOT MET",IF(E26="N/A","N/A","TO TICK")))&amp;IF(OR(AND(E26="✔",D26="NOT MET"),AND(E26="✘",D26="MET"))," ⚠","")</f>
        <v>TO TICK</v>
      </c>
      <c r="H26" s="86" t="s">
        <v>1191</v>
      </c>
    </row>
    <row r="27" customFormat="false" ht="25.5" hidden="false" customHeight="true" outlineLevel="0" collapsed="false">
      <c r="A27" s="65" t="n">
        <v>2</v>
      </c>
      <c r="B27" s="5" t="s">
        <v>1192</v>
      </c>
      <c r="C27" s="92" t="str">
        <f aca="false">IFERROR(IF(OR($C$8="",$C$9=""),"",$C$8/$C$9-1),"")</f>
        <v/>
      </c>
      <c r="D27" s="93" t="str">
        <f aca="false">IF(NOT(ISNUMBER(C27)),"no data",IF(C27&gt;=-0.005,"MET","NOT MET"))</f>
        <v>no data</v>
      </c>
      <c r="E27" s="94" t="s">
        <v>1190</v>
      </c>
      <c r="F27" s="25"/>
      <c r="G27" s="65" t="str">
        <f aca="false">IF(E27="✔","MET",IF(E27="✘","NOT MET",IF(E27="N/A","N/A","TO TICK")))&amp;IF(OR(AND(E27="✔",D27="NOT MET"),AND(E27="✘",D27="MET"))," ⚠","")</f>
        <v>TO TICK</v>
      </c>
      <c r="H27" s="86" t="s">
        <v>1193</v>
      </c>
    </row>
    <row r="28" customFormat="false" ht="25.5" hidden="false" customHeight="true" outlineLevel="0" collapsed="false">
      <c r="A28" s="65" t="n">
        <v>3</v>
      </c>
      <c r="B28" s="5" t="s">
        <v>1194</v>
      </c>
      <c r="C28" s="92" t="str">
        <f aca="false">IFERROR(IF(OR($C$7="",$C$8=""),"",$C$7/$C$8-1),"")</f>
        <v/>
      </c>
      <c r="D28" s="93" t="str">
        <f aca="false">IF(NOT(ISNUMBER(C28)),"no data",IF(C28&gt;=0,"MET","NOT MET"))</f>
        <v>no data</v>
      </c>
      <c r="E28" s="94" t="s">
        <v>1190</v>
      </c>
      <c r="F28" s="25"/>
      <c r="G28" s="65" t="str">
        <f aca="false">IF(E28="✔","MET",IF(E28="✘","NOT MET",IF(E28="N/A","N/A","TO TICK")))&amp;IF(OR(AND(E28="✔",D28="NOT MET"),AND(E28="✘",D28="MET"))," ⚠","")</f>
        <v>TO TICK</v>
      </c>
      <c r="H28" s="86" t="s">
        <v>1195</v>
      </c>
    </row>
    <row r="29" customFormat="false" ht="25.5" hidden="false" customHeight="true" outlineLevel="0" collapsed="false">
      <c r="A29" s="65" t="n">
        <v>4</v>
      </c>
      <c r="B29" s="5" t="s">
        <v>1196</v>
      </c>
      <c r="C29" s="92" t="str">
        <f aca="false">IFERROR(IF(OR($C$6="",$C$7=""),"",$C$6/$C$7-1),"")</f>
        <v/>
      </c>
      <c r="D29" s="93" t="str">
        <f aca="false">IF(NOT(ISNUMBER(C29)),"no data",IF(C29&lt;0.15,"MET","NOT MET"))</f>
        <v>no data</v>
      </c>
      <c r="E29" s="94" t="s">
        <v>1190</v>
      </c>
      <c r="F29" s="25"/>
      <c r="G29" s="65" t="str">
        <f aca="false">IF(E29="✔","MET",IF(E29="✘","NOT MET",IF(E29="N/A","N/A","TO TICK")))&amp;IF(OR(AND(E29="✔",D29="NOT MET"),AND(E29="✘",D29="MET"))," ⚠","")</f>
        <v>TO TICK</v>
      </c>
      <c r="H29" s="86" t="s">
        <v>1197</v>
      </c>
    </row>
    <row r="30" customFormat="false" ht="25.5" hidden="false" customHeight="true" outlineLevel="0" collapsed="false">
      <c r="A30" s="65" t="n">
        <v>5</v>
      </c>
      <c r="B30" s="5" t="s">
        <v>1198</v>
      </c>
      <c r="C30" s="31" t="str">
        <f aca="false">IF($C$10="","",$C$10)</f>
        <v/>
      </c>
      <c r="D30" s="93" t="str">
        <f aca="false">IF(NOT(ISNUMBER(C30)),"no data",IF(AND(C30&gt;=30,C30&lt;=70),"MET","NOT MET"))</f>
        <v>no data</v>
      </c>
      <c r="E30" s="94" t="s">
        <v>1190</v>
      </c>
      <c r="F30" s="25"/>
      <c r="G30" s="65" t="str">
        <f aca="false">IF(E30="✔","MET",IF(E30="✘","NOT MET",IF(E30="N/A","N/A","TO TICK")))&amp;IF(OR(AND(E30="✔",D30="NOT MET"),AND(E30="✘",D30="MET"))," ⚠","")</f>
        <v>TO TICK</v>
      </c>
      <c r="H30" s="86" t="s">
        <v>1199</v>
      </c>
    </row>
    <row r="31" customFormat="false" ht="25.5" hidden="false" customHeight="true" outlineLevel="0" collapsed="false">
      <c r="A31" s="65" t="n">
        <v>6</v>
      </c>
      <c r="B31" s="5" t="s">
        <v>1200</v>
      </c>
      <c r="C31" s="92" t="str">
        <f aca="false">IFERROR(IF(OR($C$6="",$C$11="",$C$14=""),"",($C$6/$C$11-1)-$C$14),"")</f>
        <v/>
      </c>
      <c r="D31" s="93" t="str">
        <f aca="false">IF(NOT(ISNUMBER(C31)),"no data",IF(C31&gt;=0,"MET","NOT MET"))</f>
        <v>no data</v>
      </c>
      <c r="E31" s="94" t="s">
        <v>1190</v>
      </c>
      <c r="F31" s="25"/>
      <c r="G31" s="65" t="str">
        <f aca="false">IF(E31="✔","MET",IF(E31="✘","NOT MET",IF(E31="N/A","N/A","TO TICK")))&amp;IF(OR(AND(E31="✔",D31="NOT MET"),AND(E31="✘",D31="MET"))," ⚠","")</f>
        <v>TO TICK</v>
      </c>
      <c r="H31" s="86" t="s">
        <v>1201</v>
      </c>
    </row>
    <row r="32" customFormat="false" ht="25.5" hidden="false" customHeight="true" outlineLevel="0" collapsed="false">
      <c r="A32" s="65" t="n">
        <v>7</v>
      </c>
      <c r="B32" s="5" t="s">
        <v>1202</v>
      </c>
      <c r="C32" s="30" t="str">
        <f aca="false">IF('1. Company Info'!B38="","",'1. Company Info'!B38)</f>
        <v/>
      </c>
      <c r="D32" s="93" t="str">
        <f aca="false">IF(NOT(ISNUMBER(C32)),"no data",IF(C32&gt;=0.5,"MET","NOT MET"))</f>
        <v>no data</v>
      </c>
      <c r="E32" s="94" t="s">
        <v>1190</v>
      </c>
      <c r="F32" s="25"/>
      <c r="G32" s="65" t="str">
        <f aca="false">IF(E32="✔","MET",IF(E32="✘","NOT MET",IF(E32="N/A","N/A","TO TICK")))&amp;IF(OR(AND(E32="✔",D32="NOT MET"),AND(E32="✘",D32="MET"))," ⚠","")</f>
        <v>TO TICK</v>
      </c>
      <c r="H32" s="86" t="s">
        <v>1203</v>
      </c>
    </row>
    <row r="33" customFormat="false" ht="25.5" hidden="false" customHeight="true" outlineLevel="0" collapsed="false">
      <c r="A33" s="65" t="n">
        <v>8</v>
      </c>
      <c r="B33" s="5" t="s">
        <v>1204</v>
      </c>
      <c r="C33" s="31" t="str">
        <f aca="false">""</f>
        <v/>
      </c>
      <c r="D33" s="95" t="s">
        <v>1205</v>
      </c>
      <c r="E33" s="94" t="s">
        <v>1190</v>
      </c>
      <c r="F33" s="25"/>
      <c r="G33" s="65" t="str">
        <f aca="false">IF(E33="✔","MET",IF(E33="✘","NOT MET",IF(E33="N/A","N/A","TO TICK")))&amp;IF(OR(AND(E33="✔",D33="NOT MET"),AND(E33="✘",D33="MET"))," ⚠","")</f>
        <v>TO TICK</v>
      </c>
      <c r="H33" s="86" t="s">
        <v>1206</v>
      </c>
    </row>
    <row r="34" customFormat="false" ht="25.5" hidden="false" customHeight="true" outlineLevel="0" collapsed="false">
      <c r="A34" s="65" t="n">
        <v>9</v>
      </c>
      <c r="B34" s="5" t="s">
        <v>1207</v>
      </c>
      <c r="C34" s="92" t="str">
        <f aca="false">IFERROR(IF(OR($C$6="",$C$18=""),"",$C$6/($C$18*(1-$C$21))-1),"")</f>
        <v/>
      </c>
      <c r="D34" s="93" t="str">
        <f aca="false">IF(NOT(ISNUMBER(C34)),"no data",IF(C34&gt;0,"MET","NOT MET"))</f>
        <v>no data</v>
      </c>
      <c r="E34" s="94" t="s">
        <v>1190</v>
      </c>
      <c r="F34" s="25" t="s">
        <v>501</v>
      </c>
      <c r="G34" s="65" t="str">
        <f aca="false">IF(E34="✔","MET",IF(E34="✘","NOT MET",IF(E34="N/A","N/A","TO TICK")))&amp;IF(OR(AND(E34="✔",D34="NOT MET"),AND(E34="✘",D34="MET"))," ⚠","")</f>
        <v>TO TICK</v>
      </c>
      <c r="H34" s="86" t="s">
        <v>1208</v>
      </c>
    </row>
    <row r="35" customFormat="false" ht="25.5" hidden="false" customHeight="true" outlineLevel="0" collapsed="false">
      <c r="A35" s="65" t="n">
        <v>10</v>
      </c>
      <c r="B35" s="5" t="s">
        <v>1209</v>
      </c>
      <c r="C35" s="33" t="str">
        <f aca="false">IFERROR(IF(OR($C$6="",$C$18="",'4. Valuation'!$B$64=""),"",IF($C$6&lt;=($C$18*(1-$C$21)),0,('4. Valuation'!$B$64-$C$6)/($C$6-($C$18*(1-$C$21))))),"")</f>
        <v/>
      </c>
      <c r="D35" s="93" t="str">
        <f aca="false">IF(NOT(ISNUMBER(C35)),"no data",IF(C35&gt;=3,"MET","NOT MET"))</f>
        <v>no data</v>
      </c>
      <c r="E35" s="94" t="s">
        <v>1190</v>
      </c>
      <c r="F35" s="25"/>
      <c r="G35" s="65" t="str">
        <f aca="false">IF(E35="✔","MET",IF(E35="✘","NOT MET",IF(E35="N/A","N/A","TO TICK")))&amp;IF(OR(AND(E35="✔",D35="NOT MET"),AND(E35="✘",D35="MET"))," ⚠","")</f>
        <v>TO TICK</v>
      </c>
      <c r="H35" s="86" t="s">
        <v>1210</v>
      </c>
    </row>
    <row r="36" customFormat="false" ht="25.5" hidden="false" customHeight="true" outlineLevel="0" collapsed="false">
      <c r="A36" s="65" t="n">
        <v>11</v>
      </c>
      <c r="B36" s="5" t="s">
        <v>1211</v>
      </c>
      <c r="C36" s="96" t="str">
        <f aca="false">IFERROR(IF(OR($C$17="",$C$16=""),"",$C$17/($C$16*$C$22)),"")</f>
        <v/>
      </c>
      <c r="D36" s="93" t="str">
        <f aca="false">IF(NOT(ISNUMBER(C36)),"no data",IF(C36&lt;=5,"MET","NOT MET"))</f>
        <v>no data</v>
      </c>
      <c r="E36" s="94" t="s">
        <v>1190</v>
      </c>
      <c r="F36" s="25" t="s">
        <v>501</v>
      </c>
      <c r="G36" s="65" t="str">
        <f aca="false">IF(E36="✔","MET",IF(E36="✘","NOT MET",IF(E36="N/A","N/A","TO TICK")))&amp;IF(OR(AND(E36="✔",D36="NOT MET"),AND(E36="✘",D36="MET"))," ⚠","")</f>
        <v>TO TICK</v>
      </c>
      <c r="H36" s="86" t="s">
        <v>1212</v>
      </c>
    </row>
    <row r="37" customFormat="false" ht="25.5" hidden="false" customHeight="true" outlineLevel="0" collapsed="false">
      <c r="A37" s="65" t="n">
        <v>12</v>
      </c>
      <c r="B37" s="5" t="s">
        <v>1213</v>
      </c>
      <c r="C37" s="97" t="str">
        <f aca="false">IFERROR(IF(OR($C$20="",'1. Company Info'!$B$17=""),"",$C$20-'1. Company Info'!$B$17),"")</f>
        <v/>
      </c>
      <c r="D37" s="93" t="str">
        <f aca="false">IF(NOT(ISNUMBER(C37)),"no data",IF(OR(C37&lt;0,C37&gt;=14),"MET","NOT MET"))</f>
        <v>no data</v>
      </c>
      <c r="E37" s="94" t="s">
        <v>1190</v>
      </c>
      <c r="F37" s="25"/>
      <c r="G37" s="65" t="str">
        <f aca="false">IF(E37="✔","MET",IF(E37="✘","NOT MET",IF(E37="N/A","N/A","TO TICK")))&amp;IF(OR(AND(E37="✔",D37="NOT MET"),AND(E37="✘",D37="MET"))," ⚠","")</f>
        <v>TO TICK</v>
      </c>
      <c r="H37" s="86" t="s">
        <v>1214</v>
      </c>
    </row>
    <row r="38" customFormat="false" ht="15" hidden="false" customHeight="true" outlineLevel="0" collapsed="false">
      <c r="A38" s="98" t="s">
        <v>1215</v>
      </c>
      <c r="B38" s="98"/>
      <c r="C38" s="98"/>
      <c r="D38" s="98"/>
      <c r="E38" s="98"/>
      <c r="F38" s="98"/>
      <c r="G38" s="98"/>
      <c r="H38" s="98"/>
    </row>
    <row r="40" customFormat="false" ht="16.5" hidden="false" customHeight="true" outlineLevel="0" collapsed="false">
      <c r="A40" s="83" t="s">
        <v>1216</v>
      </c>
      <c r="B40" s="83"/>
      <c r="C40" s="83"/>
      <c r="D40" s="83"/>
      <c r="E40" s="83"/>
      <c r="F40" s="83"/>
      <c r="G40" s="83"/>
      <c r="H40" s="83"/>
    </row>
    <row r="41" customFormat="false" ht="15" hidden="false" customHeight="true" outlineLevel="0" collapsed="false">
      <c r="B41" s="49" t="s">
        <v>1217</v>
      </c>
      <c r="C41" s="99" t="n">
        <v>0.7</v>
      </c>
      <c r="D41" s="98" t="s">
        <v>1218</v>
      </c>
      <c r="E41" s="98"/>
      <c r="F41" s="98"/>
      <c r="G41" s="98"/>
      <c r="H41" s="98"/>
    </row>
    <row r="42" customFormat="false" ht="15" hidden="false" customHeight="false" outlineLevel="0" collapsed="false">
      <c r="B42" s="49" t="s">
        <v>1219</v>
      </c>
      <c r="C42" s="64" t="n">
        <f aca="false">COUNTIF($E$26:$E$37,"✔")</f>
        <v>0</v>
      </c>
      <c r="D42" s="100" t="str">
        <f aca="false">IF($C$45=12,"Tick the 12 rules in section B to get a score.",IF($C$45&gt;0,"Score so far: "&amp;TEXT(IF($C$47="",0,$C$47),"0%")&amp;" — "&amp;$C$45&amp;" rule(s) still to tick before clearance can be given.","All rules ticked. Score "&amp;TEXT(IF($C$47="",0,$C$47),"0%")&amp;" vs "&amp;TEXT($C$41,"0%")&amp;" needed"&amp;IF($C$46&gt;0," — but a must-pass rule failed.",".")))</f>
        <v>Tick the 12 rules in section B to get a score.</v>
      </c>
      <c r="E42" s="100"/>
      <c r="F42" s="100"/>
      <c r="G42" s="100"/>
      <c r="H42" s="100"/>
    </row>
    <row r="43" customFormat="false" ht="15" hidden="false" customHeight="false" outlineLevel="0" collapsed="false">
      <c r="B43" s="49" t="s">
        <v>1220</v>
      </c>
      <c r="C43" s="64" t="n">
        <f aca="false">COUNTIF($E$26:$E$37,"✘")</f>
        <v>0</v>
      </c>
      <c r="D43" s="100"/>
      <c r="E43" s="100"/>
      <c r="F43" s="100"/>
      <c r="G43" s="100"/>
      <c r="H43" s="100"/>
    </row>
    <row r="44" customFormat="false" ht="15" hidden="false" customHeight="false" outlineLevel="0" collapsed="false">
      <c r="B44" s="49" t="s">
        <v>1221</v>
      </c>
      <c r="C44" s="64" t="n">
        <f aca="false">COUNTIF($E$26:$E$37,"N/A")</f>
        <v>0</v>
      </c>
      <c r="D44" s="100"/>
      <c r="E44" s="100"/>
      <c r="F44" s="100"/>
      <c r="G44" s="100"/>
      <c r="H44" s="100"/>
    </row>
    <row r="45" customFormat="false" ht="15" hidden="false" customHeight="false" outlineLevel="0" collapsed="false">
      <c r="B45" s="49" t="s">
        <v>1222</v>
      </c>
      <c r="C45" s="64" t="n">
        <f aca="false">12-C42-C43-C44</f>
        <v>12</v>
      </c>
      <c r="D45" s="100"/>
      <c r="E45" s="100"/>
      <c r="F45" s="100"/>
      <c r="G45" s="100"/>
      <c r="H45" s="100"/>
    </row>
    <row r="46" customFormat="false" ht="15" hidden="false" customHeight="false" outlineLevel="0" collapsed="false">
      <c r="B46" s="49" t="s">
        <v>1223</v>
      </c>
      <c r="C46" s="64" t="n">
        <f aca="false">COUNTIFS($E$26:$E$37,"✘",$F$26:$F$37,"Y")</f>
        <v>0</v>
      </c>
      <c r="D46" s="100"/>
      <c r="E46" s="100"/>
      <c r="F46" s="100"/>
      <c r="G46" s="100"/>
      <c r="H46" s="100"/>
    </row>
    <row r="47" customFormat="false" ht="15" hidden="false" customHeight="false" outlineLevel="0" collapsed="false">
      <c r="B47" s="49" t="s">
        <v>1224</v>
      </c>
      <c r="C47" s="66" t="str">
        <f aca="false">IF(C42+C43=0,"",C42/(C42+C43))</f>
        <v/>
      </c>
      <c r="D47" s="100"/>
      <c r="E47" s="100"/>
      <c r="F47" s="100"/>
      <c r="G47" s="100"/>
      <c r="H47" s="100"/>
    </row>
    <row r="48" customFormat="false" ht="25.5" hidden="false" customHeight="true" outlineLevel="0" collapsed="false">
      <c r="A48" s="101" t="s">
        <v>1225</v>
      </c>
      <c r="B48" s="101"/>
      <c r="C48" s="102" t="str">
        <f aca="false">IF($C$45&gt;0,"INCOMPLETE — "&amp;$C$45&amp;" rule(s) still to tick",IF($C$42+$C$43=0,"INCOMPLETE — no applicable rules",IF($C$46&gt;0,"NOT CLEARED — must-pass rule failed",IF($C$47&gt;=1,"CLEARED — FULL POSITION",IF($C$47&gt;=$C$41,"CLEARED — STAGED ENTRY","NOT CLEARED — score below "&amp;TEXT($C$41,"0%"))))))</f>
        <v>INCOMPLETE — 12 rule(s) still to tick</v>
      </c>
      <c r="D48" s="102"/>
      <c r="E48" s="102"/>
      <c r="F48" s="102"/>
      <c r="G48" s="102"/>
      <c r="H48" s="102"/>
    </row>
    <row r="49" customFormat="false" ht="30" hidden="false" customHeight="true" outlineLevel="0" collapsed="false">
      <c r="A49" s="103" t="s">
        <v>1226</v>
      </c>
      <c r="B49" s="103"/>
      <c r="C49" s="104" t="str">
        <f aca="false">IF(OR('5. Rating Summary'!$C$37="INCOMPLETE",'5. Rating Summary'!$C$37=""),"NO EXECUTION — fundamental analysis not finished",IF('5. Rating Summary'!$C$37="HOLD","NO EXECUTION — rating is HOLD (no new buying). Technical score for reference: "&amp;IF($C$47="","n/a",TEXT($C$47,"0%")),IF(LEFT($C$48,10)="INCOMPLETE","WAITING — analyst must tick all rules before execution",IF('5. Rating Summary'!$C$37="SELL",IF($C$47&gt;=$C$41,"EXECUTE SELL — chart is strong: exit over 1–2 weeks into strength","EXECUTE SELL — chart is weak: exit now"),IF(LEFT($C$48,14)="CLEARED — FULL","EXECUTE BUY — full position",IF(LEFT($C$48,16)="CLEARED — STAGED","EXECUTE BUY — first tranche 50%; rest when all rules are met or after next results","DO NOT EXECUTE — technical conditions not met; re-tick weekly"))))))</f>
        <v>NO EXECUTION — fundamental analysis not finished</v>
      </c>
      <c r="D49" s="104"/>
      <c r="E49" s="104"/>
      <c r="F49" s="104"/>
      <c r="G49" s="104"/>
      <c r="H49" s="104"/>
    </row>
    <row r="50" customFormat="false" ht="22.35" hidden="false" customHeight="false" outlineLevel="0" collapsed="false">
      <c r="B50" s="105" t="s">
        <v>1227</v>
      </c>
      <c r="C50" s="93" t="str">
        <f aca="false">IF(NOT(ISNUMBER(C26)),"n/a",IF(AND(C26&gt;=0,OR(NOT(ISNUMBER(C27)),C27&gt;=-0.005),OR(NOT(ISNUMBER(C28)),C28&gt;-0.02)),"UPTREND",IF(AND(C26&lt;=-0.05,OR(NOT(ISNUMBER(C27)),C27&lt;0.005)),"DOWNTREND","SIDEWAYS")))</f>
        <v>n/a</v>
      </c>
      <c r="D50" s="106" t="s">
        <v>1228</v>
      </c>
      <c r="E50" s="107" t="str">
        <f aca="false">IF($C$18="","",($C$18*(1-$C$21)))</f>
        <v/>
      </c>
      <c r="F50" s="106" t="s">
        <v>1229</v>
      </c>
      <c r="G50" s="108" t="str">
        <f aca="false">IF(OR($C$18="",$C$7=""),"",TEXT(MIN($C$18,$C$7),"#,##0.00")&amp;" – "&amp;TEXT(MAX($C$18,$C$7),"#,##0.00"))</f>
        <v/>
      </c>
      <c r="H50" s="108"/>
    </row>
    <row r="52" customFormat="false" ht="16.5" hidden="false" customHeight="true" outlineLevel="0" collapsed="false">
      <c r="A52" s="83" t="s">
        <v>1230</v>
      </c>
      <c r="B52" s="83"/>
      <c r="C52" s="83"/>
      <c r="D52" s="83"/>
      <c r="E52" s="83"/>
      <c r="F52" s="83"/>
      <c r="G52" s="83"/>
      <c r="H52" s="83"/>
    </row>
    <row r="53" customFormat="false" ht="15" hidden="false" customHeight="true" outlineLevel="0" collapsed="false">
      <c r="A53" s="109" t="s">
        <v>1231</v>
      </c>
      <c r="B53" s="109"/>
      <c r="C53" s="110" t="str">
        <f aca="false">IF('1. Company Info'!$B$7="","",'1. Company Info'!$B$7&amp;"  —  ")&amp;$C$49</f>
        <v>NO EXECUTION — fundamental analysis not finished</v>
      </c>
      <c r="D53" s="110"/>
      <c r="E53" s="110"/>
      <c r="F53" s="110"/>
      <c r="G53" s="110"/>
      <c r="H53" s="110"/>
    </row>
    <row r="54" customFormat="false" ht="15" hidden="false" customHeight="true" outlineLevel="0" collapsed="false">
      <c r="A54" s="109" t="s">
        <v>1232</v>
      </c>
      <c r="B54" s="109"/>
      <c r="C54" s="111" t="n">
        <f aca="false">IF(LEFT($C$49,20)="EXECUTE BUY — full p",1,IF(LEFT($C$49,20)="EXECUTE BUY — first ",0.5,IF(LEFT($C$49,12)="EXECUTE SELL",1,0)))</f>
        <v>0</v>
      </c>
      <c r="D54" s="111"/>
      <c r="E54" s="111"/>
      <c r="F54" s="111"/>
      <c r="G54" s="111"/>
      <c r="H54" s="111"/>
    </row>
    <row r="55" customFormat="false" ht="15" hidden="false" customHeight="true" outlineLevel="0" collapsed="false">
      <c r="A55" s="109" t="s">
        <v>1233</v>
      </c>
      <c r="B55" s="109"/>
      <c r="C55" s="112" t="str">
        <f aca="false">IF($C$17="","enter planned position size in section A",IF(LEFT($C$49,20)="EXECUTE BUY — full p",1,IF(LEFT($C$49,20)="EXECUTE BUY — first ",0.5,IF(LEFT($C$49,12)="EXECUTE SELL",1,0)))*$C$17)</f>
        <v>enter planned position size in section A</v>
      </c>
      <c r="D55" s="112"/>
      <c r="E55" s="112"/>
      <c r="F55" s="112"/>
      <c r="G55" s="112"/>
      <c r="H55" s="112"/>
    </row>
    <row r="56" customFormat="false" ht="15" hidden="false" customHeight="true" outlineLevel="0" collapsed="false">
      <c r="A56" s="109" t="s">
        <v>1234</v>
      </c>
      <c r="B56" s="109"/>
      <c r="C56" s="110" t="str">
        <f aca="false">IF(G50="",TEXT($C$6,"#,##0.00"),G50)</f>
        <v/>
      </c>
      <c r="D56" s="110"/>
      <c r="E56" s="110"/>
      <c r="F56" s="110"/>
      <c r="G56" s="110"/>
      <c r="H56" s="110"/>
    </row>
    <row r="57" customFormat="false" ht="15" hidden="false" customHeight="true" outlineLevel="0" collapsed="false">
      <c r="A57" s="109" t="s">
        <v>1235</v>
      </c>
      <c r="B57" s="109"/>
      <c r="C57" s="113" t="str">
        <f aca="false">IF(E50="","",E50)</f>
        <v/>
      </c>
      <c r="D57" s="113"/>
      <c r="E57" s="113"/>
      <c r="F57" s="113"/>
      <c r="G57" s="113"/>
      <c r="H57" s="113"/>
    </row>
    <row r="58" customFormat="false" ht="15" hidden="false" customHeight="true" outlineLevel="0" collapsed="false">
      <c r="A58" s="109" t="s">
        <v>1236</v>
      </c>
      <c r="B58" s="109"/>
      <c r="C58" s="111" t="n">
        <f aca="false">$C$22</f>
        <v>0.2</v>
      </c>
      <c r="D58" s="111"/>
      <c r="E58" s="111"/>
      <c r="F58" s="111"/>
      <c r="G58" s="111"/>
      <c r="H58" s="111"/>
    </row>
    <row r="59" customFormat="false" ht="15" hidden="false" customHeight="true" outlineLevel="0" collapsed="false">
      <c r="A59" s="109" t="s">
        <v>1237</v>
      </c>
      <c r="B59" s="109"/>
      <c r="C59" s="114" t="str">
        <f aca="false">IF('1. Company Info'!$B$17="","",'1. Company Info'!$B$17+7)</f>
        <v/>
      </c>
      <c r="D59" s="114"/>
      <c r="E59" s="114"/>
      <c r="F59" s="114"/>
      <c r="G59" s="114"/>
      <c r="H59" s="114"/>
    </row>
    <row r="60" customFormat="false" ht="15" hidden="false" customHeight="true" outlineLevel="0" collapsed="false">
      <c r="A60" s="109" t="s">
        <v>1238</v>
      </c>
      <c r="B60" s="109"/>
      <c r="C60" s="115"/>
      <c r="D60" s="115"/>
      <c r="E60" s="115"/>
      <c r="F60" s="115"/>
      <c r="G60" s="115"/>
      <c r="H60" s="115"/>
    </row>
    <row r="61" customFormat="false" ht="23.85" hidden="false" customHeight="true" outlineLevel="0" collapsed="false">
      <c r="A61" s="109" t="s">
        <v>1239</v>
      </c>
      <c r="B61" s="109"/>
      <c r="C61" s="115"/>
      <c r="D61" s="115"/>
      <c r="E61" s="115"/>
      <c r="F61" s="115"/>
      <c r="G61" s="115"/>
      <c r="H61" s="115"/>
    </row>
    <row r="62" customFormat="false" ht="15" hidden="false" customHeight="true" outlineLevel="0" collapsed="false">
      <c r="A62" s="98" t="s">
        <v>1240</v>
      </c>
      <c r="B62" s="98"/>
      <c r="C62" s="98"/>
      <c r="D62" s="98"/>
      <c r="E62" s="98"/>
      <c r="F62" s="98"/>
      <c r="G62" s="98"/>
      <c r="H62" s="98"/>
    </row>
    <row r="64" customFormat="false" ht="16.5" hidden="false" customHeight="true" outlineLevel="0" collapsed="false">
      <c r="A64" s="83" t="s">
        <v>1241</v>
      </c>
      <c r="B64" s="83"/>
      <c r="C64" s="83"/>
      <c r="D64" s="83"/>
      <c r="E64" s="83"/>
      <c r="F64" s="83"/>
      <c r="G64" s="83"/>
      <c r="H64" s="83"/>
    </row>
    <row r="65" customFormat="false" ht="15" hidden="false" customHeight="true" outlineLevel="0" collapsed="false">
      <c r="A65" s="116" t="s">
        <v>1242</v>
      </c>
      <c r="B65" s="116"/>
      <c r="C65" s="116"/>
      <c r="D65" s="116"/>
      <c r="E65" s="116"/>
      <c r="F65" s="116"/>
      <c r="G65" s="116"/>
      <c r="H65" s="116"/>
    </row>
    <row r="66" customFormat="false" ht="15" hidden="false" customHeight="true" outlineLevel="0" collapsed="false">
      <c r="A66" s="116"/>
      <c r="B66" s="116"/>
      <c r="C66" s="116"/>
      <c r="D66" s="116"/>
      <c r="E66" s="116"/>
      <c r="F66" s="116"/>
      <c r="G66" s="116"/>
      <c r="H66" s="116"/>
    </row>
    <row r="67" customFormat="false" ht="15" hidden="false" customHeight="true" outlineLevel="0" collapsed="false">
      <c r="A67" s="116"/>
      <c r="B67" s="116"/>
      <c r="C67" s="116"/>
      <c r="D67" s="116"/>
      <c r="E67" s="116"/>
      <c r="F67" s="116"/>
      <c r="G67" s="116"/>
      <c r="H67" s="116"/>
    </row>
    <row r="68" customFormat="false" ht="15" hidden="false" customHeight="true" outlineLevel="0" collapsed="false">
      <c r="A68" s="116"/>
      <c r="B68" s="116"/>
      <c r="C68" s="116"/>
      <c r="D68" s="116"/>
      <c r="E68" s="116"/>
      <c r="F68" s="116"/>
      <c r="G68" s="116"/>
      <c r="H68" s="116"/>
    </row>
    <row r="69" customFormat="false" ht="15" hidden="false" customHeight="true" outlineLevel="0" collapsed="false">
      <c r="A69" s="116"/>
      <c r="B69" s="116"/>
      <c r="C69" s="116"/>
      <c r="D69" s="116"/>
      <c r="E69" s="116"/>
      <c r="F69" s="116"/>
      <c r="G69" s="116"/>
      <c r="H69" s="116"/>
    </row>
    <row r="70" customFormat="false" ht="15" hidden="false" customHeight="true" outlineLevel="0" collapsed="false">
      <c r="A70" s="116"/>
      <c r="B70" s="116"/>
      <c r="C70" s="116"/>
      <c r="D70" s="116"/>
      <c r="E70" s="116"/>
      <c r="F70" s="116"/>
      <c r="G70" s="116"/>
      <c r="H70" s="116"/>
    </row>
    <row r="71" customFormat="false" ht="15" hidden="false" customHeight="true" outlineLevel="0" collapsed="false">
      <c r="A71" s="116"/>
      <c r="B71" s="116"/>
      <c r="C71" s="116"/>
      <c r="D71" s="116"/>
      <c r="E71" s="116"/>
      <c r="F71" s="116"/>
      <c r="G71" s="116"/>
      <c r="H71" s="116"/>
    </row>
    <row r="72" customFormat="false" ht="15" hidden="false" customHeight="true" outlineLevel="0" collapsed="false">
      <c r="A72" s="116"/>
      <c r="B72" s="116"/>
      <c r="C72" s="116"/>
      <c r="D72" s="116"/>
      <c r="E72" s="116"/>
      <c r="F72" s="116"/>
      <c r="G72" s="116"/>
      <c r="H72" s="116"/>
    </row>
    <row r="73" customFormat="false" ht="15" hidden="false" customHeight="true" outlineLevel="0" collapsed="false">
      <c r="A73" s="116"/>
      <c r="B73" s="116"/>
      <c r="C73" s="116"/>
      <c r="D73" s="116"/>
      <c r="E73" s="116"/>
      <c r="F73" s="116"/>
      <c r="G73" s="116"/>
      <c r="H73" s="116"/>
    </row>
    <row r="74" customFormat="false" ht="15" hidden="false" customHeight="true" outlineLevel="0" collapsed="false">
      <c r="A74" s="116"/>
      <c r="B74" s="116"/>
      <c r="C74" s="116"/>
      <c r="D74" s="116"/>
      <c r="E74" s="116"/>
      <c r="F74" s="116"/>
      <c r="G74" s="116"/>
      <c r="H74" s="116"/>
    </row>
    <row r="75" customFormat="false" ht="15" hidden="false" customHeight="true" outlineLevel="0" collapsed="false">
      <c r="A75" s="116"/>
      <c r="B75" s="116"/>
      <c r="C75" s="116"/>
      <c r="D75" s="116"/>
      <c r="E75" s="116"/>
      <c r="F75" s="116"/>
      <c r="G75" s="116"/>
      <c r="H75" s="116"/>
    </row>
    <row r="76" customFormat="false" ht="15" hidden="false" customHeight="true" outlineLevel="0" collapsed="false">
      <c r="A76" s="116"/>
      <c r="B76" s="116"/>
      <c r="C76" s="116"/>
      <c r="D76" s="116"/>
      <c r="E76" s="116"/>
      <c r="F76" s="116"/>
      <c r="G76" s="116"/>
      <c r="H76" s="116"/>
    </row>
    <row r="77" customFormat="false" ht="15" hidden="false" customHeight="true" outlineLevel="0" collapsed="false">
      <c r="A77" s="116"/>
      <c r="B77" s="116"/>
      <c r="C77" s="116"/>
      <c r="D77" s="116"/>
      <c r="E77" s="116"/>
      <c r="F77" s="116"/>
      <c r="G77" s="116"/>
      <c r="H77" s="116"/>
    </row>
    <row r="78" customFormat="false" ht="15" hidden="false" customHeight="true" outlineLevel="0" collapsed="false">
      <c r="A78" s="116"/>
      <c r="B78" s="116"/>
      <c r="C78" s="116"/>
      <c r="D78" s="116"/>
      <c r="E78" s="116"/>
      <c r="F78" s="116"/>
      <c r="G78" s="116"/>
      <c r="H78" s="116"/>
    </row>
    <row r="79" customFormat="false" ht="27.75" hidden="false" customHeight="true" outlineLevel="0" collapsed="false">
      <c r="A79" s="117" t="s">
        <v>1243</v>
      </c>
      <c r="B79" s="117"/>
      <c r="C79" s="115"/>
      <c r="D79" s="115"/>
      <c r="E79" s="115"/>
      <c r="F79" s="115"/>
      <c r="G79" s="115"/>
      <c r="H79" s="115"/>
    </row>
  </sheetData>
  <mergeCells count="73">
    <mergeCell ref="A1:H1"/>
    <mergeCell ref="A2:H2"/>
    <mergeCell ref="A4:H4"/>
    <mergeCell ref="C5:D5"/>
    <mergeCell ref="E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C17:D17"/>
    <mergeCell ref="E17:H17"/>
    <mergeCell ref="C18:D18"/>
    <mergeCell ref="E18:H18"/>
    <mergeCell ref="C19:D19"/>
    <mergeCell ref="E19:H19"/>
    <mergeCell ref="C20:D20"/>
    <mergeCell ref="E20:H20"/>
    <mergeCell ref="C21:D21"/>
    <mergeCell ref="E21:H21"/>
    <mergeCell ref="C22:D22"/>
    <mergeCell ref="E22:H22"/>
    <mergeCell ref="A24:H24"/>
    <mergeCell ref="A38:H38"/>
    <mergeCell ref="A40:H40"/>
    <mergeCell ref="D41:H41"/>
    <mergeCell ref="D42:H47"/>
    <mergeCell ref="A48:B48"/>
    <mergeCell ref="C48:H48"/>
    <mergeCell ref="A49:B49"/>
    <mergeCell ref="C49:H49"/>
    <mergeCell ref="G50:H50"/>
    <mergeCell ref="A52:H52"/>
    <mergeCell ref="A53:B53"/>
    <mergeCell ref="C53:H53"/>
    <mergeCell ref="A54:B54"/>
    <mergeCell ref="C54:H54"/>
    <mergeCell ref="A55:B55"/>
    <mergeCell ref="C55:H55"/>
    <mergeCell ref="A56:B56"/>
    <mergeCell ref="C56:H56"/>
    <mergeCell ref="A57:B57"/>
    <mergeCell ref="C57:H57"/>
    <mergeCell ref="A58:B58"/>
    <mergeCell ref="C58:H58"/>
    <mergeCell ref="A59:B59"/>
    <mergeCell ref="C59:H59"/>
    <mergeCell ref="A60:B60"/>
    <mergeCell ref="C60:H60"/>
    <mergeCell ref="A61:B61"/>
    <mergeCell ref="C61:H61"/>
    <mergeCell ref="A62:H62"/>
    <mergeCell ref="A64:H64"/>
    <mergeCell ref="A65:H78"/>
    <mergeCell ref="A79:B79"/>
    <mergeCell ref="C79:H79"/>
  </mergeCells>
  <conditionalFormatting sqref="E26:E37">
    <cfRule type="expression" priority="2" aboveAverage="0" equalAverage="0" bottom="0" percent="0" rank="0" text="" dxfId="31">
      <formula>E26="✔"</formula>
    </cfRule>
    <cfRule type="expression" priority="3" aboveAverage="0" equalAverage="0" bottom="0" percent="0" rank="0" text="" dxfId="32">
      <formula>E26="✘"</formula>
    </cfRule>
    <cfRule type="expression" priority="4" aboveAverage="0" equalAverage="0" bottom="0" percent="0" rank="0" text="" dxfId="33">
      <formula>E26="N/A"</formula>
    </cfRule>
  </conditionalFormatting>
  <conditionalFormatting sqref="G26:G37">
    <cfRule type="expression" priority="5" aboveAverage="0" equalAverage="0" bottom="0" percent="0" rank="0" text="" dxfId="23">
      <formula>LEFT(G26,3)="MET"</formula>
    </cfRule>
    <cfRule type="expression" priority="6" aboveAverage="0" equalAverage="0" bottom="0" percent="0" rank="0" text="" dxfId="25">
      <formula>LEFT(G26,7)="NOT MET"</formula>
    </cfRule>
    <cfRule type="expression" priority="7" aboveAverage="0" equalAverage="0" bottom="0" percent="0" rank="0" text="" dxfId="26">
      <formula>LEFT(G26,3)="N/A"</formula>
    </cfRule>
    <cfRule type="expression" priority="8" aboveAverage="0" equalAverage="0" bottom="0" percent="0" rank="0" text="" dxfId="34">
      <formula>LEFT(G26,7)="TO TICK"</formula>
    </cfRule>
  </conditionalFormatting>
  <conditionalFormatting sqref="D26:D37">
    <cfRule type="expression" priority="9" aboveAverage="0" equalAverage="0" bottom="0" percent="0" rank="0" text="" dxfId="35">
      <formula>D26="MET"</formula>
    </cfRule>
    <cfRule type="expression" priority="10" aboveAverage="0" equalAverage="0" bottom="0" percent="0" rank="0" text="" dxfId="36">
      <formula>D26="NOT MET"</formula>
    </cfRule>
  </conditionalFormatting>
  <conditionalFormatting sqref="C47">
    <cfRule type="dataBar" priority="11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{7E112D41-9448-4D16-8743-F5E42CE9F0D7}</x14:id>
        </ext>
      </extLst>
    </cfRule>
  </conditionalFormatting>
  <conditionalFormatting sqref="C48">
    <cfRule type="expression" priority="12" aboveAverage="0" equalAverage="0" bottom="0" percent="0" rank="0" text="" dxfId="19">
      <formula>LEFT($C$48,14)="CLEARED — FULL"</formula>
    </cfRule>
    <cfRule type="expression" priority="13" aboveAverage="0" equalAverage="0" bottom="0" percent="0" rank="0" text="" dxfId="37">
      <formula>LEFT($C$48,16)="CLEARED — STAGED"</formula>
    </cfRule>
    <cfRule type="expression" priority="14" aboveAverage="0" equalAverage="0" bottom="0" percent="0" rank="0" text="" dxfId="21">
      <formula>LEFT($C$48,11)="NOT CLEARED"</formula>
    </cfRule>
    <cfRule type="expression" priority="15" aboveAverage="0" equalAverage="0" bottom="0" percent="0" rank="0" text="" dxfId="14">
      <formula>LEFT($C$48,10)="INCOMPLETE"</formula>
    </cfRule>
  </conditionalFormatting>
  <conditionalFormatting sqref="C49">
    <cfRule type="expression" priority="16" aboveAverage="0" equalAverage="0" bottom="0" percent="0" rank="0" text="" dxfId="0">
      <formula>LEFT($C$49,11)="EXECUTE BUY"</formula>
    </cfRule>
    <cfRule type="expression" priority="17" aboveAverage="0" equalAverage="0" bottom="0" percent="0" rank="0" text="" dxfId="1">
      <formula>LEFT($C$49,12)="EXECUTE SELL"</formula>
    </cfRule>
    <cfRule type="expression" priority="18" aboveAverage="0" equalAverage="0" bottom="0" percent="0" rank="0" text="" dxfId="1">
      <formula>LEFT($C$49,6)="DO NOT"</formula>
    </cfRule>
    <cfRule type="expression" priority="19" aboveAverage="0" equalAverage="0" bottom="0" percent="0" rank="0" text="" dxfId="14">
      <formula>LEFT($C$49,7)="WAITING"</formula>
    </cfRule>
    <cfRule type="expression" priority="20" aboveAverage="0" equalAverage="0" bottom="0" percent="0" rank="0" text="" dxfId="16">
      <formula>LEFT($C$49,12)="NO EXECUTION"</formula>
    </cfRule>
  </conditionalFormatting>
  <dataValidations count="2">
    <dataValidation allowBlank="false" error="Choose ✔ (met), ✘ (not met) or N/A" errorStyle="stop" operator="between" prompt="Look at the chart, then choose ✔ if the rule is met, ✘ if not, N/A if not relevant." promptTitle="Your tick" showDropDown="false" showErrorMessage="true" showInputMessage="true" sqref="E26:E37" type="list">
      <formula1>"☐,✔,✘,N/A"</formula1>
      <formula2>0</formula2>
    </dataValidation>
    <dataValidation allowBlank="true" errorStyle="stop" operator="between" showDropDown="false" showErrorMessage="false" showInputMessage="false" sqref="F26:F37" type="list">
      <formula1>"Y,"</formula1>
      <formula2>0</formula2>
    </dataValidation>
  </dataValidations>
  <printOptions headings="false" gridLines="false" gridLinesSet="true" horizontalCentered="false" verticalCentered="false"/>
  <pageMargins left="0.35" right="0.3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112D41-9448-4D16-8743-F5E42CE9F0D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C47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5"/>
  </cols>
  <sheetData>
    <row r="1" customFormat="false" ht="19.7" hidden="false" customHeight="false" outlineLevel="0" collapsed="false">
      <c r="A1" s="118" t="str">
        <f aca="false">"Investor Summary — "&amp;IF('1. Company Info'!$B$6="","[Company]",'1. Company Info'!$B$6&amp;" ("&amp;'1. Company Info'!$B$7&amp;")")</f>
        <v>Investor Summary — [Company]</v>
      </c>
      <c r="B1" s="118"/>
      <c r="C1" s="118"/>
      <c r="D1" s="118"/>
      <c r="E1" s="118"/>
      <c r="F1" s="118"/>
    </row>
    <row r="2" customFormat="false" ht="15" hidden="false" customHeight="false" outlineLevel="0" collapsed="false">
      <c r="A2" s="119" t="str">
        <f aca="false">"A plain-English summary for everyday investors  •  Leago Rifumo Capital  •  Prices as of "&amp;IF('1. Company Info'!$B$17="","[date]",TEXT('1. Company Info'!$B$17,"d mmmm yyyy"))</f>
        <v>A plain-English summary for everyday investors  •  Leago Rifumo Capital  •  Prices as of [date]</v>
      </c>
      <c r="B2" s="119"/>
      <c r="C2" s="119"/>
      <c r="D2" s="119"/>
      <c r="E2" s="119"/>
      <c r="F2" s="119"/>
    </row>
    <row r="4" customFormat="false" ht="25.5" hidden="false" customHeight="true" outlineLevel="0" collapsed="false">
      <c r="A4" s="120" t="s">
        <v>1244</v>
      </c>
      <c r="B4" s="120"/>
      <c r="C4" s="84" t="s">
        <v>1245</v>
      </c>
      <c r="D4" s="121" t="str">
        <f aca="false">IF('1. Company Info'!$B$16="","",TEXT('1. Company Info'!$B$16,"#,##0.00")&amp;" "&amp;'1. Company Info'!$B$10)</f>
        <v/>
      </c>
      <c r="E4" s="122" t="s">
        <v>1246</v>
      </c>
      <c r="F4" s="122"/>
    </row>
    <row r="5" customFormat="false" ht="25.5" hidden="false" customHeight="true" outlineLevel="0" collapsed="false">
      <c r="A5" s="123" t="str">
        <f aca="false">'5. Rating Summary'!C37</f>
        <v>INCOMPLETE</v>
      </c>
      <c r="B5" s="123"/>
      <c r="C5" s="84" t="s">
        <v>1247</v>
      </c>
      <c r="D5" s="121" t="str">
        <f aca="false">IF('4. Valuation'!$B$64="","",TEXT('4. Valuation'!$B$64,"#,##0.00")&amp;" "&amp;'1. Company Info'!$B$10)</f>
        <v/>
      </c>
      <c r="E5" s="124" t="s">
        <v>1248</v>
      </c>
      <c r="F5" s="124"/>
    </row>
    <row r="6" customFormat="false" ht="25.5" hidden="false" customHeight="true" outlineLevel="0" collapsed="false">
      <c r="A6" s="123"/>
      <c r="B6" s="123"/>
      <c r="C6" s="84" t="s">
        <v>1249</v>
      </c>
      <c r="D6" s="121" t="str">
        <f aca="false">IF('4. Valuation'!$C$64="","",TEXT('4. Valuation'!$C$64,"+0%;-0%"))</f>
        <v/>
      </c>
      <c r="E6" s="124"/>
      <c r="F6" s="124"/>
    </row>
    <row r="7" customFormat="false" ht="25.5" hidden="false" customHeight="true" outlineLevel="0" collapsed="false">
      <c r="A7" s="123"/>
      <c r="B7" s="123"/>
      <c r="C7" s="84" t="s">
        <v>1250</v>
      </c>
      <c r="D7" s="121" t="str">
        <f aca="false">'6. Fundamentals Scorecard'!$I$5&amp;" ("&amp;TEXT('6. Fundamentals Scorecard'!$I$4,"0%")&amp;")"</f>
        <v>Not enough data ()</v>
      </c>
      <c r="E7" s="124"/>
      <c r="F7" s="124"/>
    </row>
    <row r="9" customFormat="false" ht="18" hidden="false" customHeight="true" outlineLevel="0" collapsed="false">
      <c r="A9" s="125" t="s">
        <v>1251</v>
      </c>
      <c r="B9" s="125"/>
      <c r="C9" s="125"/>
      <c r="D9" s="125"/>
      <c r="E9" s="125"/>
      <c r="F9" s="125"/>
    </row>
    <row r="10" customFormat="false" ht="48" hidden="false" customHeight="true" outlineLevel="0" collapsed="false">
      <c r="A10" s="124" t="s">
        <v>1252</v>
      </c>
      <c r="B10" s="124"/>
      <c r="C10" s="124"/>
      <c r="D10" s="124"/>
      <c r="E10" s="124"/>
      <c r="F10" s="124"/>
    </row>
    <row r="12" customFormat="false" ht="18" hidden="false" customHeight="true" outlineLevel="0" collapsed="false">
      <c r="A12" s="125" t="s">
        <v>1253</v>
      </c>
      <c r="B12" s="125"/>
      <c r="C12" s="125"/>
      <c r="D12" s="125"/>
      <c r="E12" s="125"/>
      <c r="F12" s="125"/>
    </row>
    <row r="13" customFormat="false" ht="33.75" hidden="false" customHeight="true" outlineLevel="0" collapsed="false">
      <c r="A13" s="124" t="s">
        <v>1254</v>
      </c>
      <c r="B13" s="124"/>
      <c r="C13" s="124"/>
      <c r="D13" s="124"/>
      <c r="E13" s="124"/>
      <c r="F13" s="124"/>
    </row>
    <row r="14" customFormat="false" ht="33.75" hidden="false" customHeight="true" outlineLevel="0" collapsed="false">
      <c r="A14" s="124" t="s">
        <v>1255</v>
      </c>
      <c r="B14" s="124"/>
      <c r="C14" s="124"/>
      <c r="D14" s="124"/>
      <c r="E14" s="124"/>
      <c r="F14" s="124"/>
    </row>
    <row r="15" customFormat="false" ht="33.75" hidden="false" customHeight="true" outlineLevel="0" collapsed="false">
      <c r="A15" s="124" t="s">
        <v>1256</v>
      </c>
      <c r="B15" s="124"/>
      <c r="C15" s="124"/>
      <c r="D15" s="124"/>
      <c r="E15" s="124"/>
      <c r="F15" s="124"/>
    </row>
    <row r="17" customFormat="false" ht="18" hidden="false" customHeight="true" outlineLevel="0" collapsed="false">
      <c r="A17" s="125" t="s">
        <v>1257</v>
      </c>
      <c r="B17" s="125"/>
      <c r="C17" s="125"/>
      <c r="D17" s="125"/>
      <c r="E17" s="125"/>
      <c r="F17" s="125"/>
    </row>
    <row r="18" customFormat="false" ht="33.75" hidden="false" customHeight="true" outlineLevel="0" collapsed="false">
      <c r="A18" s="124" t="s">
        <v>1258</v>
      </c>
      <c r="B18" s="124"/>
      <c r="C18" s="124"/>
      <c r="D18" s="124"/>
      <c r="E18" s="124"/>
      <c r="F18" s="124"/>
    </row>
    <row r="19" customFormat="false" ht="33.75" hidden="false" customHeight="true" outlineLevel="0" collapsed="false">
      <c r="A19" s="124" t="s">
        <v>1259</v>
      </c>
      <c r="B19" s="124"/>
      <c r="C19" s="124"/>
      <c r="D19" s="124"/>
      <c r="E19" s="124"/>
      <c r="F19" s="124"/>
    </row>
    <row r="20" customFormat="false" ht="33.75" hidden="false" customHeight="true" outlineLevel="0" collapsed="false">
      <c r="A20" s="124" t="s">
        <v>1260</v>
      </c>
      <c r="B20" s="124"/>
      <c r="C20" s="124"/>
      <c r="D20" s="124"/>
      <c r="E20" s="124"/>
      <c r="F20" s="124"/>
    </row>
    <row r="22" customFormat="false" ht="18" hidden="false" customHeight="true" outlineLevel="0" collapsed="false">
      <c r="A22" s="125" t="s">
        <v>1261</v>
      </c>
      <c r="B22" s="125"/>
      <c r="C22" s="125"/>
      <c r="D22" s="125"/>
      <c r="E22" s="125"/>
      <c r="F22" s="125"/>
    </row>
    <row r="23" customFormat="false" ht="43.5" hidden="false" customHeight="true" outlineLevel="0" collapsed="false">
      <c r="A23" s="126" t="str">
        <f aca="false">IF(OR('6. Fundamentals Scorecard'!$D$9="",'4. Valuation'!$B$12=""),"[Fills in automatically once Step 4 peers and Step 1 EPS are entered.]","Think of buying a business that earns 1 a year in profit. This company costs about "&amp;TEXT('6. Fundamentals Scorecard'!$D$9,"0")&amp;" (its price is "&amp;TEXT('6. Fundamentals Scorecard'!$D$9,"0.0")&amp;" times next year's expected profit per share). Similar companies cost about "&amp;TEXT('4. Valuation'!$B$12,"0")&amp;". "&amp;IF('6. Fundamentals Scorecard'!$D$9&lt;'4. Valuation'!$B$12,"So it is cheaper than its peers — the question is whether that discount is deserved.","So it is more expensive than its peers — it needs to grow faster to justify that."))</f>
        <v>[Fills in automatically once Step 4 peers and Step 1 EPS are entered.]</v>
      </c>
      <c r="B23" s="126"/>
      <c r="C23" s="126"/>
      <c r="D23" s="126"/>
      <c r="E23" s="126"/>
      <c r="F23" s="126"/>
    </row>
    <row r="24" customFormat="false" ht="30" hidden="false" customHeight="true" outlineLevel="0" collapsed="false">
      <c r="A24" s="126" t="str">
        <f aca="false">IF('6. Fundamentals Scorecard'!$D$14="","","Another way to see it: for every 100 invested in the shares, the business produces about "&amp;TEXT('6. Fundamentals Scorecard'!$D$14*100,"0")&amp;" of spare cash a year (free cash flow), compared with about "&amp;TEXT('4. Valuation'!$B$23*100,"0.0")&amp;" a year from a safe government bond.")</f>
        <v/>
      </c>
      <c r="B24" s="126"/>
      <c r="C24" s="126"/>
      <c r="D24" s="126"/>
      <c r="E24" s="126"/>
      <c r="F24" s="126"/>
    </row>
    <row r="26" customFormat="false" ht="18" hidden="false" customHeight="true" outlineLevel="0" collapsed="false">
      <c r="A26" s="125" t="s">
        <v>1262</v>
      </c>
      <c r="B26" s="125"/>
      <c r="C26" s="125"/>
      <c r="D26" s="125"/>
      <c r="E26" s="125"/>
      <c r="F26" s="125"/>
    </row>
    <row r="27" customFormat="false" ht="15" hidden="false" customHeight="true" outlineLevel="0" collapsed="false">
      <c r="A27" s="91" t="s">
        <v>972</v>
      </c>
      <c r="B27" s="91" t="s">
        <v>973</v>
      </c>
      <c r="C27" s="91" t="s">
        <v>1263</v>
      </c>
      <c r="D27" s="91" t="s">
        <v>1264</v>
      </c>
      <c r="E27" s="91"/>
      <c r="F27" s="91"/>
    </row>
    <row r="28" customFormat="false" ht="30" hidden="false" customHeight="true" outlineLevel="0" collapsed="false">
      <c r="A28" s="127" t="s">
        <v>1265</v>
      </c>
      <c r="B28" s="128" t="str">
        <f aca="false">IF('4. Valuation'!$B$69="","",TEXT('4. Valuation'!$B$69,"#,##0.00")&amp;" "&amp;'1. Company Info'!$B$10)</f>
        <v/>
      </c>
      <c r="C28" s="128" t="str">
        <f aca="false">IF('4. Valuation'!$C$69="","",TEXT('4. Valuation'!$C$69,"+0%;-0%"))</f>
        <v/>
      </c>
      <c r="D28" s="115" t="s">
        <v>1266</v>
      </c>
      <c r="E28" s="115"/>
      <c r="F28" s="115"/>
    </row>
    <row r="29" customFormat="false" ht="30" hidden="false" customHeight="true" outlineLevel="0" collapsed="false">
      <c r="A29" s="129" t="s">
        <v>1267</v>
      </c>
      <c r="B29" s="128" t="str">
        <f aca="false">IF('4. Valuation'!$B$70="","",TEXT('4. Valuation'!$B$70,"#,##0.00")&amp;" "&amp;'1. Company Info'!$B$10)</f>
        <v/>
      </c>
      <c r="C29" s="128" t="str">
        <f aca="false">IF('4. Valuation'!$C$70="","",TEXT('4. Valuation'!$C$70,"+0%;-0%"))</f>
        <v/>
      </c>
      <c r="D29" s="115" t="s">
        <v>1266</v>
      </c>
      <c r="E29" s="115"/>
      <c r="F29" s="115"/>
    </row>
    <row r="30" customFormat="false" ht="30" hidden="false" customHeight="true" outlineLevel="0" collapsed="false">
      <c r="A30" s="130" t="s">
        <v>1268</v>
      </c>
      <c r="B30" s="128" t="str">
        <f aca="false">IF('4. Valuation'!$B$71="","",TEXT('4. Valuation'!$B$71,"#,##0.00")&amp;" "&amp;'1. Company Info'!$B$10)</f>
        <v/>
      </c>
      <c r="C30" s="128" t="str">
        <f aca="false">IF('4. Valuation'!$C$71="","",TEXT('4. Valuation'!$C$71,"+0%;-0%"))</f>
        <v/>
      </c>
      <c r="D30" s="115" t="s">
        <v>1266</v>
      </c>
      <c r="E30" s="115"/>
      <c r="F30" s="115"/>
    </row>
    <row r="32" customFormat="false" ht="18" hidden="false" customHeight="true" outlineLevel="0" collapsed="false">
      <c r="A32" s="125" t="s">
        <v>1269</v>
      </c>
      <c r="B32" s="125"/>
      <c r="C32" s="125"/>
      <c r="D32" s="125"/>
      <c r="E32" s="125"/>
      <c r="F32" s="125"/>
    </row>
    <row r="33" customFormat="false" ht="57.75" hidden="false" customHeight="true" outlineLevel="0" collapsed="false">
      <c r="A33" s="124" t="s">
        <v>1270</v>
      </c>
      <c r="B33" s="124"/>
      <c r="C33" s="124"/>
      <c r="D33" s="124"/>
      <c r="E33" s="124"/>
      <c r="F33" s="124"/>
    </row>
    <row r="35" customFormat="false" ht="18" hidden="false" customHeight="true" outlineLevel="0" collapsed="false">
      <c r="A35" s="125" t="s">
        <v>1271</v>
      </c>
      <c r="B35" s="125"/>
      <c r="C35" s="125"/>
      <c r="D35" s="125"/>
      <c r="E35" s="125"/>
      <c r="F35" s="125"/>
    </row>
    <row r="36" customFormat="false" ht="30" hidden="false" customHeight="true" outlineLevel="0" collapsed="false">
      <c r="A36" s="124" t="s">
        <v>1272</v>
      </c>
      <c r="B36" s="124"/>
      <c r="C36" s="124"/>
      <c r="D36" s="124"/>
      <c r="E36" s="124"/>
      <c r="F36" s="124"/>
    </row>
    <row r="37" customFormat="false" ht="30" hidden="false" customHeight="true" outlineLevel="0" collapsed="false">
      <c r="A37" s="124" t="s">
        <v>1273</v>
      </c>
      <c r="B37" s="124"/>
      <c r="C37" s="124"/>
      <c r="D37" s="124"/>
      <c r="E37" s="124"/>
      <c r="F37" s="124"/>
    </row>
    <row r="38" customFormat="false" ht="30" hidden="false" customHeight="true" outlineLevel="0" collapsed="false">
      <c r="A38" s="124" t="s">
        <v>1274</v>
      </c>
      <c r="B38" s="124"/>
      <c r="C38" s="124"/>
      <c r="D38" s="124"/>
      <c r="E38" s="124"/>
      <c r="F38" s="124"/>
    </row>
    <row r="40" customFormat="false" ht="18" hidden="false" customHeight="true" outlineLevel="0" collapsed="false">
      <c r="A40" s="125" t="s">
        <v>1275</v>
      </c>
      <c r="B40" s="125"/>
      <c r="C40" s="125"/>
      <c r="D40" s="125"/>
      <c r="E40" s="125"/>
      <c r="F40" s="125"/>
    </row>
    <row r="41" customFormat="false" ht="15.75" hidden="false" customHeight="true" outlineLevel="0" collapsed="false">
      <c r="A41" s="131" t="s">
        <v>1276</v>
      </c>
      <c r="B41" s="131"/>
      <c r="C41" s="132" t="str">
        <f aca="false">IF('2. Financials'!$E$7="","",TEXT('2. Financials'!$E$7/1000,"#,##0.0")&amp;" bn "&amp;'1. Company Info'!$B$10&amp;", growing "&amp;TEXT('6. Fundamentals Scorecard'!$D$17,"0%")&amp;" a year")</f>
        <v/>
      </c>
      <c r="D41" s="132"/>
      <c r="E41" s="132"/>
      <c r="F41" s="132"/>
    </row>
    <row r="42" customFormat="false" ht="15.75" hidden="false" customHeight="true" outlineLevel="0" collapsed="false">
      <c r="A42" s="131" t="s">
        <v>1277</v>
      </c>
      <c r="B42" s="131"/>
      <c r="C42" s="132" t="str">
        <f aca="false">IF('6. Fundamentals Scorecard'!$D$27="","","About "&amp;TEXT('6. Fundamentals Scorecard'!$D$27*100,"0")&amp;" (free cash flow margin)")</f>
        <v/>
      </c>
      <c r="D42" s="132"/>
      <c r="E42" s="132"/>
      <c r="F42" s="132"/>
    </row>
    <row r="43" customFormat="false" ht="15.75" hidden="false" customHeight="true" outlineLevel="0" collapsed="false">
      <c r="A43" s="131" t="s">
        <v>1278</v>
      </c>
      <c r="B43" s="131"/>
      <c r="C43" s="132" t="str">
        <f aca="false">IF('6. Fundamentals Scorecard'!$D$31="","",IF('2. Financials'!$E$43&lt;=0,"More cash than debt","Low: "&amp;TEXT('6. Fundamentals Scorecard'!$D$31,"0.0")&amp;" years of profit would repay it"))</f>
        <v/>
      </c>
      <c r="D43" s="132"/>
      <c r="E43" s="132"/>
      <c r="F43" s="132"/>
    </row>
    <row r="44" customFormat="false" ht="15.75" hidden="false" customHeight="true" outlineLevel="0" collapsed="false">
      <c r="A44" s="131" t="s">
        <v>1279</v>
      </c>
      <c r="B44" s="131"/>
      <c r="C44" s="132" t="str">
        <f aca="false">IF('1. Company Info'!$B$20="","","Beta "&amp;TEXT('1. Company Info'!$B$20,"0.00")&amp;": "&amp;IF('1. Company Info'!$B$20&gt;1.2,"moves more than the market — expect big swings",IF('1. Company Info'!$B$20&lt;0.8,"steadier than the market","moves roughly with the market")))</f>
        <v/>
      </c>
      <c r="D44" s="132"/>
      <c r="E44" s="132"/>
      <c r="F44" s="132"/>
    </row>
    <row r="45" customFormat="false" ht="15.75" hidden="false" customHeight="true" outlineLevel="0" collapsed="false">
      <c r="A45" s="131" t="s">
        <v>1280</v>
      </c>
      <c r="B45" s="131"/>
      <c r="C45" s="132" t="str">
        <f aca="false">IF('1. Company Info'!$B$16="","",IF(N('2. Financials'!$E$14)=0,"None — returns cash by buying back its own shares instead","Yield of "&amp;TEXT('2. Financials'!$E$14/'1. Company Info'!$B$16,"0.0%")&amp;" a year"))</f>
        <v/>
      </c>
      <c r="D45" s="132"/>
      <c r="E45" s="132"/>
      <c r="F45" s="132"/>
    </row>
    <row r="46" customFormat="false" ht="15.75" hidden="false" customHeight="true" outlineLevel="0" collapsed="false">
      <c r="A46" s="131" t="s">
        <v>1281</v>
      </c>
      <c r="B46" s="131"/>
      <c r="C46" s="132" t="str">
        <f aca="false">'6. Fundamentals Scorecard'!$G$4&amp;" great, "&amp;'6. Fundamentals Scorecard'!$G$5&amp;" OK, "&amp;'6. Fundamentals Scorecard'!$G$6&amp;" weak (out of "&amp;('6. Fundamentals Scorecard'!$G$4+'6. Fundamentals Scorecard'!$G$5+'6. Fundamentals Scorecard'!$G$6)&amp;" ratios)"</f>
        <v>0 great, 0 OK, 0 weak (out of 0 ratios)</v>
      </c>
      <c r="D46" s="132"/>
      <c r="E46" s="132"/>
      <c r="F46" s="132"/>
    </row>
    <row r="48" customFormat="false" ht="18" hidden="false" customHeight="true" outlineLevel="0" collapsed="false">
      <c r="A48" s="125" t="s">
        <v>1282</v>
      </c>
      <c r="B48" s="125"/>
      <c r="C48" s="125"/>
      <c r="D48" s="125"/>
      <c r="E48" s="125"/>
      <c r="F48" s="125"/>
    </row>
    <row r="49" customFormat="false" ht="43.5" hidden="false" customHeight="true" outlineLevel="0" collapsed="false">
      <c r="A49" s="133" t="s">
        <v>1283</v>
      </c>
      <c r="B49" s="133"/>
      <c r="C49" s="133"/>
      <c r="D49" s="133"/>
      <c r="E49" s="133"/>
      <c r="F49" s="133"/>
    </row>
    <row r="50" customFormat="false" ht="30" hidden="false" customHeight="true" outlineLevel="0" collapsed="false">
      <c r="A50" s="133" t="s">
        <v>1284</v>
      </c>
      <c r="B50" s="133"/>
      <c r="C50" s="133"/>
      <c r="D50" s="133"/>
      <c r="E50" s="133"/>
      <c r="F50" s="133"/>
    </row>
    <row r="52" customFormat="false" ht="27.75" hidden="false" customHeight="true" outlineLevel="0" collapsed="false">
      <c r="A52" s="98" t="s">
        <v>1285</v>
      </c>
      <c r="B52" s="98"/>
      <c r="C52" s="98"/>
      <c r="D52" s="98"/>
      <c r="E52" s="98"/>
      <c r="F52" s="98"/>
    </row>
  </sheetData>
  <mergeCells count="47">
    <mergeCell ref="A1:F1"/>
    <mergeCell ref="A2:F2"/>
    <mergeCell ref="A4:B4"/>
    <mergeCell ref="E4:F4"/>
    <mergeCell ref="A5:B7"/>
    <mergeCell ref="E5:F7"/>
    <mergeCell ref="A9:F9"/>
    <mergeCell ref="A10:F10"/>
    <mergeCell ref="A12:F12"/>
    <mergeCell ref="A13:F13"/>
    <mergeCell ref="A14:F14"/>
    <mergeCell ref="A15:F15"/>
    <mergeCell ref="A17:F17"/>
    <mergeCell ref="A18:F18"/>
    <mergeCell ref="A19:F19"/>
    <mergeCell ref="A20:F20"/>
    <mergeCell ref="A22:F22"/>
    <mergeCell ref="A23:F23"/>
    <mergeCell ref="A24:F24"/>
    <mergeCell ref="A26:F26"/>
    <mergeCell ref="D27:F27"/>
    <mergeCell ref="D28:F28"/>
    <mergeCell ref="D29:F29"/>
    <mergeCell ref="D30:F30"/>
    <mergeCell ref="A32:F32"/>
    <mergeCell ref="A33:F33"/>
    <mergeCell ref="A35:F35"/>
    <mergeCell ref="A36:F36"/>
    <mergeCell ref="A37:F37"/>
    <mergeCell ref="A38:F38"/>
    <mergeCell ref="A40:F40"/>
    <mergeCell ref="A41:B41"/>
    <mergeCell ref="C41:F41"/>
    <mergeCell ref="A42:B42"/>
    <mergeCell ref="C42:F42"/>
    <mergeCell ref="A43:B43"/>
    <mergeCell ref="C43:F43"/>
    <mergeCell ref="A44:B44"/>
    <mergeCell ref="C44:F44"/>
    <mergeCell ref="A45:B45"/>
    <mergeCell ref="C45:F45"/>
    <mergeCell ref="A46:B46"/>
    <mergeCell ref="C46:F46"/>
    <mergeCell ref="A48:F48"/>
    <mergeCell ref="A49:F49"/>
    <mergeCell ref="A50:F50"/>
    <mergeCell ref="A52:F52"/>
  </mergeCells>
  <conditionalFormatting sqref="A5">
    <cfRule type="expression" priority="2" aboveAverage="0" equalAverage="0" bottom="0" percent="0" rank="0" text="" dxfId="19">
      <formula>$A$5="BUY"</formula>
    </cfRule>
    <cfRule type="expression" priority="3" aboveAverage="0" equalAverage="0" bottom="0" percent="0" rank="0" text="" dxfId="38">
      <formula>$A$5="HOLD"</formula>
    </cfRule>
    <cfRule type="expression" priority="4" aboveAverage="0" equalAverage="0" bottom="0" percent="0" rank="0" text="" dxfId="21">
      <formula>$A$5="SELL"</formula>
    </cfRule>
    <cfRule type="expression" priority="5" aboveAverage="0" equalAverage="0" bottom="0" percent="0" rank="0" text="" dxfId="22">
      <formula>$A$5="INCOMPLETE"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2.5"/>
  </cols>
  <sheetData>
    <row r="1" customFormat="false" ht="67.5" hidden="false" customHeight="true" outlineLevel="0" collapsed="false">
      <c r="C1" s="134" t="str">
        <f aca="false">"Analyst Summary"&amp;CHAR(10)&amp;IF('1. Company Info'!$B$6="","[Company]",'1. Company Info'!$B$6&amp;" ("&amp;'1. Company Info'!$B$7&amp;", "&amp;'1. Company Info'!$B$8&amp;")")</f>
        <v>Analyst Summary
[Company]</v>
      </c>
      <c r="D1" s="134"/>
      <c r="E1" s="134"/>
      <c r="F1" s="134"/>
      <c r="G1" s="135" t="s">
        <v>1286</v>
      </c>
      <c r="H1" s="135"/>
    </row>
    <row r="2" customFormat="false" ht="25.5" hidden="false" customHeight="true" outlineLevel="0" collapsed="false">
      <c r="A2" s="80" t="str">
        <f aca="false">"Prepared by: "&amp;IF('1. Company Info'!$B$12="","[analyst]",'1. Company Info'!$B$12)&amp;"   |   Reviewer: "&amp;IF('1. Company Info'!$B$13="","[reviewer]",'1. Company Info'!$B$13)&amp;"   |   Price date: "&amp;IF('1. Company Info'!$B$17="","[date]",TEXT('1. Company Info'!$B$17,"d mmm yyyy"))&amp;"   |   For: Investment Committee   |   Sector: "&amp;'1. Company Info'!$B$9</f>
        <v>Prepared by: [analyst]   |   Reviewer: [reviewer]   |   Price date: [date]   |   For: Investment Committee   |   Sector: </v>
      </c>
      <c r="B2" s="80"/>
      <c r="C2" s="80"/>
      <c r="D2" s="80"/>
      <c r="E2" s="80"/>
      <c r="F2" s="80"/>
      <c r="G2" s="80"/>
      <c r="H2" s="80"/>
    </row>
    <row r="3" customFormat="false" ht="6" hidden="false" customHeight="true" outlineLevel="0" collapsed="false">
      <c r="A3" s="136"/>
      <c r="B3" s="136"/>
      <c r="C3" s="136"/>
      <c r="D3" s="136"/>
      <c r="E3" s="136"/>
      <c r="F3" s="136"/>
      <c r="G3" s="136"/>
      <c r="H3" s="136"/>
    </row>
    <row r="4" customFormat="false" ht="13.5" hidden="false" customHeight="true" outlineLevel="0" collapsed="false">
      <c r="A4" s="137" t="s">
        <v>1287</v>
      </c>
      <c r="B4" s="137" t="s">
        <v>1288</v>
      </c>
      <c r="C4" s="137" t="s">
        <v>1289</v>
      </c>
      <c r="D4" s="137" t="s">
        <v>1290</v>
      </c>
      <c r="E4" s="137" t="s">
        <v>1291</v>
      </c>
      <c r="F4" s="137" t="s">
        <v>1031</v>
      </c>
      <c r="G4" s="137" t="s">
        <v>1292</v>
      </c>
      <c r="H4" s="137" t="s">
        <v>1293</v>
      </c>
    </row>
    <row r="5" customFormat="false" ht="21.75" hidden="false" customHeight="true" outlineLevel="0" collapsed="false">
      <c r="A5" s="138" t="str">
        <f aca="false">IF('5. Rating Summary'!C37="","",'5. Rating Summary'!C37)</f>
        <v>INCOMPLETE</v>
      </c>
      <c r="B5" s="139" t="str">
        <f aca="false">IF('4. Valuation'!B64="","",'4. Valuation'!B64)</f>
        <v/>
      </c>
      <c r="C5" s="139" t="str">
        <f aca="false">IF('1. Company Info'!$B$16="","",'1. Company Info'!$B$16)</f>
        <v/>
      </c>
      <c r="D5" s="140" t="str">
        <f aca="false">IF('4. Valuation'!C64="","",'4. Valuation'!C64)</f>
        <v/>
      </c>
      <c r="E5" s="139" t="str">
        <f aca="false">IF('4. Valuation'!B72="","",'4. Valuation'!B72)</f>
        <v/>
      </c>
      <c r="F5" s="141" t="str">
        <f aca="false">IF('5. Rating Summary'!C38="","",'5. Rating Summary'!C38)</f>
        <v>-</v>
      </c>
      <c r="G5" s="141" t="str">
        <f aca="false">IF('5. Rating Summary'!C34="","",TEXT('5. Rating Summary'!C34,"0.00")&amp;" / 5")</f>
        <v/>
      </c>
      <c r="H5" s="141" t="str">
        <f aca="false">IF('6. Fundamentals Scorecard'!I5&amp;" "&amp;TEXT('6. Fundamentals Scorecard'!I4,"0%")="","",'6. Fundamentals Scorecard'!I5&amp;" "&amp;TEXT('6. Fundamentals Scorecard'!I4,"0%"))</f>
        <v>Not enough data </v>
      </c>
    </row>
    <row r="6" customFormat="false" ht="13.5" hidden="false" customHeight="true" outlineLevel="0" collapsed="false">
      <c r="A6" s="137" t="s">
        <v>1294</v>
      </c>
      <c r="B6" s="137" t="s">
        <v>1295</v>
      </c>
      <c r="C6" s="137" t="s">
        <v>1296</v>
      </c>
      <c r="D6" s="137" t="s">
        <v>1297</v>
      </c>
      <c r="E6" s="137" t="s">
        <v>282</v>
      </c>
      <c r="F6" s="137" t="s">
        <v>123</v>
      </c>
      <c r="G6" s="137" t="s">
        <v>1298</v>
      </c>
      <c r="H6" s="137" t="s">
        <v>150</v>
      </c>
    </row>
    <row r="7" customFormat="false" ht="21.75" hidden="false" customHeight="true" outlineLevel="0" collapsed="false">
      <c r="A7" s="142" t="str">
        <f aca="false">IFERROR('1. Company Info'!B29/1000,"")</f>
        <v/>
      </c>
      <c r="B7" s="142" t="str">
        <f aca="false">IFERROR('1. Company Info'!B31/1000,"")</f>
        <v/>
      </c>
      <c r="C7" s="143" t="str">
        <f aca="false">IF('4. Valuation'!B13="","",'4. Valuation'!B13)</f>
        <v/>
      </c>
      <c r="D7" s="143" t="str">
        <f aca="false">IF('4. Valuation'!B12="","",'4. Valuation'!B12)</f>
        <v/>
      </c>
      <c r="E7" s="143" t="str">
        <f aca="false">IF('1. Company Info'!B34="","",'1. Company Info'!B34)</f>
        <v/>
      </c>
      <c r="F7" s="144" t="str">
        <f aca="false">IF('1. Company Info'!B35="","",'1. Company Info'!B35)</f>
        <v/>
      </c>
      <c r="G7" s="139" t="str">
        <f aca="false">IF('1. Company Info'!$B$24="","",'1. Company Info'!$B$24)</f>
        <v/>
      </c>
      <c r="H7" s="145" t="str">
        <f aca="false">IF('1. Company Info'!$B$25="","",'1. Company Info'!$B$25)</f>
        <v/>
      </c>
    </row>
    <row r="9" customFormat="false" ht="15.75" hidden="false" customHeight="true" outlineLevel="0" collapsed="false">
      <c r="A9" s="83" t="s">
        <v>1299</v>
      </c>
      <c r="B9" s="83"/>
      <c r="C9" s="83"/>
      <c r="D9" s="83"/>
      <c r="E9" s="83"/>
      <c r="F9" s="83"/>
      <c r="G9" s="83"/>
      <c r="H9" s="83"/>
    </row>
    <row r="10" customFormat="false" ht="27.75" hidden="false" customHeight="true" outlineLevel="0" collapsed="false">
      <c r="A10" s="124" t="s">
        <v>1300</v>
      </c>
      <c r="B10" s="124"/>
      <c r="C10" s="124"/>
      <c r="D10" s="124"/>
      <c r="E10" s="124"/>
      <c r="F10" s="124"/>
      <c r="G10" s="124"/>
      <c r="H10" s="124"/>
    </row>
    <row r="11" customFormat="false" ht="27.75" hidden="false" customHeight="true" outlineLevel="0" collapsed="false">
      <c r="A11" s="124" t="s">
        <v>1301</v>
      </c>
      <c r="B11" s="124"/>
      <c r="C11" s="124"/>
      <c r="D11" s="124"/>
      <c r="E11" s="124"/>
      <c r="F11" s="124"/>
      <c r="G11" s="124"/>
      <c r="H11" s="124"/>
    </row>
    <row r="12" customFormat="false" ht="27.75" hidden="false" customHeight="true" outlineLevel="0" collapsed="false">
      <c r="A12" s="124" t="s">
        <v>1302</v>
      </c>
      <c r="B12" s="124"/>
      <c r="C12" s="124"/>
      <c r="D12" s="124"/>
      <c r="E12" s="124"/>
      <c r="F12" s="124"/>
      <c r="G12" s="124"/>
      <c r="H12" s="124"/>
    </row>
    <row r="14" customFormat="false" ht="15.75" hidden="false" customHeight="true" outlineLevel="0" collapsed="false">
      <c r="A14" s="83" t="s">
        <v>1303</v>
      </c>
      <c r="B14" s="83"/>
      <c r="C14" s="83"/>
      <c r="D14" s="83"/>
      <c r="E14" s="83"/>
      <c r="F14" s="83"/>
      <c r="G14" s="83"/>
      <c r="H14" s="83"/>
    </row>
    <row r="15" customFormat="false" ht="15" hidden="false" customHeight="true" outlineLevel="0" collapsed="false">
      <c r="A15" s="146" t="s">
        <v>959</v>
      </c>
      <c r="B15" s="146" t="s">
        <v>1304</v>
      </c>
      <c r="C15" s="146" t="s">
        <v>1305</v>
      </c>
      <c r="D15" s="146" t="s">
        <v>962</v>
      </c>
      <c r="E15" s="147" t="s">
        <v>1306</v>
      </c>
      <c r="F15" s="147"/>
      <c r="G15" s="147"/>
      <c r="H15" s="147"/>
    </row>
    <row r="16" customFormat="false" ht="24" hidden="false" customHeight="true" outlineLevel="0" collapsed="false">
      <c r="A16" s="148" t="s">
        <v>280</v>
      </c>
      <c r="B16" s="149" t="str">
        <f aca="false">'4. Valuation'!B61</f>
        <v/>
      </c>
      <c r="C16" s="150" t="str">
        <f aca="false">'4. Valuation'!C61</f>
        <v/>
      </c>
      <c r="D16" s="151" t="n">
        <f aca="false">'4. Valuation'!D61</f>
        <v>0.4</v>
      </c>
      <c r="E16" s="152" t="str">
        <f aca="false">IF('4. Valuation'!B18="","",TEXT('4. Valuation'!B18,"0.0")&amp;"x NTM EPS of "&amp;TEXT('4. Valuation'!B17,"0.00")&amp;" (peer median "&amp;TEXT('4. Valuation'!B12,"0.0")&amp;"x)")</f>
        <v/>
      </c>
      <c r="F16" s="152"/>
      <c r="G16" s="152"/>
      <c r="H16" s="152"/>
    </row>
    <row r="17" customFormat="false" ht="24" hidden="false" customHeight="true" outlineLevel="0" collapsed="false">
      <c r="A17" s="148" t="s">
        <v>138</v>
      </c>
      <c r="B17" s="149" t="str">
        <f aca="false">'4. Valuation'!B62</f>
        <v/>
      </c>
      <c r="C17" s="150" t="str">
        <f aca="false">'4. Valuation'!C62</f>
        <v/>
      </c>
      <c r="D17" s="151" t="n">
        <f aca="false">'4. Valuation'!D62</f>
        <v>0.3</v>
      </c>
      <c r="E17" s="152" t="str">
        <f aca="false">IF('4. Valuation'!B32="","","WACC "&amp;TEXT('4. Valuation'!B32,"0.0%")&amp;", terminal g "&amp;TEXT('4. Valuation'!B33,"0.0%")&amp;", FCF margin "&amp;TEXT('4. Valuation'!B34,"0%")&amp;", rev. growth "&amp;TEXT('4. Valuation'!C37,"0%")&amp;"→"&amp;TEXT('4. Valuation'!G37,"0%")&amp;"; TV "&amp;TEXT('4. Valuation'!B51,"0%")&amp;" of EV")</f>
        <v/>
      </c>
      <c r="F17" s="152"/>
      <c r="G17" s="152"/>
      <c r="H17" s="152"/>
    </row>
    <row r="18" customFormat="false" ht="24" hidden="false" customHeight="true" outlineLevel="0" collapsed="false">
      <c r="A18" s="148" t="s">
        <v>282</v>
      </c>
      <c r="B18" s="149" t="str">
        <f aca="false">'4. Valuation'!B63</f>
        <v/>
      </c>
      <c r="C18" s="150" t="str">
        <f aca="false">'4. Valuation'!C63</f>
        <v/>
      </c>
      <c r="D18" s="151" t="n">
        <f aca="false">'4. Valuation'!D63</f>
        <v>0.3</v>
      </c>
      <c r="E18" s="152" t="str">
        <f aca="false">IF('4. Valuation'!B55="","",TEXT('4. Valuation'!B55,"0.0")&amp;"x next-year EBITDA (peer median "&amp;TEXT('4. Valuation'!C12,"0.0")&amp;"x)")</f>
        <v/>
      </c>
      <c r="F18" s="152"/>
      <c r="G18" s="152"/>
      <c r="H18" s="152"/>
    </row>
    <row r="19" customFormat="false" ht="24" hidden="false" customHeight="true" outlineLevel="0" collapsed="false">
      <c r="A19" s="129" t="s">
        <v>1307</v>
      </c>
      <c r="B19" s="153" t="str">
        <f aca="false">'4. Valuation'!B64</f>
        <v/>
      </c>
      <c r="C19" s="154" t="str">
        <f aca="false">'4. Valuation'!C64</f>
        <v/>
      </c>
      <c r="D19" s="155" t="n">
        <f aca="false">'4. Valuation'!D64</f>
        <v>1</v>
      </c>
      <c r="E19" s="152" t="str">
        <f aca="false">IF(COUNT('4. Valuation'!B69:B71)&lt;3,"","Bear "&amp;TEXT('4. Valuation'!B69,"0")&amp;" ("&amp;TEXT('4. Valuation'!C69,"+0%;-0%")&amp;")  /  Bull "&amp;TEXT('4. Valuation'!B71,"0")&amp;" ("&amp;TEXT('4. Valuation'!C71,"+0%;-0%")&amp;")  •  skew "&amp;TEXT('4. Valuation'!B73,"0.0")&amp;"x  •  DCF cells above price: "&amp;COUNTIF('4. Valuation'!B77:F81,"&gt;"&amp;'1. Company Info'!$B$16)&amp;"/25")</f>
        <v/>
      </c>
      <c r="F19" s="152"/>
      <c r="G19" s="152"/>
      <c r="H19" s="152"/>
    </row>
    <row r="21" customFormat="false" ht="15.75" hidden="false" customHeight="true" outlineLevel="0" collapsed="false">
      <c r="A21" s="83" t="s">
        <v>1308</v>
      </c>
      <c r="B21" s="83"/>
      <c r="C21" s="83"/>
      <c r="D21" s="83"/>
      <c r="E21" s="83"/>
      <c r="F21" s="83" t="s">
        <v>1309</v>
      </c>
      <c r="G21" s="83"/>
      <c r="H21" s="83"/>
    </row>
    <row r="22" customFormat="false" ht="15" hidden="false" customHeight="true" outlineLevel="0" collapsed="false">
      <c r="A22" s="156" t="str">
        <f aca="false">"("&amp;'1. Company Info'!$B$11&amp;")"</f>
        <v>()</v>
      </c>
      <c r="B22" s="146" t="str">
        <f aca="false">IF('2. Financials'!B5="","",'2. Financials'!B5)</f>
        <v/>
      </c>
      <c r="C22" s="146" t="str">
        <f aca="false">IF('2. Financials'!C5="","",'2. Financials'!C5)</f>
        <v/>
      </c>
      <c r="D22" s="146" t="str">
        <f aca="false">IF('2. Financials'!D5="","",'2. Financials'!D5)</f>
        <v/>
      </c>
      <c r="E22" s="146" t="str">
        <f aca="false">IF('2. Financials'!E5="","",'2. Financials'!E5)</f>
        <v/>
      </c>
      <c r="F22" s="147" t="s">
        <v>395</v>
      </c>
      <c r="G22" s="147"/>
      <c r="H22" s="146" t="s">
        <v>1310</v>
      </c>
    </row>
    <row r="23" customFormat="false" ht="13.5" hidden="false" customHeight="true" outlineLevel="0" collapsed="false">
      <c r="A23" s="157" t="s">
        <v>934</v>
      </c>
      <c r="B23" s="158" t="str">
        <f aca="false">IF('2. Financials'!B7="","",'2. Financials'!B7)</f>
        <v/>
      </c>
      <c r="C23" s="158" t="str">
        <f aca="false">IF('2. Financials'!C7="","",'2. Financials'!C7)</f>
        <v/>
      </c>
      <c r="D23" s="158" t="str">
        <f aca="false">IF('2. Financials'!D7="","",'2. Financials'!D7)</f>
        <v/>
      </c>
      <c r="E23" s="158" t="str">
        <f aca="false">IF('2. Financials'!E7="","",'2. Financials'!E7)</f>
        <v/>
      </c>
      <c r="F23" s="159" t="str">
        <f aca="false">'5. Rating Summary'!B9</f>
        <v>A. Understand the business</v>
      </c>
      <c r="G23" s="159"/>
      <c r="H23" s="160" t="str">
        <f aca="false">IF('5. Rating Summary'!G9="","",'5. Rating Summary'!G9)</f>
        <v/>
      </c>
    </row>
    <row r="24" customFormat="false" ht="13.5" hidden="false" customHeight="true" outlineLevel="0" collapsed="false">
      <c r="A24" s="157" t="s">
        <v>896</v>
      </c>
      <c r="B24" s="161" t="str">
        <f aca="false">IF('2. Financials'!B32="","",'2. Financials'!B32)</f>
        <v/>
      </c>
      <c r="C24" s="161" t="str">
        <f aca="false">IF('2. Financials'!C32="","",'2. Financials'!C32)</f>
        <v/>
      </c>
      <c r="D24" s="161" t="str">
        <f aca="false">IF('2. Financials'!D32="","",'2. Financials'!D32)</f>
        <v/>
      </c>
      <c r="E24" s="161" t="str">
        <f aca="false">IF('6. Fundamentals Scorecard'!D17="","",'6. Fundamentals Scorecard'!D17)</f>
        <v/>
      </c>
      <c r="F24" s="159" t="str">
        <f aca="false">'5. Rating Summary'!B10</f>
        <v>B. Industry &amp; competition</v>
      </c>
      <c r="G24" s="159"/>
      <c r="H24" s="160" t="str">
        <f aca="false">IF('5. Rating Summary'!G10="","",'5. Rating Summary'!G10)</f>
        <v/>
      </c>
    </row>
    <row r="25" customFormat="false" ht="13.5" hidden="false" customHeight="true" outlineLevel="0" collapsed="false">
      <c r="A25" s="157" t="s">
        <v>346</v>
      </c>
      <c r="B25" s="161" t="str">
        <f aca="false">IF('2. Financials'!B33="","",'2. Financials'!B33)</f>
        <v/>
      </c>
      <c r="C25" s="161" t="str">
        <f aca="false">IF('2. Financials'!C33="","",'2. Financials'!C33)</f>
        <v/>
      </c>
      <c r="D25" s="161" t="str">
        <f aca="false">IF('2. Financials'!D33="","",'2. Financials'!D33)</f>
        <v/>
      </c>
      <c r="E25" s="161" t="str">
        <f aca="false">IF('2. Financials'!E33="","",'2. Financials'!E33)</f>
        <v/>
      </c>
      <c r="F25" s="159" t="str">
        <f aca="false">'5. Rating Summary'!B11</f>
        <v>C. Growth</v>
      </c>
      <c r="G25" s="159"/>
      <c r="H25" s="160" t="str">
        <f aca="false">IF('5. Rating Summary'!G11="","",'5. Rating Summary'!G11)</f>
        <v/>
      </c>
    </row>
    <row r="26" customFormat="false" ht="13.5" hidden="false" customHeight="true" outlineLevel="0" collapsed="false">
      <c r="A26" s="157" t="s">
        <v>348</v>
      </c>
      <c r="B26" s="161" t="str">
        <f aca="false">IF('2. Financials'!B34="","",'2. Financials'!B34)</f>
        <v/>
      </c>
      <c r="C26" s="161" t="str">
        <f aca="false">IF('2. Financials'!C34="","",'2. Financials'!C34)</f>
        <v/>
      </c>
      <c r="D26" s="161" t="str">
        <f aca="false">IF('2. Financials'!D34="","",'2. Financials'!D34)</f>
        <v/>
      </c>
      <c r="E26" s="161" t="str">
        <f aca="false">IF('2. Financials'!E34="","",'2. Financials'!E34)</f>
        <v/>
      </c>
      <c r="F26" s="159" t="str">
        <f aca="false">'5. Rating Summary'!B12</f>
        <v>D. Profitability</v>
      </c>
      <c r="G26" s="159"/>
      <c r="H26" s="160" t="str">
        <f aca="false">IF('5. Rating Summary'!G12="","",'5. Rating Summary'!G12)</f>
        <v/>
      </c>
    </row>
    <row r="27" customFormat="false" ht="13.5" hidden="false" customHeight="true" outlineLevel="0" collapsed="false">
      <c r="A27" s="157" t="s">
        <v>356</v>
      </c>
      <c r="B27" s="161" t="str">
        <f aca="false">IF('2. Financials'!B39="","",'2. Financials'!B39)</f>
        <v/>
      </c>
      <c r="C27" s="161" t="str">
        <f aca="false">IF('2. Financials'!C39="","",'2. Financials'!C39)</f>
        <v/>
      </c>
      <c r="D27" s="161" t="str">
        <f aca="false">IF('2. Financials'!D39="","",'2. Financials'!D39)</f>
        <v/>
      </c>
      <c r="E27" s="161" t="str">
        <f aca="false">IF('2. Financials'!E39="","",'2. Financials'!E39)</f>
        <v/>
      </c>
      <c r="F27" s="159" t="str">
        <f aca="false">'5. Rating Summary'!B13</f>
        <v>E. Cash flow</v>
      </c>
      <c r="G27" s="159"/>
      <c r="H27" s="160" t="str">
        <f aca="false">IF('5. Rating Summary'!G13="","",'5. Rating Summary'!G13)</f>
        <v/>
      </c>
    </row>
    <row r="28" customFormat="false" ht="13.5" hidden="false" customHeight="true" outlineLevel="0" collapsed="false">
      <c r="A28" s="157" t="s">
        <v>1311</v>
      </c>
      <c r="B28" s="162" t="str">
        <f aca="false">IF('2. Financials'!B13="","",'2. Financials'!B13)</f>
        <v/>
      </c>
      <c r="C28" s="162" t="str">
        <f aca="false">IF('2. Financials'!C13="","",'2. Financials'!C13)</f>
        <v/>
      </c>
      <c r="D28" s="162" t="str">
        <f aca="false">IF('2. Financials'!D13="","",'2. Financials'!D13)</f>
        <v/>
      </c>
      <c r="E28" s="162" t="str">
        <f aca="false">IF('2. Financials'!E13="","",'2. Financials'!E13)</f>
        <v/>
      </c>
      <c r="F28" s="159" t="str">
        <f aca="false">'5. Rating Summary'!B14</f>
        <v>F. Balance sheet &amp; capital allocation</v>
      </c>
      <c r="G28" s="159"/>
      <c r="H28" s="160" t="str">
        <f aca="false">IF('5. Rating Summary'!G14="","",'5. Rating Summary'!G14)</f>
        <v/>
      </c>
    </row>
    <row r="29" customFormat="false" ht="13.5" hidden="false" customHeight="true" outlineLevel="0" collapsed="false">
      <c r="A29" s="157" t="s">
        <v>1312</v>
      </c>
      <c r="B29" s="163" t="str">
        <f aca="false">IF('2. Financials'!B44="","",'2. Financials'!B44)</f>
        <v/>
      </c>
      <c r="C29" s="163" t="str">
        <f aca="false">IF('2. Financials'!C44="","",'2. Financials'!C44)</f>
        <v/>
      </c>
      <c r="D29" s="163" t="str">
        <f aca="false">IF('2. Financials'!D44="","",'2. Financials'!D44)</f>
        <v/>
      </c>
      <c r="E29" s="163" t="str">
        <f aca="false">IF('2. Financials'!E44="","",'2. Financials'!E44)</f>
        <v/>
      </c>
      <c r="F29" s="159" t="str">
        <f aca="false">'5. Rating Summary'!B15</f>
        <v>G. Management &amp; governance</v>
      </c>
      <c r="G29" s="159"/>
      <c r="H29" s="160" t="str">
        <f aca="false">IF('5. Rating Summary'!G15="","",'5. Rating Summary'!G15)</f>
        <v/>
      </c>
    </row>
    <row r="30" customFormat="false" ht="13.5" hidden="false" customHeight="true" outlineLevel="0" collapsed="false">
      <c r="A30" s="157" t="s">
        <v>111</v>
      </c>
      <c r="B30" s="161" t="str">
        <f aca="false">IF('2. Financials'!B48="","",'2. Financials'!B48)</f>
        <v/>
      </c>
      <c r="C30" s="161" t="str">
        <f aca="false">IF('2. Financials'!C48="","",'2. Financials'!C48)</f>
        <v/>
      </c>
      <c r="D30" s="161" t="str">
        <f aca="false">IF('2. Financials'!D48="","",'2. Financials'!D48)</f>
        <v/>
      </c>
      <c r="E30" s="161" t="str">
        <f aca="false">IF('2. Financials'!E48="","",'2. Financials'!E48)</f>
        <v/>
      </c>
      <c r="F30" s="159" t="str">
        <f aca="false">'5. Rating Summary'!B16</f>
        <v>H. Valuation</v>
      </c>
      <c r="G30" s="159"/>
      <c r="H30" s="160" t="str">
        <f aca="false">IF('5. Rating Summary'!G16="","",'5. Rating Summary'!G16)</f>
        <v/>
      </c>
    </row>
    <row r="31" customFormat="false" ht="13.5" hidden="false" customHeight="true" outlineLevel="0" collapsed="false">
      <c r="A31" s="157" t="s">
        <v>1313</v>
      </c>
      <c r="B31" s="161" t="str">
        <f aca="false">IF('2. Financials'!B50="","",'2. Financials'!B50)</f>
        <v/>
      </c>
      <c r="C31" s="161" t="str">
        <f aca="false">IF('2. Financials'!C50="","",'2. Financials'!C50)</f>
        <v/>
      </c>
      <c r="D31" s="161" t="str">
        <f aca="false">IF('2. Financials'!D50="","",'2. Financials'!D50)</f>
        <v/>
      </c>
      <c r="E31" s="161" t="str">
        <f aca="false">IF('2. Financials'!E50="","",'2. Financials'!E50)</f>
        <v/>
      </c>
      <c r="F31" s="159" t="str">
        <f aca="false">'5. Rating Summary'!B17</f>
        <v>I. Catalysts &amp; market view</v>
      </c>
      <c r="G31" s="159"/>
      <c r="H31" s="160" t="str">
        <f aca="false">IF('5. Rating Summary'!G17="","",'5. Rating Summary'!G17)</f>
        <v/>
      </c>
    </row>
    <row r="32" customFormat="false" ht="13.5" hidden="false" customHeight="true" outlineLevel="0" collapsed="false">
      <c r="A32" s="157" t="s">
        <v>1314</v>
      </c>
      <c r="B32" s="164" t="str">
        <f aca="false">IF('2. Financials'!B15="","",'2. Financials'!B15)</f>
        <v/>
      </c>
      <c r="C32" s="164" t="str">
        <f aca="false">IF('2. Financials'!C15="","",'2. Financials'!C15)</f>
        <v/>
      </c>
      <c r="D32" s="164" t="str">
        <f aca="false">IF('2. Financials'!D15="","",'2. Financials'!D15)</f>
        <v/>
      </c>
      <c r="E32" s="164" t="str">
        <f aca="false">IF('2. Financials'!E15="","",'2. Financials'!E15)</f>
        <v/>
      </c>
      <c r="F32" s="159" t="str">
        <f aca="false">'5. Rating Summary'!B18</f>
        <v>J. Risks (5 = LOW risk)</v>
      </c>
      <c r="G32" s="159"/>
      <c r="H32" s="160" t="str">
        <f aca="false">IF('5. Rating Summary'!G18="","",'5. Rating Summary'!G18)</f>
        <v/>
      </c>
    </row>
    <row r="33" customFormat="false" ht="12" hidden="false" customHeight="true" outlineLevel="0" collapsed="false">
      <c r="A33" s="98" t="str">
        <f aca="false">IF('2. Financials'!E5="","","Latest column = "&amp;'2. Financials'!E5&amp;". Latest revenue growth uses the Scorecard value (incl. any override).")</f>
        <v/>
      </c>
      <c r="B33" s="98"/>
      <c r="C33" s="98"/>
      <c r="D33" s="98"/>
      <c r="E33" s="98"/>
      <c r="F33" s="98"/>
      <c r="G33" s="98"/>
      <c r="H33" s="98"/>
    </row>
    <row r="35" customFormat="false" ht="15.75" hidden="false" customHeight="true" outlineLevel="0" collapsed="false">
      <c r="A35" s="83" t="s">
        <v>1315</v>
      </c>
      <c r="B35" s="83"/>
      <c r="C35" s="83"/>
      <c r="D35" s="83"/>
      <c r="E35" s="83" t="s">
        <v>1316</v>
      </c>
      <c r="F35" s="83"/>
      <c r="G35" s="83"/>
      <c r="H35" s="83"/>
    </row>
    <row r="36" customFormat="false" ht="39.75" hidden="false" customHeight="true" outlineLevel="0" collapsed="false">
      <c r="A36" s="124" t="s">
        <v>1317</v>
      </c>
      <c r="B36" s="124"/>
      <c r="C36" s="124"/>
      <c r="D36" s="124"/>
      <c r="E36" s="124" t="s">
        <v>1318</v>
      </c>
      <c r="F36" s="124"/>
      <c r="G36" s="124"/>
      <c r="H36" s="124"/>
    </row>
    <row r="37" customFormat="false" ht="39.75" hidden="false" customHeight="true" outlineLevel="0" collapsed="false">
      <c r="A37" s="124" t="s">
        <v>1319</v>
      </c>
      <c r="B37" s="124"/>
      <c r="C37" s="124"/>
      <c r="D37" s="124"/>
      <c r="E37" s="124" t="s">
        <v>1320</v>
      </c>
      <c r="F37" s="124"/>
      <c r="G37" s="124"/>
      <c r="H37" s="124"/>
    </row>
    <row r="38" customFormat="false" ht="39.75" hidden="false" customHeight="true" outlineLevel="0" collapsed="false">
      <c r="A38" s="124" t="s">
        <v>1321</v>
      </c>
      <c r="B38" s="124"/>
      <c r="C38" s="124"/>
      <c r="D38" s="124"/>
      <c r="E38" s="124" t="s">
        <v>1322</v>
      </c>
      <c r="F38" s="124"/>
      <c r="G38" s="124"/>
      <c r="H38" s="124"/>
    </row>
    <row r="40" customFormat="false" ht="15.75" hidden="false" customHeight="true" outlineLevel="0" collapsed="false">
      <c r="A40" s="83" t="s">
        <v>1323</v>
      </c>
      <c r="B40" s="83"/>
      <c r="C40" s="83"/>
      <c r="D40" s="83"/>
      <c r="E40" s="83"/>
      <c r="F40" s="83"/>
      <c r="G40" s="83"/>
      <c r="H40" s="83"/>
    </row>
    <row r="41" customFormat="false" ht="45.75" hidden="false" customHeight="true" outlineLevel="0" collapsed="false">
      <c r="A41" s="124" t="s">
        <v>1324</v>
      </c>
      <c r="B41" s="124"/>
      <c r="C41" s="124"/>
      <c r="D41" s="124"/>
      <c r="E41" s="124"/>
      <c r="F41" s="124"/>
      <c r="G41" s="124"/>
      <c r="H41" s="124"/>
    </row>
    <row r="42" customFormat="false" ht="45.75" hidden="false" customHeight="true" outlineLevel="0" collapsed="false">
      <c r="A42" s="124" t="s">
        <v>1325</v>
      </c>
      <c r="B42" s="124"/>
      <c r="C42" s="124"/>
      <c r="D42" s="124"/>
      <c r="E42" s="124"/>
      <c r="F42" s="124"/>
      <c r="G42" s="124"/>
      <c r="H42" s="124"/>
    </row>
    <row r="44" customFormat="false" ht="19.5" hidden="false" customHeight="true" outlineLevel="0" collapsed="false">
      <c r="A44" s="165" t="s">
        <v>1326</v>
      </c>
      <c r="B44" s="165"/>
      <c r="C44" s="165"/>
      <c r="D44" s="165"/>
      <c r="E44" s="165"/>
      <c r="F44" s="165"/>
      <c r="G44" s="165"/>
      <c r="H44" s="165"/>
    </row>
    <row r="45" customFormat="false" ht="19.5" hidden="false" customHeight="true" outlineLevel="0" collapsed="false">
      <c r="A45" s="166" t="str">
        <f aca="false">IF('5. Rating Summary'!C37="INCOMPLETE","Rating not yet available — finish the checklist and valuation.",'5. Rating Summary'!C37&amp;"  |  Target "&amp;TEXT('4. Valuation'!B64,"#,##0.00")&amp;" "&amp;'1. Company Info'!$B$10&amp;" ("&amp;TEXT('4. Valuation'!C64,"+0%;-0%")&amp;")  |  Conviction: "&amp;'5. Rating Summary'!C38&amp;"  |  "&amp;'5. Rating Summary'!C39)</f>
        <v>Rating not yet available — finish the checklist and valuation.</v>
      </c>
      <c r="B45" s="166"/>
      <c r="C45" s="166"/>
      <c r="D45" s="166"/>
      <c r="E45" s="166"/>
      <c r="F45" s="166"/>
      <c r="G45" s="166"/>
      <c r="H45" s="166"/>
    </row>
    <row r="46" customFormat="false" ht="24" hidden="false" customHeight="true" outlineLevel="0" collapsed="false">
      <c r="A46" s="167" t="str">
        <f aca="false">"Execution (Step 7): "&amp;'7. Technical Review'!$C$49&amp;"   |   Technical score: "&amp;IF('7. Technical Review'!$C$47="","n/a",TEXT('7. Technical Review'!$C$47,"0%"))&amp;"   |   "&amp;'7. Technical Review'!$C$48&amp;"   |   Review level: "&amp;IF('7. Technical Review'!E50="","n/a",TEXT('7. Technical Review'!E50,"#,##0.00"))</f>
        <v>Execution (Step 7): NO EXECUTION — fundamental analysis not finished   |   Technical score: n/a   |   INCOMPLETE — 12 rule(s) still to tick   |   Review level: n/a</v>
      </c>
      <c r="B46" s="167"/>
      <c r="C46" s="167"/>
      <c r="D46" s="167"/>
      <c r="E46" s="167"/>
      <c r="F46" s="167"/>
      <c r="G46" s="167"/>
      <c r="H46" s="167"/>
    </row>
    <row r="47" customFormat="false" ht="69.75" hidden="false" customHeight="true" outlineLevel="0" collapsed="false">
      <c r="A47" s="168" t="s">
        <v>1327</v>
      </c>
      <c r="B47" s="168"/>
      <c r="C47" s="168"/>
      <c r="D47" s="168"/>
      <c r="E47" s="168"/>
      <c r="F47" s="168"/>
      <c r="G47" s="168"/>
      <c r="H47" s="168"/>
    </row>
    <row r="49" customFormat="false" ht="21.75" hidden="false" customHeight="true" outlineLevel="0" collapsed="false">
      <c r="A49" s="98" t="s">
        <v>1328</v>
      </c>
      <c r="B49" s="98"/>
      <c r="C49" s="98"/>
      <c r="D49" s="98"/>
      <c r="E49" s="98"/>
      <c r="F49" s="98"/>
      <c r="G49" s="98"/>
      <c r="H49" s="98"/>
    </row>
  </sheetData>
  <mergeCells count="44">
    <mergeCell ref="C1:F1"/>
    <mergeCell ref="G1:H1"/>
    <mergeCell ref="A2:H2"/>
    <mergeCell ref="A3:H3"/>
    <mergeCell ref="A9:H9"/>
    <mergeCell ref="A10:H10"/>
    <mergeCell ref="A11:H11"/>
    <mergeCell ref="A12:H12"/>
    <mergeCell ref="A14:H14"/>
    <mergeCell ref="E15:H15"/>
    <mergeCell ref="E16:H16"/>
    <mergeCell ref="E17:H17"/>
    <mergeCell ref="E18:H18"/>
    <mergeCell ref="E19:H19"/>
    <mergeCell ref="A21:E21"/>
    <mergeCell ref="F21:H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A33:H33"/>
    <mergeCell ref="A35:D35"/>
    <mergeCell ref="E35:H35"/>
    <mergeCell ref="A36:D36"/>
    <mergeCell ref="E36:H36"/>
    <mergeCell ref="A37:D37"/>
    <mergeCell ref="E37:H37"/>
    <mergeCell ref="A38:D38"/>
    <mergeCell ref="E38:H38"/>
    <mergeCell ref="A40:H40"/>
    <mergeCell ref="A41:H41"/>
    <mergeCell ref="A42:H42"/>
    <mergeCell ref="A44:H44"/>
    <mergeCell ref="A45:H45"/>
    <mergeCell ref="A46:H46"/>
    <mergeCell ref="A47:H47"/>
    <mergeCell ref="A49:H49"/>
  </mergeCells>
  <conditionalFormatting sqref="A5">
    <cfRule type="expression" priority="2" aboveAverage="0" equalAverage="0" bottom="0" percent="0" rank="0" text="" dxfId="19">
      <formula>$A$5="BUY"</formula>
    </cfRule>
    <cfRule type="expression" priority="3" aboveAverage="0" equalAverage="0" bottom="0" percent="0" rank="0" text="" dxfId="38">
      <formula>$A$5="HOLD"</formula>
    </cfRule>
    <cfRule type="expression" priority="4" aboveAverage="0" equalAverage="0" bottom="0" percent="0" rank="0" text="" dxfId="21">
      <formula>$A$5="SELL"</formula>
    </cfRule>
    <cfRule type="expression" priority="5" aboveAverage="0" equalAverage="0" bottom="0" percent="0" rank="0" text="" dxfId="22">
      <formula>$A$5="INCOMPLETE"</formula>
    </cfRule>
  </conditionalFormatting>
  <conditionalFormatting sqref="H23:H32">
    <cfRule type="colorScale" priority="6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35" right="0.35" top="0.35" bottom="0.3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&amp;K1f3864Leago Rifumo Capital  •  Built on Discipline  •  Internal research — not investment advice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2026-10-03T23:16:13Z</dcterms:created>
  <dc:creator>openpyxl</dc:creator>
  <dc:description/>
  <dc:language>en-US</dc:language>
  <cp:lastModifiedBy/>
  <dcterms:modified xsi:type="dcterms:W3CDTF">2026-10-04T01:16:15Z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