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ummary" sheetId="2" state="visible" r:id="rId4"/>
    <sheet name="How to Pick — Swing" sheetId="3" state="visible" r:id="rId5"/>
    <sheet name="Swing Watchlist" sheetId="4" state="visible" r:id="rId6"/>
    <sheet name="Weekly Review" sheetId="5" state="visible" r:id="rId7"/>
    <sheet name="How to Pick — Investment" sheetId="6" state="visible" r:id="rId8"/>
    <sheet name="Investment Watchlist" sheetId="7" state="visible" r:id="rId9"/>
    <sheet name="Monthly Review" sheetId="8" state="visible" r:id="rId10"/>
    <sheet name="Screener Settings" sheetId="9" state="visible" r:id="rId11"/>
    <sheet name="Lists" sheetId="10" state="visible" r:id="rId12"/>
  </sheets>
  <definedNames>
    <definedName function="false" hidden="true" localSheetId="6" name="_xlnm._FilterDatabase" vbProcedure="false">'Investment Watchlist'!$A$8:$AN$158</definedName>
    <definedName function="false" hidden="true" localSheetId="3" name="_xlnm._FilterDatabase" vbProcedure="false">'Swing Watchlist'!$A$10:$AV$210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<sst xmlns="http://schemas.openxmlformats.org/spreadsheetml/2006/main" count="924" uniqueCount="596">
  <si>
    <t xml:space="preserve">LRC Watchlist Builder — Swing &amp; Investment</t>
  </si>
  <si>
    <t xml:space="preserve">Two tracks, one process: screen → shortlist → score → plan → review. US stocks via Finviz, JSE stocks via TradingView.</t>
  </si>
  <si>
    <t xml:space="preserve">The two tracks</t>
  </si>
  <si>
    <t xml:space="preserve">SWING (3–6 months)</t>
  </si>
  <si>
    <t xml:space="preserve">Weekly, every weekend. At least 5 new candidates — LONG (buy strong stocks in uptrends) or SHORT (sell weak stocks in downtrends). Set Direction on each row; the score, stop check, P/L and signals flip automatically. Lean long in RISK-ON markets, short in RISK-OFF. Tabs: How to Pick — Swing · Swing Watchlist · Weekly Review.</t>
  </si>
  <si>
    <t xml:space="preserve">INVESTMENT (5–10+ years)</t>
  </si>
  <si>
    <t xml:space="preserve">Monthly, first weekend. At least 5 new candidates. Excellent businesses at sensible prices, held while the thesis holds. Tabs: How to Pick — Investment · Investment Watchlist · Monthly Review.</t>
  </si>
  <si>
    <t xml:space="preserve">How the tabs fit</t>
  </si>
  <si>
    <t xml:space="preserve">Screener Settings</t>
  </si>
  <si>
    <t xml:space="preserve">The exact Finviz (US) and TradingView (JSE) filters: Swing Long, Swing Short and Investment. Save them as presets once.</t>
  </si>
  <si>
    <t xml:space="preserve">Watchlists</t>
  </si>
  <si>
    <t xml:space="preserve">Paste the screener numbers in the blue cells. Each stock gets a score, an A/B/C grade and a next step. Counters at the top check you hit the minimum of 5.</t>
  </si>
  <si>
    <t xml:space="preserve">Summary</t>
  </si>
  <si>
    <t xml:space="preserve">This week and this month at a glance, with the Top 5 by score.</t>
  </si>
  <si>
    <t xml:space="preserve">Reviews</t>
  </si>
  <si>
    <t xml:space="preserve">Tick-box checklists plus a log, so you follow the same process every time.</t>
  </si>
  <si>
    <t xml:space="preserve">Link to LRC process</t>
  </si>
  <si>
    <t xml:space="preserve">Swing A-grades → Technical Review in the LRC Stock Analysis Template for execution clearance. Investment A-grades → the full LRC Stock Analysis Template. Trades → LRC Portfolio Operations (Trade Log).</t>
  </si>
  <si>
    <t xml:space="preserve">Colour code</t>
  </si>
  <si>
    <t xml:space="preserve">Yellow cell, blue text</t>
  </si>
  <si>
    <t xml:space="preserve">You type here (percentages with the % sign, e.g. 12.5%)</t>
  </si>
  <si>
    <t xml:space="preserve">Grey cell</t>
  </si>
  <si>
    <t xml:space="preserve">Calculates — don't type over it</t>
  </si>
  <si>
    <t xml:space="preserve">Green / amber / red</t>
  </si>
  <si>
    <t xml:space="preserve">A / B / C grade, or a signal to act on</t>
  </si>
  <si>
    <t xml:space="preserve">First time setup</t>
  </si>
  <si>
    <t xml:space="preserve">This is a blank copy. Fill the yellow settings at the top of each watchlist first: review week (Saturday) and account size on the Swing Watchlist, review month on the Investment Watchlist. Update the S&amp;P 500 and JSE 6-month performance every week.</t>
  </si>
  <si>
    <t xml:space="preserve">Important</t>
  </si>
  <si>
    <t xml:space="preserve">A screen is where research starts, not a buy signal. Scores rank candidates; your chart reading and judgement make the decision. Not financial advice.</t>
  </si>
  <si>
    <t xml:space="preserve">Watchlist Summary</t>
  </si>
  <si>
    <t xml:space="preserve">This week (swing) and this month (investment) at a glance: minimum-5 checks, grades, signals and the Top 5 by score.</t>
  </si>
  <si>
    <t xml:space="preserve">SWING — this week</t>
  </si>
  <si>
    <t xml:space="preserve">INVESTMENT — this month</t>
  </si>
  <si>
    <t xml:space="preserve">Week ending</t>
  </si>
  <si>
    <t xml:space="preserve">Month</t>
  </si>
  <si>
    <t xml:space="preserve">New candidates</t>
  </si>
  <si>
    <t xml:space="preserve">Minimum check</t>
  </si>
  <si>
    <t xml:space="preserve">US / JSE · Long / Short</t>
  </si>
  <si>
    <t xml:space="preserve">US / JSE</t>
  </si>
  <si>
    <t xml:space="preserve">Grade A / B / C</t>
  </si>
  <si>
    <t xml:space="preserve">Open positions</t>
  </si>
  <si>
    <t xml:space="preserve">Owned</t>
  </si>
  <si>
    <t xml:space="preserve">Sell / cover / take-profit signals</t>
  </si>
  <si>
    <t xml:space="preserve">Sent to full analysis</t>
  </si>
  <si>
    <t xml:space="preserve">Review signals</t>
  </si>
  <si>
    <t xml:space="preserve">Top 5 swing candidates this week</t>
  </si>
  <si>
    <t xml:space="preserve">Top 5 investment candidates this month</t>
  </si>
  <si>
    <t xml:space="preserve">#</t>
  </si>
  <si>
    <t xml:space="preserve">Ticker</t>
  </si>
  <si>
    <t xml:space="preserve">L/S</t>
  </si>
  <si>
    <t xml:space="preserve">Score</t>
  </si>
  <si>
    <t xml:space="preserve">Grade</t>
  </si>
  <si>
    <t xml:space="preserve">Next step</t>
  </si>
  <si>
    <t xml:space="preserve">Mkt</t>
  </si>
  <si>
    <t xml:space="preserve">Swing trades — LONG and SHORT (hold 3–6 months)</t>
  </si>
  <si>
    <t xml:space="preserve">Goal: buy strong stocks in uptrends (Long) and sell weak stocks in downtrends (Short), each at a low-risk point with a stop and a target. Target: at least 5 new candidates a week, any mix of long/short, US and JSE.</t>
  </si>
  <si>
    <t xml:space="preserve">Step-by-step (about 60–90 minutes)</t>
  </si>
  <si>
    <t xml:space="preserve">1. Check the market (5 min)</t>
  </si>
  <si>
    <t xml:space="preserve">Is the S&amp;P 500 above its 200-day average? Is the JSE All Share above its 200-day average? Both above = RISK-ON: mostly longs. Both below = RISK-OFF: mostly shorts. One of each = MIXED: both, smaller sizes. Record it on the Weekly Review tab — it tells you which way to lean.</t>
  </si>
  <si>
    <t xml:space="preserve">2. Run BOTH screens (15 min)</t>
  </si>
  <si>
    <t xml:space="preserve">Run the LONG preset and the SHORT preset on the 'Screener Settings' tab — Finviz for US, TradingView for JSE. Save all four as presets so it's one click next week.</t>
  </si>
  <si>
    <t xml:space="preserve">3. Sort and shortlist (15 min)</t>
  </si>
  <si>
    <t xml:space="preserve">LONGS: sort by 'Perf Half' highest first; keep clean uptrends (higher highs, higher lows, price above a rising 50-day). SHORTS: sort by 'Perf Half' lowest first; keep clean downtrends (lower highs, lower lows, price below a falling 50-day).</t>
  </si>
  <si>
    <t xml:space="preserve">4. Find the setup (20 min)</t>
  </si>
  <si>
    <t xml:space="preserve">LONG setups: breakout from a base · pullback to the 20/50-day in an uptrend · trend continuation · earnings gap up that holds. SHORT setups: breakdown below support · rally into a falling 50-day that fails · downtrend continuation · earnings gap down that holds. No clear setup = Watch.</t>
  </si>
  <si>
    <t xml:space="preserve">5. Plan the trade (10 min)</t>
  </si>
  <si>
    <t xml:space="preserve">LONG: entry above the trigger, stop BELOW (last swing low or ~2×ATR), target ABOVE. SHORT: entry below the trigger, stop ABOVE (last swing high or ~2×ATR), target BELOW (next support). Reward:risk under 2x = skip. The sheet flags a stop on the wrong side.</t>
  </si>
  <si>
    <t xml:space="preserve">6. Enter in the sheet (10 min)</t>
  </si>
  <si>
    <t xml:space="preserve">Add at least 5 candidates on 'Swing Watchlist' with this week's date and set Direction = Long or Short. Paste the screener numbers — the score flips automatically for shorts. A = run the Technical Review (reversed for shorts) and get clearance; B = watch; C = drop.</t>
  </si>
  <si>
    <t xml:space="preserve">7. Review what you hold (10 min)</t>
  </si>
  <si>
    <t xml:space="preserve">Update 'Price now' on every 'Open position' and read the Review signal. Long: SELL if stop hit. Short: COVER (buy back) if stop hit. Both: TAKE PROFIT at target; REVIEW if the trend breaks (long below / short above the 50-day) or no progress after 6 weeks; exit at 6 months.</t>
  </si>
  <si>
    <t xml:space="preserve">What the scores mean (Long ↔ Short)</t>
  </si>
  <si>
    <t xml:space="preserve">Trend /4</t>
  </si>
  <si>
    <t xml:space="preserve">LONG: +1 each for price above the 20-, 50- and 200-day averages, and 50-day above 200-day. SHORT: +1 each for price BELOW them, and 50-day BELOW 200-day.</t>
  </si>
  <si>
    <t xml:space="preserve">Momentum /4</t>
  </si>
  <si>
    <t xml:space="preserve">LONG: RSI 50–70 = 2 (40–50 or 70–75 = 1); 6-month performance beats the index = 2 (positive = 1). SHORT: RSI 30–50 = 2 (25–30 or 50–60 = 1); 6-month performance lags the index = 2 (negative = 1).</t>
  </si>
  <si>
    <t xml:space="preserve">Range position /2</t>
  </si>
  <si>
    <t xml:space="preserve">LONG: within 10% of the 52-week HIGH = 2 (25% = 1) — leaders trade near highs. SHORT: within 10% of the 52-week LOW = 2 (25% = 1) — laggards trade near lows.</t>
  </si>
  <si>
    <t xml:space="preserve">Liquidity /2</t>
  </si>
  <si>
    <t xml:space="preserve">Average daily value above the minimum in settings = 2; above a quarter of it = 1. Applies to both — shorts especially need liquidity.</t>
  </si>
  <si>
    <t xml:space="preserve">Fuel /2</t>
  </si>
  <si>
    <t xml:space="preserve">LONG: earnings growing this year = 1. SHORT: earnings shrinking = 1. Both: relative volume 1.5x+ = 1.</t>
  </si>
  <si>
    <t xml:space="preserve">Reward:risk /4</t>
  </si>
  <si>
    <t xml:space="preserve">3x or better = 4; 2x–3x = 2; below 2x = 0. Fill entry, stop and target first (works both ways).</t>
  </si>
  <si>
    <t xml:space="preserve">Event risk</t>
  </si>
  <si>
    <t xml:space="preserve">−2 if results are due within 14 days of the review date — gap risk either way.</t>
  </si>
  <si>
    <t xml:space="preserve">Squeeze risk (shorts)</t>
  </si>
  <si>
    <t xml:space="preserve">−1 if short float is 20%+. Heavily shorted stocks can jump violently when shorts rush to buy back.</t>
  </si>
  <si>
    <t xml:space="preserve">Grades</t>
  </si>
  <si>
    <t xml:space="preserve">A = 14+ out of 18 · B = 10–13 · C = under 10. Same scale for longs and shorts.</t>
  </si>
  <si>
    <t xml:space="preserve">Why fundamentals matter in swing trading</t>
  </si>
  <si>
    <t xml:space="preserve">The short answer</t>
  </si>
  <si>
    <t xml:space="preserve">Price and trend tell you WHEN; fundamentals tell you WHY. Over 3–12 months a stock usually follows its earnings: big funds buy companies whose profits and sales are accelerating and sell the ones that are slowing. The longer you hold, the more fundamentals matter.</t>
  </si>
  <si>
    <t xml:space="preserve">What to look at (long)</t>
  </si>
  <si>
    <t xml:space="preserve">Latest quarter EPS growth 15%+ and sales growth 10%+ (versus a year ago), earnings beating forecasts, profit margins steady or rising. Avoid longs with falling sales even if the chart looks good.</t>
  </si>
  <si>
    <t xml:space="preserve">What to look at (short)</t>
  </si>
  <si>
    <t xml:space="preserve">Falling EPS and sales, earnings misses, margins shrinking, high debt. The best shorts are weak businesses in downtrends — not good businesses that dipped.</t>
  </si>
  <si>
    <t xml:space="preserve">What NOT to do</t>
  </si>
  <si>
    <t xml:space="preserve">Don't use deep valuation (P/E, DCF) to time swing trades — expensive stocks can keep rising and cheap ones keep falling for months. Valuation belongs to the investment track and the LRC Stock Analysis Template.</t>
  </si>
  <si>
    <t xml:space="preserve">Short-selling basics</t>
  </si>
  <si>
    <t xml:space="preserve">How a short works</t>
  </si>
  <si>
    <t xml:space="preserve">You sell first and buy back later. You profit if the price FALLS. P/L in the sheet = 1 − price now ÷ entry. Losses grow if the price RISES, and in theory have no ceiling — so the stop is not optional.</t>
  </si>
  <si>
    <t xml:space="preserve">How to short</t>
  </si>
  <si>
    <t xml:space="preserve">US: shares marked 'Shortable' at your broker, or CFDs. JSE: CFDs (or single-stock futures) — normal JSE share accounts can't short. Check borrow fees and dividends: a short pays the dividend.</t>
  </si>
  <si>
    <t xml:space="preserve">When to avoid shorts</t>
  </si>
  <si>
    <t xml:space="preserve">Short float above 20%, a takeover rumour, results within 2 weeks, or a strong RISK-ON market. Never short just because a stock 'looks expensive'.</t>
  </si>
  <si>
    <t xml:space="preserve">Rules that keep you safe</t>
  </si>
  <si>
    <t xml:space="preserve">Risk</t>
  </si>
  <si>
    <t xml:space="preserve">Never risk more than 1% of the account on one trade (the sheet sizes it). Never move a stop AGAINST you: not down on a long, not up on a short.</t>
  </si>
  <si>
    <t xml:space="preserve">Concentration</t>
  </si>
  <si>
    <t xml:space="preserve">No more than 2 open trades in the same sector, no more than 8 open swing trades, and no more than 4 shorts at once.</t>
  </si>
  <si>
    <t xml:space="preserve">Leverage</t>
  </si>
  <si>
    <t xml:space="preserve">On a margin account or CFD, size by the risk amount, not by the margin available.</t>
  </si>
  <si>
    <t xml:space="preserve">Discipline</t>
  </si>
  <si>
    <t xml:space="preserve">Write the plan before you trade. If the price never reaches the entry, there is no trade.</t>
  </si>
  <si>
    <t xml:space="preserve">Swing Watchlist — weekly, LONG and SHORT (hold 3 to 6 months)</t>
  </si>
  <si>
    <t xml:space="preserve">Every week add at least 5 candidates — buys (Long) or sells/shorts (Short), US and JSE. Choose the Direction first: scores, reward:risk, position size, P/L and the review signal all follow it. Type percentages with the % sign.</t>
  </si>
  <si>
    <t xml:space="preserve">Current review week ending</t>
  </si>
  <si>
    <t xml:space="preserve">Saturday of the review week. Counts and the Top 5 use this date.</t>
  </si>
  <si>
    <t xml:space="preserve">S&amp;P 500 6-month performance</t>
  </si>
  <si>
    <t xml:space="preserve">Benchmark for relative strength (Finviz: SPY 'Perf Half').</t>
  </si>
  <si>
    <t xml:space="preserve">This week's candidates</t>
  </si>
  <si>
    <t xml:space="preserve">Minimum new candidates per week</t>
  </si>
  <si>
    <t xml:space="preserve">House rule (longs + shorts together).</t>
  </si>
  <si>
    <t xml:space="preserve">JSE All Share 6-month performance</t>
  </si>
  <si>
    <t xml:space="preserve">JSE All Share 6-month: 13 Oct 2026 vs 9 Apr 2026 (−7.4%). No JSE names this week.</t>
  </si>
  <si>
    <t xml:space="preserve">US / JSE this week</t>
  </si>
  <si>
    <t xml:space="preserve">Trading account size (base currency)</t>
  </si>
  <si>
    <t xml:space="preserve">Est. broker equity 14 Oct ($45.78 = 48.66 + ΔUPNL − Δswap vs 3 Oct export) — replace with the broker figure. For position sizing.</t>
  </si>
  <si>
    <t xml:space="preserve">Liquidity: min avg daily value — US (millions $)</t>
  </si>
  <si>
    <t xml:space="preserve">$20m+ a day trades easily.</t>
  </si>
  <si>
    <t xml:space="preserve">Long / Short this week</t>
  </si>
  <si>
    <t xml:space="preserve">Risk per trade (% of account)</t>
  </si>
  <si>
    <t xml:space="preserve">1% means a stop-out loses 1% of the account.</t>
  </si>
  <si>
    <t xml:space="preserve">Liquidity: min avg daily value — JSE (millions R)</t>
  </si>
  <si>
    <t xml:space="preserve">R20m+ a day; smaller JSE shares are hard to exit.</t>
  </si>
  <si>
    <t xml:space="preserve">A-grades / open positions</t>
  </si>
  <si>
    <t xml:space="preserve">INPUTS FROM FINVIZ / TRADINGVIEW + YOUR TRADE PLAN</t>
  </si>
  <si>
    <t xml:space="preserve">SCORE (automatic — follows Direction)</t>
  </si>
  <si>
    <t xml:space="preserve">PLAN &amp; POSITION SIZE</t>
  </si>
  <si>
    <t xml:space="preserve">STATUS &amp; MONITORING</t>
  </si>
  <si>
    <t xml:space="preserve">Market</t>
  </si>
  <si>
    <t xml:space="preserve">Company</t>
  </si>
  <si>
    <t xml:space="preserve">Sector</t>
  </si>
  <si>
    <t xml:space="preserve">Direction</t>
  </si>
  <si>
    <t xml:space="preserve">Price</t>
  </si>
  <si>
    <t xml:space="preserve">Mkt cap (bn)</t>
  </si>
  <si>
    <t xml:space="preserve">Avg volume (shares)</t>
  </si>
  <si>
    <t xml:space="preserve">Avg daily value (m)</t>
  </si>
  <si>
    <t xml:space="preserve">vs SMA20</t>
  </si>
  <si>
    <t xml:space="preserve">vs SMA50</t>
  </si>
  <si>
    <t xml:space="preserve">vs SMA200</t>
  </si>
  <si>
    <t xml:space="preserve">RSI (14)</t>
  </si>
  <si>
    <t xml:space="preserve">Perf Quarter</t>
  </si>
  <si>
    <t xml:space="preserve">Perf Half</t>
  </si>
  <si>
    <t xml:space="preserve">From 52W High</t>
  </si>
  <si>
    <t xml:space="preserve">From 52W Low</t>
  </si>
  <si>
    <t xml:space="preserve">Rel Volume</t>
  </si>
  <si>
    <t xml:space="preserve">EPS growth this yr</t>
  </si>
  <si>
    <t xml:space="preserve">Short float</t>
  </si>
  <si>
    <t xml:space="preserve">Next earnings</t>
  </si>
  <si>
    <t xml:space="preserve">ATR (14)</t>
  </si>
  <si>
    <t xml:space="preserve">Setup</t>
  </si>
  <si>
    <t xml:space="preserve">Entry</t>
  </si>
  <si>
    <t xml:space="preserve">Stop</t>
  </si>
  <si>
    <t xml:space="preserve">Target</t>
  </si>
  <si>
    <t xml:space="preserve">Squeeze risk</t>
  </si>
  <si>
    <t xml:space="preserve">SCORE /18</t>
  </si>
  <si>
    <t xml:space="preserve">Reward : risk</t>
  </si>
  <si>
    <t xml:space="preserve">Risk / share</t>
  </si>
  <si>
    <t xml:space="preserve">Position size (shares)</t>
  </si>
  <si>
    <t xml:space="preserve">Position value</t>
  </si>
  <si>
    <t xml:space="preserve">Status</t>
  </si>
  <si>
    <t xml:space="preserve">Entry date</t>
  </si>
  <si>
    <t xml:space="preserve">Price now</t>
  </si>
  <si>
    <t xml:space="preserve">P/L %</t>
  </si>
  <si>
    <t xml:space="preserve">Days held</t>
  </si>
  <si>
    <t xml:space="preserve">Review signal</t>
  </si>
  <si>
    <t xml:space="preserve">Notes / chart</t>
  </si>
  <si>
    <t xml:space="preserve">US</t>
  </si>
  <si>
    <t xml:space="preserve">PCTY</t>
  </si>
  <si>
    <t xml:space="preserve">Paylocity Holding Corporation</t>
  </si>
  <si>
    <t xml:space="preserve">Technology</t>
  </si>
  <si>
    <t xml:space="preserve">Long</t>
  </si>
  <si>
    <t xml:space="preserve">LONG: Pullback to 20/50-day avg</t>
  </si>
  <si>
    <t xml:space="preserve">Dropped</t>
  </si>
  <si>
    <t xml:space="preserve">Trigger: Break above the 1 Oct high (148.57) and the 50-day (146.5). Long entry 149.00, stop 140.70 (2×ATR), target 173.95 (R:R 3.0). LRC Work-sheet 6-m rating: BUY (6-m target ~$163, +13%). BUY rating + technical clearance (staged entry) in the LRC Work-sheet. Fundamentals and trend agree. First profit-taking at the 6-m target ~$163; full target in the bull-case zone. Data: Yahoo Finance OHLCV to 2 Oct 2026 (SMA20, ATR14, rel. volume computed); SMA50/200, RSI, short float, earnings date: stockanalysis.com; EPS growth this yr = consensus current FY (adjusted). — P. Nkuna  ||  14 Oct update: trigger 149.00 was hit (~8 Oct) but the trade was NOT entered (not in the 14 Oct broker export). Price now $158.11 = our 6-m target; Work-sheet re-rated BUY → HOLD (target ~$157, −1%). No new entry; re-add below ~$146. — P. Nkuna</t>
  </si>
  <si>
    <t xml:space="preserve">WAB</t>
  </si>
  <si>
    <t xml:space="preserve">Westinghouse Air Brake Technologies Corporation (Wabtec)</t>
  </si>
  <si>
    <t xml:space="preserve">Industrials</t>
  </si>
  <si>
    <t xml:space="preserve">Short</t>
  </si>
  <si>
    <t xml:space="preserve">SHORT: Breakdown from base</t>
  </si>
  <si>
    <t xml:space="preserve">Watch</t>
  </si>
  <si>
    <t xml:space="preserve">Trigger: Sell stop below the 16 Sep swing low (273.01) — confirms the uptrend has broken. Short entry 272.90, stop 284.35 (2×ATR), target 238.50 (R:R 3.0). LRC Work-sheet 6-m rating: SELL (~$242, -16%). SELL rating + technical clearance in the LRC Work-sheet. Short only on a confirmed breakdown: the stock is still in an uptrend (above 200-day), so the trend score is low until it breaks. Target ~238 ≈ fundamental target $242. Results 21 Oct. Data: Yahoo Finance OHLCV to 2 Oct 2026 (SMA20, ATR14, rel. volume computed); SMA50/200, RSI, short float, earnings date: stockanalysis.com; EPS growth this yr = consensus current FY (adjusted). — P. Nkuna  ||  14 Oct update: still SELL (6-m target ~$248, −13%) + technically cleared. Price $286.51 is 5% above the 272.90 trigger — not triggered. Results 21 Oct inside 14 days: no new short before the print. Keep last week's levels; re-plan after results. — P. Nkuna</t>
  </si>
  <si>
    <t xml:space="preserve">ANET</t>
  </si>
  <si>
    <t xml:space="preserve">Arista Networks, Inc.</t>
  </si>
  <si>
    <t xml:space="preserve">Trigger: Sell stop below the 14 Sep swing low (186.11) and the 50-day (194). Short entry 186.00, stop 198.67 (2×ATR), target 147.99 (R:R 3.0). LRC Work-sheet 6-m rating: SELL (~$144, -30%). SELL rating + technical clearance in the LRC Work-sheet. Short only on a confirmed breakdown below 186; today it is the strongest trend on our list (+64% in 6 months) — do NOT short strength. Target ~148 ≈ fundamental target $144. High beta (1.6): small size. Data: Yahoo Finance OHLCV to 2 Oct 2026 (SMA20, ATR14, rel. volume computed); SMA50/200, RSI, short float, earnings date: stockanalysis.com; EPS growth this yr = consensus current FY (adjusted). — P. Nkuna  ||  14 Oct update: replaced by a new ANET row this week (trigger 197.40, stop 211.02, target 156.54). Old trigger 186 not hit. — P. Nkuna</t>
  </si>
  <si>
    <t xml:space="preserve">NVDA</t>
  </si>
  <si>
    <t xml:space="preserve">NVIDIA Corporation</t>
  </si>
  <si>
    <t xml:space="preserve">Entry setup</t>
  </si>
  <si>
    <t xml:space="preserve">Trigger: Buy stop above the 12-13 Oct highs (228.86); price sits on the 20-day (228.3) just above the 50-day (223.0). Long entry 229.30, stop 218.68 (2×ATR 5.31), target 261.16 (3R). LRC Work-sheet 14 Oct: BUY (6-m target ~$262.56, +15%; score 3.8/5; technical: CLEARED — STAGED ENTRY). Only name this week with BUY + technical clearance (CLEARED — staged entry). Fundamentals and trend agree. Target ≈ 6-m fundamental target. Results 18 Nov (outside 14 days). Data 13 Oct close: stockanalysis statistics + daily history to 13 Oct (SMA20/ATR14 computed); Perf Half vs ~13 Apr close; EPS growth this yr = consensus current FY (adjusted). Perf Quarter n/f (history page holds 50 sessions). Finviz itself blocked for us — same filters applied manually. — P. Nkuna</t>
  </si>
  <si>
    <t xml:space="preserve">INTU</t>
  </si>
  <si>
    <t xml:space="preserve">Intuit Inc.</t>
  </si>
  <si>
    <t xml:space="preserve">LONG: Reversal (higher low)</t>
  </si>
  <si>
    <t xml:space="preserve">Trigger: Only on a close back above the 50-day average (321.16) — today the trend is DOWN (below 50/200-day). Long entry 322.00, stop 301.18 (2×ATR 10.41), target 384.46 (3R). LRC Work-sheet 14 Oct: BUY (6-m target ~$426.00, +41%; score 4.0/5; technical: NOT CLEARED — score below 70%). BUY on fundamentals (+41%) but NOT technically cleared (downtrend). Watch only — do not trade until the Technical Review is re-ticked and cleared above the 50-day. Results 19 Nov. Data 13 Oct close: stockanalysis statistics/history (Finviz-preset replica, short screen); Perf Half vs ~13 Apr close; EPS growth this yr = consensus current FY (adjusted). Perf Quarter n/f (history page holds 50 sessions). Finviz itself blocked for us — same filters applied manually. — P. Nkuna</t>
  </si>
  <si>
    <t xml:space="preserve">DECK</t>
  </si>
  <si>
    <t xml:space="preserve">Deckers Outdoor Corporation</t>
  </si>
  <si>
    <t xml:space="preserve">Consumer Discretionary</t>
  </si>
  <si>
    <t xml:space="preserve">Trigger: Above the 15-day high (86.25) and the 50-day (85.36); results 22 Oct — wait for the print. Long entry 86.30, stop 82.38 (2×ATR 1.96), target 98.06 (3R). LRC Work-sheet 14 Oct: BUY (6-m target ~$103.00, +23%; score 3.8/5; technical: NOT CLEARED — score below 70%). BUY on fundamentals (+23%) but NOT technically cleared (downtrend). Results 22 Oct inside 14 days (event risk). Watch only until cleared. Data 13 Oct close: stockanalysis statistics + daily history to 13 Oct (SMA20/ATR14 computed); Perf Half vs ~13 Apr close; EPS growth this yr = consensus current FY (adjusted). Perf Quarter n/f (history page holds 50 sessions). Finviz itself blocked for us — same filters applied manually. — P. Nkuna</t>
  </si>
  <si>
    <t xml:space="preserve">NKE</t>
  </si>
  <si>
    <t xml:space="preserve">NIKE, Inc.</t>
  </si>
  <si>
    <t xml:space="preserve">SHORT: Downtrend continuation</t>
  </si>
  <si>
    <t xml:space="preserve">Trigger: Sell stop below 34.90 (price under the 20-day 35.37 and falling 50/200-day); stop above the 50-day zone. Short entry 34.90, stop 37.16 (2×ATR 1.13), target 28.12 (3R). LRC Work-sheet 14 Oct: SELL (6-m target ~$29.75, -16%; score 3.1/5; technical: NOT CLEARED — score below 70%). SELL (−16%) and full pass on the Finviz short preset. LRC Technical Review rules are written for LONG entries, so "NOT CLEARED / downtrend" here supports a short — PM to confirm. No results date inside 14 days (next ~Dec). Priority short #1. Data 13 Oct close: stockanalysis statistics/history (Finviz-preset replica, short screen); Perf Half vs ~13 Apr close; EPS growth this yr = consensus current FY (adjusted). Perf Quarter n/f (history page holds 50 sessions). Finviz itself blocked for us — same filters applied manually. — P. Nkuna</t>
  </si>
  <si>
    <t xml:space="preserve">SHORT: Failed breakout / lower high</t>
  </si>
  <si>
    <t xml:space="preserve">Trigger: Sell stop below the 13 Oct low (197.60) after the failed push to the 52-week high (217.41) on 9 Oct. Short entry 197.40, stop 211.02 (2×ATR 6.81), target 156.54 (3R). LRC Work-sheet 14 Oct: SELL (6-m target ~$144.61, -29%; score 3.7/5; technical: CLEARED — STAGED ENTRY). SELL (−29%) + technical clearance. Carried from last week (old trigger 186 replaced). 13 Oct reversal on 1.6x volume. High beta (1.6): small size. Results 3 Nov. Priority short #2. Data 13 Oct close: stockanalysis statistics + daily history to 13 Oct (SMA20/ATR14 computed); Perf Half vs ~13 Apr close; EPS growth this yr = consensus current FY (adjusted). Perf Quarter n/f (history page holds 50 sessions). Finviz itself blocked for us — same filters applied manually. — P. Nkuna</t>
  </si>
  <si>
    <t xml:space="preserve">AMD</t>
  </si>
  <si>
    <t xml:space="preserve">Advanced Micro Devices, Inc.</t>
  </si>
  <si>
    <t xml:space="preserve">Trigger: Sell stop below the 15-day swing low (570.60); 52-week high 658.52 was 8% above. Short entry 569.50, stop 617.04 (2×ATR 23.77), target 426.88 (3R). LRC Work-sheet 14 Oct: SELL (6-m target ~$402.73, -33%; score 3.3/5; technical: CLEARED — STAGED ENTRY). SELL (−33%) + technical clearance. Do NOT short strength — act only below the trigger. Beta 2.45: half size. Results 3 Nov. Priority short #3. Data 13 Oct close: stockanalysis statistics/history (Finviz-preset replica, long screen); Perf Half vs ~13 Apr close; EPS growth this yr = consensus current FY (adjusted). Finviz itself blocked for us — same filters applied manually. — P. Nkuna</t>
  </si>
  <si>
    <t xml:space="preserve">DELL</t>
  </si>
  <si>
    <t xml:space="preserve">Dell Technologies Inc.</t>
  </si>
  <si>
    <t xml:space="preserve">Trigger: Sell stop below the 15-day swing low (520.18); still a strong uptrend until then. Short entry 519.00, stop 569.02 (2×ATR 25.01), target 368.94 (3R). LRC Work-sheet 14 Oct: SELL (6-m target ~$404.70, -29%; score 3.1/5; technical: CLEARED — STAGED ENTRY). SELL (−29%) + technical clearance. Trigger is 9% below the price: may not fire this week. Results 24 Nov. Priority short #4. Data 13 Oct close: stockanalysis statistics/history (Finviz-preset replica, long screen); Perf Half vs ~13 Apr close; EPS growth this yr = consensus current FY (adjusted). Finviz itself blocked for us — same filters applied manually. — P. Nkuna</t>
  </si>
  <si>
    <t xml:space="preserve">FAST</t>
  </si>
  <si>
    <t xml:space="preserve">Fastenal Company</t>
  </si>
  <si>
    <t xml:space="preserve">Trigger: Sell stop below the 15-day low (49.11) — only AFTER the 14 Oct results are digested. Short entry 49.00, stop 50.96 (2×ATR 0.98), target 43.12 (3R). LRC Work-sheet 14 Oct: SELL (6-m target ~$38.37, -25%; score 3.5/5; technical: CLEARED — STAGED ENTRY). SELL (−25%) + technical clearance. Results 14 Oct (today) — wait for the reaction. 5th short: house limit is 4 open shorts, so only if one of the others has not triggered. Data 13 Oct close: stockanalysis statistics + daily history to 13 Oct (SMA20/ATR14 computed); Perf Half vs ~13 Apr close; EPS growth this yr = consensus current FY (adjusted). Perf Quarter n/f (history page holds 50 sessions). Finviz itself blocked for us — same filters applied manually. — P. Nkuna</t>
  </si>
  <si>
    <t xml:space="preserve">NVIDIA</t>
  </si>
  <si>
    <t xml:space="preserve">Agent 2026-10-23T03:09+02:00: LRC rating BUY (6-m value 262.56); CLEARED. Entry 222.63, stop 210.83 (2×ATR), target 258.03 (3R).  — LRC Watchlist Agent</t>
  </si>
  <si>
    <t xml:space="preserve">Intuit</t>
  </si>
  <si>
    <t xml:space="preserve">Agent 2026-10-23T03:09+02:00: LRC rating BUY (6-m value 426.0); NOT CLEARED. Entry 342.47, stop 318.21 (2×ATR), target 415.25 (3R).  — LRC Watchlist Agent</t>
  </si>
  <si>
    <t xml:space="preserve">Deckers Outdoor</t>
  </si>
  <si>
    <t xml:space="preserve">Agent 2026-10-23T03:09+02:00: LRC rating BUY (6-m value 103.0); NOT CLEARED — results within 14 days. Entry 88.16, stop 83.18 (2×ATR), target 103.1 (3R). Results 2026-10-22 — LRC Watchlist Agent</t>
  </si>
  <si>
    <t xml:space="preserve">GOOGL</t>
  </si>
  <si>
    <t xml:space="preserve">Alphabet</t>
  </si>
  <si>
    <t xml:space="preserve">Agent 2026-10-23T03:09+02:00: LRC rating SELL (6-m value 319.72); CLEARED — results within 14 days. Entry 329.72, stop 346.98 (2×ATR), target 277.94 (3R). Results 2026-10-28 — LRC Watchlist Agent</t>
  </si>
  <si>
    <t xml:space="preserve">Dell Technologies</t>
  </si>
  <si>
    <t xml:space="preserve">Agent 2026-10-23T03:09+02:00: LRC rating SELL (6-m value 404.7); CLEARED. Entry 438.62, stop 501.96 (2×ATR), target 248.6 (3R).  — LRC Watchlist Agent</t>
  </si>
  <si>
    <t xml:space="preserve">KEYS</t>
  </si>
  <si>
    <t xml:space="preserve">Keysight</t>
  </si>
  <si>
    <t xml:space="preserve">Agent 2026-10-23T03:09+02:00: LRC rating SELL (6-m value 319.77); CLEARED. Entry 322.42, stop 347.22 (2×ATR), target 248.02 (3R).  — LRC Watchlist Agent</t>
  </si>
  <si>
    <t xml:space="preserve">APH</t>
  </si>
  <si>
    <t xml:space="preserve">Amphenol</t>
  </si>
  <si>
    <t xml:space="preserve">Agent 2026-10-23T03:09+02:00: LRC rating SELL (6-m value 75.63); CLEARED — results within 14 days. Entry 77.72, stop 83.08 (2×ATR), target 61.64 (3R). Results 2026-10-28 — LRC Watchlist Agent</t>
  </si>
  <si>
    <t xml:space="preserve">Nike</t>
  </si>
  <si>
    <t xml:space="preserve">Agent 2026-10-23T03:09+02:00: LRC rating SELL (6-m value 29.75); CLEARED. Entry 31.91, stop 34.03 (2×ATR), target 25.55 (3R). house limit: max 4 shorts — LRC Watchlist Agent</t>
  </si>
  <si>
    <t xml:space="preserve">META</t>
  </si>
  <si>
    <t xml:space="preserve">Meta Platforms</t>
  </si>
  <si>
    <t xml:space="preserve">Agent 2026-10-23T03:09+02:00: LRC rating SELL (6-m value 677.14); CLEARED — results within 14 days. Entry 679.69, stop 728.69 (2×ATR), target 532.69 (3R). Results 2026-10-21; house limit: max 4 shorts — LRC Watchlist Agent</t>
  </si>
  <si>
    <t xml:space="preserve">Arista Networks</t>
  </si>
  <si>
    <t xml:space="preserve">Agent 2026-10-23T03:09+02:00: LRC rating SELL (6-m value 144.61); CLEARED — results within 14 days. Entry 176.42, stop 192.82 (2×ATR), target 127.22 (3R). Results 2026-11-03; house limit: max 4 shorts — LRC Watchlist Agent</t>
  </si>
  <si>
    <t xml:space="preserve">Fastenal</t>
  </si>
  <si>
    <t xml:space="preserve">Agent 2026-10-23T03:09+02:00: LRC rating SELL (6-m value 38.37); CLEARED. Entry 47.21, stop 49.85 (2×ATR), target 39.29 (3R). house limit: max 4 shorts — LRC Watchlist Agent</t>
  </si>
  <si>
    <t xml:space="preserve">Advanced Micro Devices</t>
  </si>
  <si>
    <t xml:space="preserve">Agent 2026-10-23T03:09+02:00: LRC rating SELL (6-m value 402.73); CLEARED — results within 14 days. Entry 523.55, stop 576.65 (2×ATR), target 364.25 (3R). Results 2026-11-03; house limit: max 4 shorts — LRC Watchlist Agent</t>
  </si>
  <si>
    <t xml:space="preserve">Wabtec</t>
  </si>
  <si>
    <t xml:space="preserve">Agent 2026-10-23T03:09+02:00: LRC rating SELL (6-m value 248.07); CLEARED — results within 14 days. Entry 274.58, stop 288.58 (2×ATR), target 232.58 (3R). Results 2026-10-21; house limit: max 4 shorts — LRC Watchlist Agent</t>
  </si>
  <si>
    <t xml:space="preserve">Weekly Review — swing (every weekend)</t>
  </si>
  <si>
    <t xml:space="preserve">Do this every Saturday or Sunday, in order. Log the result so you can see your process improve.</t>
  </si>
  <si>
    <t xml:space="preserve">Checklist — tick each step (✔)</t>
  </si>
  <si>
    <t xml:space="preserve">1. Market regime: S&amp;P 500 and JSE All Share vs their 200-day averages (log below)</t>
  </si>
  <si>
    <t xml:space="preserve">✔</t>
  </si>
  <si>
    <t xml:space="preserve">2. Run the Finviz (US) and TradingView (JSE) swing presets</t>
  </si>
  <si>
    <t xml:space="preserve">3. Shortlist 20–30 by 6-month performance; check charts for clean uptrends and setups</t>
  </si>
  <si>
    <t xml:space="preserve">4. Add at least 5 candidates to the Swing Watchlist with this week's date (check the minimum counter)</t>
  </si>
  <si>
    <t xml:space="preserve">5. Plan entry, stop and target for every A/B candidate (reward:risk 2x+)</t>
  </si>
  <si>
    <t xml:space="preserve">6. Run the LRC Technical Review for A-grades you want to buy; trade only with clearance</t>
  </si>
  <si>
    <t xml:space="preserve">7. Update 'Price now' on every open trade and act on each Review signal</t>
  </si>
  <si>
    <t xml:space="preserve">8. Check results dates for the next 2 weeks (event risk)</t>
  </si>
  <si>
    <t xml:space="preserve">9. Log the week below: trades opened/closed and one lesson</t>
  </si>
  <si>
    <t xml:space="preserve">Review log — one row per review</t>
  </si>
  <si>
    <t xml:space="preserve">S&amp;P 500 above 200-day? (Y/N)</t>
  </si>
  <si>
    <t xml:space="preserve">JSE All Share above 200-day? (Y/N)</t>
  </si>
  <si>
    <t xml:space="preserve">Market regime → bias</t>
  </si>
  <si>
    <t xml:space="preserve">A-grades</t>
  </si>
  <si>
    <t xml:space="preserve">Trades opened</t>
  </si>
  <si>
    <t xml:space="preserve">Trades closed (why)</t>
  </si>
  <si>
    <t xml:space="preserve">Lessons / actions for next week</t>
  </si>
  <si>
    <t xml:space="preserve">Y</t>
  </si>
  <si>
    <t xml:space="preserve">N</t>
  </si>
  <si>
    <t xml:space="preserve">None (no swing positions open)</t>
  </si>
  <si>
    <t xml:space="preserve">LRC RULE: only Work-sheet names with a BUY/SELL rating AND technical clearance go on the watchlist (BUY = Long, SELL = Short). This week: PCTY (Long), WAB and ANET (Short). FAST (SELL) not added — technical clearance failed (score &lt;70%). 7 HOLDs not added. House minimum of 5 not met — run more Work-sheets to feed the list. S&amp;P 500 above 200-day; JSE All Share below (MA as of 26 Aug, stale). Shorts WAB/ANET are still in uptrends — act only on the breakdown triggers.</t>
  </si>
  <si>
    <t xml:space="preserve">None. PCTY long trigger (149) was hit ~8 Oct but no trade was entered; no swing positions open.</t>
  </si>
  <si>
    <t xml:space="preserve">Finviz is blocked for our tools, so the Swing Long / Swing Short presets were applied manually on stockanalysis.com data (13 Oct closes). LRC RULE: only BUY/SELL-rated names with technical clearance are tradeable. LONGS: only NVDA qualifies; INTU and DECK are BUY-rated but in downtrends (watch only). 2 long slots unfilled — the momentum names the long preset finds (DELL, HPE, KEYS, APH, AMD) all rate SELL on valuation. SHORTS: NKE, ANET, AMD, DELL, FAST (max 4 open; FAST only after its 14 Oct results). Event risk inside 14 days: WAB 21 Oct, DECK 22 Oct, META 21 Oct, APH/GOOGL 28 Oct. S&amp;P 500 above its 200-day; JSE All Share below (−7.4% in 6 months). Lesson: an un-entered trigger cost us the PCTY move (+9%) — set conditional orders when a setup is approved. — P. Nkuna</t>
  </si>
  <si>
    <t xml:space="preserve">Built by the LRC Watchlist Agent 2026-10-23T03:09+02:00: 3 long / 10 short candidates under house rules. Analyst to review before any trade.</t>
  </si>
  <si>
    <t xml:space="preserve">How to pick long-term investments (hold 5 to 10+ years) — every month</t>
  </si>
  <si>
    <t xml:space="preserve">Goal: own excellent businesses bought at sensible prices, and hold them while the business keeps compounding. Target: at least 5 new candidates a month, US and JSE.</t>
  </si>
  <si>
    <t xml:space="preserve">Step-by-step (about 2–3 hours a month)</t>
  </si>
  <si>
    <t xml:space="preserve">1. Run the quality screen (15 min)</t>
  </si>
  <si>
    <t xml:space="preserve">US: the Finviz 'Investment' preset on the Screener Settings tab. JSE: the TradingView preset, then check the annual report — JSE data on screeners is patchier.</t>
  </si>
  <si>
    <t xml:space="preserve">2. Shortlist on quality first (30 min)</t>
  </si>
  <si>
    <t xml:space="preserve">Prefer businesses with high returns on capital (ROE 15%+, ROIC 12%+), strong margins, low debt and steady growth for 5+ years. Price comes second: a great business at a fair price beats a fair business at a great price.</t>
  </si>
  <si>
    <t xml:space="preserve">3. Understand the business (60 min)</t>
  </si>
  <si>
    <t xml:space="preserve">For each shortlisted name, answer in one line: what it sells, who pays, why customers stay (the moat), and what could break it. Read the latest annual report summary and results presentation.</t>
  </si>
  <si>
    <t xml:space="preserve">4. Judge moat and management (0–2 each)</t>
  </si>
  <si>
    <t xml:space="preserve">Moat: 2 = clear lasting advantage (brand, network, switching costs, scale, licence); 1 = some; 0 = none. Management: 2 = proven, honest, owner-like, sensible capital allocation; 1 = average or changing; 0 = concerns.</t>
  </si>
  <si>
    <t xml:space="preserve">5. Estimate fair value (optional, 30 min)</t>
  </si>
  <si>
    <t xml:space="preserve">Use the Valuation tab of the LRC Stock Analysis Template, or a simple check: FCF yield vs bond yield, P/E vs history and peers. The sheet then shows the margin of safety.</t>
  </si>
  <si>
    <t xml:space="preserve">6. Enter in the sheet</t>
  </si>
  <si>
    <t xml:space="preserve">Add at least 5 candidates on 'Investment Watchlist' with this month's date. A = start the full LRC Stock Analysis Template; B = watch and re-check next month; C = reject.</t>
  </si>
  <si>
    <t xml:space="preserve">7. Review what you own (monthly)</t>
  </si>
  <si>
    <t xml:space="preserve">Update 'Price now'. Hold while the thesis is intact. Review if the price runs 20%+ above fair value, the quality score drops below 13, or a thesis-breaker appears (moat eroding, bad acquisition, management change).</t>
  </si>
  <si>
    <t xml:space="preserve">What the scores mean</t>
  </si>
  <si>
    <t xml:space="preserve">Quality /6</t>
  </si>
  <si>
    <t xml:space="preserve">ROE 15%+ = 2 (10%+ = 1); ROIC 12%+ = 2 (8%+ = 1); operating margin 15%+ = 1; gross margin 40%+ = 1.</t>
  </si>
  <si>
    <t xml:space="preserve">Growth /4</t>
  </si>
  <si>
    <t xml:space="preserve">EPS growth past 5 years 10%+ = 2 (5%+ = 1); sales growth past 5 years 8%+ = 2 (4%+ = 1).</t>
  </si>
  <si>
    <t xml:space="preserve">Balance sheet /3</t>
  </si>
  <si>
    <t xml:space="preserve">Debt/equity 0.5 or less = 2 (1.0 or less = 1); current ratio 1.2+ = 1. Banks and insurers: use your judgement instead.</t>
  </si>
  <si>
    <t xml:space="preserve">Valuation /4</t>
  </si>
  <si>
    <t xml:space="preserve">Forward P/E 20 or less = 2 (30 or less = 1); price/free cash flow 20 or less = 2 (30 or less = 1).</t>
  </si>
  <si>
    <t xml:space="preserve">Owner /1</t>
  </si>
  <si>
    <t xml:space="preserve">Insiders own 1%+ or dividend yield 2%+.</t>
  </si>
  <si>
    <t xml:space="preserve">Judgement /4</t>
  </si>
  <si>
    <t xml:space="preserve">Your moat + management scores.</t>
  </si>
  <si>
    <t xml:space="preserve">Margin of safety /2</t>
  </si>
  <si>
    <t xml:space="preserve">Fair value 25%+ above price = 2; 10%+ = 1.</t>
  </si>
  <si>
    <t xml:space="preserve">A = 18+ out of 24 · B = 13–17 · C = under 13.</t>
  </si>
  <si>
    <t xml:space="preserve">Rules</t>
  </si>
  <si>
    <t xml:space="preserve">Patience</t>
  </si>
  <si>
    <t xml:space="preserve">Long-term means years. Don't sell a great business because of one bad quarter; do sell if the thesis breaks.</t>
  </si>
  <si>
    <t xml:space="preserve">Diversify</t>
  </si>
  <si>
    <t xml:space="preserve">Aim for 10–20 holdings across sectors and both markets over time; no single holding above 10% at purchase.</t>
  </si>
  <si>
    <t xml:space="preserve">Avoid traps</t>
  </si>
  <si>
    <t xml:space="preserve">A very low P/E with falling sales is usually a value trap. High debt + cyclical earnings = danger in a downturn.</t>
  </si>
  <si>
    <t xml:space="preserve">Investment Watchlist — monthly (hold 5 to 10+ years)</t>
  </si>
  <si>
    <t xml:space="preserve">Every month add at least 5 quality candidates (US from Finviz, JSE from TradingView / annual reports). A-grades go into the full LRC Stock Analysis Template. Type percentages with the % sign. 'Price' = price when screened; update 'Price now' at each monthly review.</t>
  </si>
  <si>
    <t xml:space="preserve">Current review month (1st of month)</t>
  </si>
  <si>
    <t xml:space="preserve">Counts and the Top 5 use this month.</t>
  </si>
  <si>
    <t xml:space="preserve">This month's candidates</t>
  </si>
  <si>
    <t xml:space="preserve">Minimum new candidates per month</t>
  </si>
  <si>
    <t xml:space="preserve">House rule.</t>
  </si>
  <si>
    <t xml:space="preserve">US / JSE this month</t>
  </si>
  <si>
    <t xml:space="preserve">INPUTS FROM FINVIZ / TRADINGVIEW + YOUR JUDGEMENT</t>
  </si>
  <si>
    <t xml:space="preserve">SCORE (automatic)</t>
  </si>
  <si>
    <t xml:space="preserve">NEXT</t>
  </si>
  <si>
    <t xml:space="preserve">STATUS &amp; THESIS</t>
  </si>
  <si>
    <t xml:space="preserve">Forward P/E</t>
  </si>
  <si>
    <t xml:space="preserve">PEG</t>
  </si>
  <si>
    <t xml:space="preserve">P/FCF</t>
  </si>
  <si>
    <t xml:space="preserve">ROE</t>
  </si>
  <si>
    <t xml:space="preserve">ROIC / ROI</t>
  </si>
  <si>
    <t xml:space="preserve">Gross margin</t>
  </si>
  <si>
    <t xml:space="preserve">Oper. margin</t>
  </si>
  <si>
    <t xml:space="preserve">Debt / Equity</t>
  </si>
  <si>
    <t xml:space="preserve">Current ratio</t>
  </si>
  <si>
    <t xml:space="preserve">EPS growth 5y</t>
  </si>
  <si>
    <t xml:space="preserve">Sales growth 5y</t>
  </si>
  <si>
    <t xml:space="preserve">Dividend yield</t>
  </si>
  <si>
    <t xml:space="preserve">Insider own</t>
  </si>
  <si>
    <t xml:space="preserve">Moat 0-2</t>
  </si>
  <si>
    <t xml:space="preserve">Management 0-2</t>
  </si>
  <si>
    <t xml:space="preserve">Fair value</t>
  </si>
  <si>
    <t xml:space="preserve">Margin of safety</t>
  </si>
  <si>
    <t xml:space="preserve">MoS pts /2</t>
  </si>
  <si>
    <t xml:space="preserve">SCORE /24</t>
  </si>
  <si>
    <t xml:space="preserve">One-line thesis</t>
  </si>
  <si>
    <t xml:space="preserve">Date added</t>
  </si>
  <si>
    <t xml:space="preserve">Change since added</t>
  </si>
  <si>
    <t xml:space="preserve">Notes</t>
  </si>
  <si>
    <t xml:space="preserve">Full analysis</t>
  </si>
  <si>
    <t xml:space="preserve">AI-disruption fear has priced a 40%-FCF-margin software franchise at ~12.6x forward EPS; we think QuickBooks and TurboTax are stickier than the market believes.</t>
  </si>
  <si>
    <t xml:space="preserve">LRC Work-sheet 14 Oct: BUY, 6-m target $426.00 (+41%), score 4.0/5. Fair value = the 6-MONTH Work-sheet target (a long-term DCF value would be higher for the growers). Growth = FY2022-FY2026 (4-yr CAGR) CAGR. Data: stockanalysis.com 13 Oct 2026 (Finviz Investment preset applied manually — Finviz blocked). — P. Nkuna</t>
  </si>
  <si>
    <t xml:space="preserve">AI-compute leader growing 70-90% a year at ~19x forward EPS — cheaper than its chip peers despite better margins.</t>
  </si>
  <si>
    <t xml:space="preserve">LRC Work-sheet 14 Oct: BUY, 6-m target $262.56 (+15%), score 3.8/5. Fair value = the 6-MONTH Work-sheet target (a long-term DCF value would be higher for the growers). Growth = FY2022-FY2026 (4-yr CAGR) CAGR. Data: stockanalysis.com 13 Oct 2026 (Finviz Investment preset applied manually — Finviz blocked). — P. Nkuna</t>
  </si>
  <si>
    <t xml:space="preserve">Two strong brands (HOKA, UGG), net cash and 23% margins at ~11x forward EPS; growth slowing but positive.</t>
  </si>
  <si>
    <t xml:space="preserve">LRC Work-sheet 14 Oct: BUY, 6-m target $103.00 (+23%), score 3.8/5. Fair value = the 6-MONTH Work-sheet target (a long-term DCF value would be higher for the growers). Growth = FY2022-FY2026 (4-yr CAGR) CAGR. Data: stockanalysis.com 13 Oct 2026 (Finviz Investment preset applied manually — Finviz blocked). — P. Nkuna</t>
  </si>
  <si>
    <t xml:space="preserve">Quality payroll/HR software at 18x; our 6-month target is reached — accumulate below ~$146.</t>
  </si>
  <si>
    <t xml:space="preserve">LRC Work-sheet 14 Oct: HOLD, 6-m target $157.05 (-1%), score 3.8/5. Fair value = the 6-MONTH Work-sheet target (a long-term DCF value would be higher for the growers). Growth = FY2022-FY2026 (4-yr CAGR) CAGR. Data: stockanalysis.com 13 Oct 2026 (Finviz Investment preset applied manually — Finviz blocked). — P. Nkuna</t>
  </si>
  <si>
    <t xml:space="preserve">Meta Platforms, Inc.</t>
  </si>
  <si>
    <t xml:space="preserve">Telecommunications</t>
  </si>
  <si>
    <t xml:space="preserve">Superb ad franchise, but AI capex is cutting FCF and the shares sit above our 6-month value — wait for a better price.</t>
  </si>
  <si>
    <t xml:space="preserve">LRC Work-sheet 14 Oct: SELL, 6-m target $677.14 (-11%), score 3.5/5. Fair value = the 6-MONTH Work-sheet target (a long-term DCF value would be higher for the growers). Growth = FY2021-FY2025 (4-yr CAGR) CAGR. Data: stockanalysis.com 13 Oct 2026 (Finviz Investment preset applied manually — Finviz blocked). — P. Nkuna</t>
  </si>
  <si>
    <t xml:space="preserve">Rejected</t>
  </si>
  <si>
    <t xml:space="preserve">AVOID / SELL-rated: ~55x forward EPS prices near-perfect AI GPU execution; NVIDIA offers more growth at ~19x.</t>
  </si>
  <si>
    <t xml:space="preserve">LRC Work-sheet 14 Oct: SELL, 6-m target $402.73 (-33%), score 3.3/5. Fair value = the 6-MONTH Work-sheet target (a long-term DCF value would be higher for the growers). Growth = FY2022-FY2025 3-yr CAGR (5-yr not gathered). Data: stockanalysis.com 13 Oct 2026 (Finviz Investment preset applied manually — Finviz blocked). LRC's investment track is LONG-ONLY: recorded as an avoid / SELL idea, not a short. — P. Nkuna</t>
  </si>
  <si>
    <t xml:space="preserve">AVOID / SELL-rated: AI-server winner but a thin-margin hardware business priced at ~20x after tripling in six months; negative equity.</t>
  </si>
  <si>
    <t xml:space="preserve">LRC Work-sheet 14 Oct: SELL, 6-m target $404.70 (-29%), score 3.1/5. Fair value = the 6-MONTH Work-sheet target (a long-term DCF value would be higher for the growers). Growth = FY2023-FY2026 3-yr CAGR (5-yr not gathered). Data: stockanalysis.com 13 Oct 2026 (Finviz Investment preset applied manually — Finviz blocked). LRC's investment track is LONG-ONLY: recorded as an avoid / SELL idea, not a short. — P. Nkuna</t>
  </si>
  <si>
    <t xml:space="preserve">AVOID / SELL-rated at this price: brilliant business at ~44x forward EPS with two customers &gt;10% of sales.</t>
  </si>
  <si>
    <t xml:space="preserve">LRC Work-sheet 14 Oct: SELL, 6-m target $144.61 (-29%), score 3.7/5. Fair value = the 6-MONTH Work-sheet target (a long-term DCF value would be higher for the growers). Growth = FY2022-FY2025 3-yr CAGR (5-yr not gathered). Data: stockanalysis.com 13 Oct 2026 (Finviz Investment preset applied manually — Finviz blocked). LRC's investment track is LONG-ONLY: recorded as an avoid / SELL idea, not a short. — P. Nkuna</t>
  </si>
  <si>
    <t xml:space="preserve">AVOID / SELL-rated at this price: superb distributor at ~38x forward EPS for ~9% growth.</t>
  </si>
  <si>
    <t xml:space="preserve">LRC Work-sheet 14 Oct: SELL, 6-m target $38.37 (-25%), score 3.5/5. Fair value = the 6-MONTH Work-sheet target (a long-term DCF value would be higher for the growers). Growth = FY2022-FY2025 3-yr CAGR (5-yr not gathered). Data: stockanalysis.com 13 Oct 2026 (Finviz Investment preset applied manually — Finviz blocked). LRC's investment track is LONG-ONLY: recorded as an avoid / SELL idea, not a short. — P. Nkuna</t>
  </si>
  <si>
    <t xml:space="preserve">AVOID / SELL-rated at this price: strong rail franchise at ~25x vs industrial peers ~15x.</t>
  </si>
  <si>
    <t xml:space="preserve">LRC Work-sheet 14 Oct: SELL, 6-m target $248.07 (-13%), score 3.5/5. Fair value = the 6-MONTH Work-sheet target (a long-term DCF value would be higher for the growers). Growth = FY2022-FY2025 3-yr CAGR (5-yr not gathered). Data: stockanalysis.com 13 Oct 2026 (Finviz Investment preset applied manually — Finviz blocked). LRC's investment track is LONG-ONLY: recorded as an avoid / SELL idea, not a short. — P. Nkuna</t>
  </si>
  <si>
    <t xml:space="preserve">Monthly Review — investment (first weekend of the month)</t>
  </si>
  <si>
    <t xml:space="preserve">Slow and thorough: quality first, price second. Log each month.</t>
  </si>
  <si>
    <t xml:space="preserve">1. Run the Finviz (US) and TradingView (JSE) investment presets</t>
  </si>
  <si>
    <t xml:space="preserve">2. Shortlist on quality: ROE, ROIC, margins, low debt, 5-year growth</t>
  </si>
  <si>
    <t xml:space="preserve">3. For each, write what it sells, who pays, why customers stay, and what could break it</t>
  </si>
  <si>
    <t xml:space="preserve">4. Score moat and management (0–2 each) honestly</t>
  </si>
  <si>
    <t xml:space="preserve">5. Add at least 5 candidates to the Investment Watchlist with this month's date</t>
  </si>
  <si>
    <t xml:space="preserve">6. Estimate fair value for B/A candidates (LRC template Valuation tab)</t>
  </si>
  <si>
    <t xml:space="preserve">7. Start the full LRC Stock Analysis Template for A-grades</t>
  </si>
  <si>
    <t xml:space="preserve">8. Owned names: update 'Price now', check the thesis and any Review signal</t>
  </si>
  <si>
    <t xml:space="preserve">N/A</t>
  </si>
  <si>
    <t xml:space="preserve">9. Log the month below</t>
  </si>
  <si>
    <t xml:space="preserve">Bought / sold (why)</t>
  </si>
  <si>
    <t xml:space="preserve">Thesis changes on holdings</t>
  </si>
  <si>
    <t xml:space="preserve">Lessons / actions</t>
  </si>
  <si>
    <t xml:space="preserve">INTU, NVDA, DECK (full LRC Work-sheets done 14 Oct)</t>
  </si>
  <si>
    <t xml:space="preserve">None bought or sold this month (investment track).</t>
  </si>
  <si>
    <t xml:space="preserve">No investment holdings yet. PCTY: 6-m target reached ($158 vs ~$157) — moved BUY → HOLD/Watch.</t>
  </si>
  <si>
    <t xml:space="preserve">Finviz Investment preset applied manually on stockanalysis.com data (Finviz blocked). 5 long candidates: INTU, NVDA, DECK (BUY) + PCTY, META (Watch). The track is LONG-ONLY, so the 5 'short' names (AMD, DELL, ANET, FAST, WAB) are logged as Rejected / avoid. Fair value column uses the 6-month Work-sheet target — add a 5-10 year DCF before any purchase. — P. Nkuna</t>
  </si>
  <si>
    <t xml:space="preserve">Screener settings — Finviz (US) and TradingView (JSE)</t>
  </si>
  <si>
    <t xml:space="preserve">Set these filters once and save them as presets ('Save screen' in Finviz, 'Save screen' in TradingView). Finviz covers US-listed stocks only, so JSE screens run in TradingView (Stock Screener → Market: South Africa). Filter names may differ slightly as the sites update.</t>
  </si>
  <si>
    <t xml:space="preserve">FINVIZ (US) — Screener → Descriptive / Fundamental / Technical tabs</t>
  </si>
  <si>
    <t xml:space="preserve">Finviz tab</t>
  </si>
  <si>
    <t xml:space="preserve">Filter</t>
  </si>
  <si>
    <t xml:space="preserve">SWING — LONG</t>
  </si>
  <si>
    <t xml:space="preserve">SWING — SHORT</t>
  </si>
  <si>
    <t xml:space="preserve">INVESTMENT</t>
  </si>
  <si>
    <t xml:space="preserve">Why</t>
  </si>
  <si>
    <t xml:space="preserve">Descriptive</t>
  </si>
  <si>
    <t xml:space="preserve">Market Cap.</t>
  </si>
  <si>
    <t xml:space="preserve">+Mid (over $2bln)</t>
  </si>
  <si>
    <t xml:space="preserve">+Large (over $10bln) — or +Mid</t>
  </si>
  <si>
    <t xml:space="preserve">Bigger = more liquid; small caps squeeze</t>
  </si>
  <si>
    <t xml:space="preserve">Average Volume</t>
  </si>
  <si>
    <t xml:space="preserve">Over 500K</t>
  </si>
  <si>
    <t xml:space="preserve">Over 1M</t>
  </si>
  <si>
    <t xml:space="preserve">Over 200K</t>
  </si>
  <si>
    <t xml:space="preserve">Shorts need extra liquidity to cover</t>
  </si>
  <si>
    <t xml:space="preserve">Over $10</t>
  </si>
  <si>
    <t xml:space="preserve">Over $5</t>
  </si>
  <si>
    <t xml:space="preserve">Avoid penny stocks</t>
  </si>
  <si>
    <t xml:space="preserve">Country</t>
  </si>
  <si>
    <t xml:space="preserve">USA</t>
  </si>
  <si>
    <t xml:space="preserve">Keeps the list to US companies</t>
  </si>
  <si>
    <t xml:space="preserve">Option/Short</t>
  </si>
  <si>
    <t xml:space="preserve">—</t>
  </si>
  <si>
    <t xml:space="preserve">Shortable (or Optionable)</t>
  </si>
  <si>
    <t xml:space="preserve">You must be able to borrow it</t>
  </si>
  <si>
    <t xml:space="preserve">Fundamental</t>
  </si>
  <si>
    <t xml:space="preserve">EPS growth this year</t>
  </si>
  <si>
    <t xml:space="preserve">CORE: Positive (&gt;0%)</t>
  </si>
  <si>
    <t xml:space="preserve">CORE: Negative (&lt;0%)</t>
  </si>
  <si>
    <t xml:space="preserve">Earnings direction supports the trade</t>
  </si>
  <si>
    <t xml:space="preserve">EPS growth qtr over qtr</t>
  </si>
  <si>
    <t xml:space="preserve">CORE: Over 15%</t>
  </si>
  <si>
    <t xml:space="preserve">The latest quarter is what moves a 3–12 month trade</t>
  </si>
  <si>
    <t xml:space="preserve">Sales growth qtr over qtr</t>
  </si>
  <si>
    <t xml:space="preserve">CORE: Over 10%</t>
  </si>
  <si>
    <t xml:space="preserve">Real demand, not cost cuts or buybacks</t>
  </si>
  <si>
    <t xml:space="preserve">EPS growth next year</t>
  </si>
  <si>
    <t xml:space="preserve">OPT: Positive (&gt;0%)</t>
  </si>
  <si>
    <t xml:space="preserve">OPT: Negative (&lt;0%)</t>
  </si>
  <si>
    <t xml:space="preserve">Analysts expect the trend to continue</t>
  </si>
  <si>
    <t xml:space="preserve">Earnings &amp; Revenue Surprise</t>
  </si>
  <si>
    <t xml:space="preserve">OPT: Both positive</t>
  </si>
  <si>
    <t xml:space="preserve">OPT: Both negative</t>
  </si>
  <si>
    <t xml:space="preserve">Beats drive re-ratings up; misses drive them down</t>
  </si>
  <si>
    <t xml:space="preserve">Ownership</t>
  </si>
  <si>
    <t xml:space="preserve">Institutional Ownership</t>
  </si>
  <si>
    <t xml:space="preserve">OPT: Over 30%</t>
  </si>
  <si>
    <t xml:space="preserve">Big funds still buying supports the trend</t>
  </si>
  <si>
    <t xml:space="preserve">EPS growth past 5 years</t>
  </si>
  <si>
    <t xml:space="preserve">Over 10%</t>
  </si>
  <si>
    <t xml:space="preserve">Proven long-term growth</t>
  </si>
  <si>
    <t xml:space="preserve">Sales growth past 5 years</t>
  </si>
  <si>
    <t xml:space="preserve">Over 5%</t>
  </si>
  <si>
    <t xml:space="preserve">Growth from real sales, not cost cuts</t>
  </si>
  <si>
    <t xml:space="preserve">Return on Equity</t>
  </si>
  <si>
    <t xml:space="preserve">Over +15%</t>
  </si>
  <si>
    <t xml:space="preserve">Quality: profit on shareholders' money</t>
  </si>
  <si>
    <t xml:space="preserve">Return on Investment</t>
  </si>
  <si>
    <t xml:space="preserve">Over +10%</t>
  </si>
  <si>
    <t xml:space="preserve">Quality: profit on all capital</t>
  </si>
  <si>
    <t xml:space="preserve">Operating Margin</t>
  </si>
  <si>
    <t xml:space="preserve">Over 15%</t>
  </si>
  <si>
    <t xml:space="preserve">Profitable longs; loss-making shorts</t>
  </si>
  <si>
    <t xml:space="preserve">Debt/Equity</t>
  </si>
  <si>
    <t xml:space="preserve">OPT: Under 1</t>
  </si>
  <si>
    <t xml:space="preserve">OPT: Over 1</t>
  </si>
  <si>
    <t xml:space="preserve">Under 0.5</t>
  </si>
  <si>
    <t xml:space="preserve">Debt hurts most when the business weakens</t>
  </si>
  <si>
    <t xml:space="preserve">Current Ratio</t>
  </si>
  <si>
    <t xml:space="preserve">Over 1</t>
  </si>
  <si>
    <t xml:space="preserve">Can pay its short-term bills</t>
  </si>
  <si>
    <t xml:space="preserve">Under 25</t>
  </si>
  <si>
    <t xml:space="preserve">Don't overpay (loosen to 30 for great businesses)</t>
  </si>
  <si>
    <t xml:space="preserve">P/Free Cash Flow</t>
  </si>
  <si>
    <t xml:space="preserve">Price vs the cash it really produces</t>
  </si>
  <si>
    <t xml:space="preserve">Descriptive / Settings</t>
  </si>
  <si>
    <t xml:space="preserve">Float Short</t>
  </si>
  <si>
    <t xml:space="preserve">Under 20%</t>
  </si>
  <si>
    <t xml:space="preserve">Avoid crowded shorts (squeeze risk)</t>
  </si>
  <si>
    <t xml:space="preserve">Technical</t>
  </si>
  <si>
    <t xml:space="preserve">50-Day Simple Moving Average</t>
  </si>
  <si>
    <t xml:space="preserve">Price above SMA50</t>
  </si>
  <si>
    <t xml:space="preserve">Price below SMA50</t>
  </si>
  <si>
    <t xml:space="preserve">Medium-term trend</t>
  </si>
  <si>
    <t xml:space="preserve">200-Day Simple Moving Average</t>
  </si>
  <si>
    <t xml:space="preserve">Price above SMA200</t>
  </si>
  <si>
    <t xml:space="preserve">Price below SMA200</t>
  </si>
  <si>
    <t xml:space="preserve">Optional: Price above SMA200</t>
  </si>
  <si>
    <t xml:space="preserve">Long-term trend</t>
  </si>
  <si>
    <t xml:space="preserve">50-Day Simple Moving Average (2nd)</t>
  </si>
  <si>
    <t xml:space="preserve">SMA50 above SMA200</t>
  </si>
  <si>
    <t xml:space="preserve">SMA50 below SMA200</t>
  </si>
  <si>
    <t xml:space="preserve">Trend structure</t>
  </si>
  <si>
    <t xml:space="preserve">Performance</t>
  </si>
  <si>
    <t xml:space="preserve">Half Up (or Half +10%)</t>
  </si>
  <si>
    <t xml:space="preserve">Half Down (or Half -10%)</t>
  </si>
  <si>
    <t xml:space="preserve">Leaders for longs, laggards for shorts</t>
  </si>
  <si>
    <t xml:space="preserve">Not Overbought (&lt;60) for pullbacks, or Any for breakouts</t>
  </si>
  <si>
    <t xml:space="preserve">Not Oversold (&gt;40) for failed rallies, or Any for breakdowns</t>
  </si>
  <si>
    <t xml:space="preserve">Don't chase stretched moves either way</t>
  </si>
  <si>
    <t xml:space="preserve">52-Week High/Low</t>
  </si>
  <si>
    <t xml:space="preserve">0-10% below High (or 0-20%)</t>
  </si>
  <si>
    <t xml:space="preserve">0-10% above Low (or 0-20%)</t>
  </si>
  <si>
    <t xml:space="preserve">Trade with the extreme</t>
  </si>
  <si>
    <t xml:space="preserve">After running</t>
  </si>
  <si>
    <t xml:space="preserve">View / sort</t>
  </si>
  <si>
    <t xml:space="preserve">'Technical' + 'Performance'; sort Perf Half ↓ (highest)</t>
  </si>
  <si>
    <t xml:space="preserve">'Technical' + 'Performance'; sort Perf Half ↑ (lowest)</t>
  </si>
  <si>
    <t xml:space="preserve">'Financial' + 'Valuation'; sort ROE ↓</t>
  </si>
  <si>
    <t xml:space="preserve">Then open the charts / reports of the top names</t>
  </si>
  <si>
    <t xml:space="preserve">CORE = always switch on.  OPT = add one at a time if the screen returns more than ~60 names; remove OPT filters if it returns fewer than ~15. Price/trend filters find the move; fundamental filters make sure there is a reason behind it.</t>
  </si>
  <si>
    <t xml:space="preserve">Finviz columns to copy into the sheets</t>
  </si>
  <si>
    <t xml:space="preserve">Swing sheet</t>
  </si>
  <si>
    <t xml:space="preserve">Price · Market Cap · Avg Volume · SMA20 · SMA50 · SMA200 (as % from the average) · RSI (14) · Perf Quarter · Perf Half · 52W High (as % below) · Rel Volume · EPS this Y · Short Float · Earnings date · ATR. Also glance at EPS Q/Q and Sales Q/Q on the quote page before entering — they are your fundamental check. All on the stock's Finviz quote page.</t>
  </si>
  <si>
    <t xml:space="preserve">Investment sheet</t>
  </si>
  <si>
    <t xml:space="preserve">Price · Market Cap · Forward P/E · PEG · P/FCF · ROE · ROI · Gross Margin · Oper. Margin · Debt/Eq · Current Ratio · EPS past 5Y · Sales past 5Y · Dividend % · Insider Own. All on the Finviz quote page.</t>
  </si>
  <si>
    <t xml:space="preserve">TRADINGVIEW (JSE) — Stock Screener → Market: South Africa</t>
  </si>
  <si>
    <t xml:space="preserve">Market capitalisation</t>
  </si>
  <si>
    <t xml:space="preserve">Above R10bn</t>
  </si>
  <si>
    <t xml:space="preserve">Above R20bn</t>
  </si>
  <si>
    <t xml:space="preserve">Liquidity and stability on the JSE</t>
  </si>
  <si>
    <t xml:space="preserve">Average volume × price (value traded)</t>
  </si>
  <si>
    <t xml:space="preserve">Above R20m a day</t>
  </si>
  <si>
    <t xml:space="preserve">Above R50m a day</t>
  </si>
  <si>
    <t xml:space="preserve">Above R10m a day</t>
  </si>
  <si>
    <t xml:space="preserve">Thinly traded JSE shares are hard to exit</t>
  </si>
  <si>
    <t xml:space="preserve">Price vs SMA 50 / SMA 200</t>
  </si>
  <si>
    <t xml:space="preserve">Price &gt; SMA50 &gt; SMA200</t>
  </si>
  <si>
    <t xml:space="preserve">Price &lt; SMA50 &lt; SMA200</t>
  </si>
  <si>
    <t xml:space="preserve">Optional</t>
  </si>
  <si>
    <t xml:space="preserve">Trend direction</t>
  </si>
  <si>
    <t xml:space="preserve">Performance 6 months</t>
  </si>
  <si>
    <t xml:space="preserve">Above the All Share</t>
  </si>
  <si>
    <t xml:space="preserve">Below the All Share (and below 0%)</t>
  </si>
  <si>
    <t xml:space="preserve">Relative strength / weakness</t>
  </si>
  <si>
    <t xml:space="preserve">40 – 70</t>
  </si>
  <si>
    <t xml:space="preserve">30 – 60</t>
  </si>
  <si>
    <t xml:space="preserve">Not stretched</t>
  </si>
  <si>
    <t xml:space="preserve">EPS growth (latest quarter, y/y)</t>
  </si>
  <si>
    <t xml:space="preserve">CORE: Above 15%</t>
  </si>
  <si>
    <t xml:space="preserve">CORE: Below 0%</t>
  </si>
  <si>
    <t xml:space="preserve">The latest quarter drives the next move</t>
  </si>
  <si>
    <t xml:space="preserve">Revenue growth (latest quarter, y/y)</t>
  </si>
  <si>
    <t xml:space="preserve">CORE: Above 10% (or above inflation + 5%)</t>
  </si>
  <si>
    <t xml:space="preserve">Real demand</t>
  </si>
  <si>
    <t xml:space="preserve">Return on equity</t>
  </si>
  <si>
    <t xml:space="preserve">Above 15%</t>
  </si>
  <si>
    <t xml:space="preserve">Quality</t>
  </si>
  <si>
    <t xml:space="preserve">Debt to equity</t>
  </si>
  <si>
    <t xml:space="preserve">OPT: Below 1</t>
  </si>
  <si>
    <t xml:space="preserve">OPT: Above 1</t>
  </si>
  <si>
    <t xml:space="preserve">Below 0.5</t>
  </si>
  <si>
    <t xml:space="preserve">Low debt / stretched balance sheet</t>
  </si>
  <si>
    <t xml:space="preserve">Price to earnings (forward if available)</t>
  </si>
  <si>
    <t xml:space="preserve">Below 20</t>
  </si>
  <si>
    <t xml:space="preserve">JSE multiples are lower than US</t>
  </si>
  <si>
    <t xml:space="preserve">Revenue / EPS growth (5 years or TTM)</t>
  </si>
  <si>
    <t xml:space="preserve">EPS growth TTM above 0%</t>
  </si>
  <si>
    <t xml:space="preserve">EPS growth TTM below 0%</t>
  </si>
  <si>
    <t xml:space="preserve">Revenue growth above inflation (~5%)</t>
  </si>
  <si>
    <t xml:space="preserve">Earnings direction</t>
  </si>
  <si>
    <t xml:space="preserve">JSE prices are in cents on many sites — divide by 100 for Rand.</t>
  </si>
  <si>
    <t xml:space="preserve">JSE shorts: CFDs or single-stock futures only. Check your broker offers the CFD.</t>
  </si>
  <si>
    <t xml:space="preserve">Check HEPS (headline EPS) in the results, not just EPS.</t>
  </si>
  <si>
    <t xml:space="preserve">Dropdown lists — edit here.</t>
  </si>
  <si>
    <t xml:space="preserve">Markets</t>
  </si>
  <si>
    <t xml:space="preserve">Setups</t>
  </si>
  <si>
    <t xml:space="preserve">SwingStatus</t>
  </si>
  <si>
    <t xml:space="preserve">InvStatus</t>
  </si>
  <si>
    <t xml:space="preserve">YN</t>
  </si>
  <si>
    <t xml:space="preserve">Score02</t>
  </si>
  <si>
    <t xml:space="preserve">Sectors</t>
  </si>
  <si>
    <t xml:space="preserve">LONG: Breakout from base</t>
  </si>
  <si>
    <t xml:space="preserve">Screened</t>
  </si>
  <si>
    <t xml:space="preserve">0</t>
  </si>
  <si>
    <t xml:space="preserve">JSE</t>
  </si>
  <si>
    <t xml:space="preserve">1</t>
  </si>
  <si>
    <t xml:space="preserve">Financials</t>
  </si>
  <si>
    <t xml:space="preserve">LONG: Trend continuation</t>
  </si>
  <si>
    <t xml:space="preserve">Open position</t>
  </si>
  <si>
    <t xml:space="preserve">2</t>
  </si>
  <si>
    <t xml:space="preserve">Health Care</t>
  </si>
  <si>
    <t xml:space="preserve">LONG: Earnings gap up &amp; hold</t>
  </si>
  <si>
    <t xml:space="preserve">Closed</t>
  </si>
  <si>
    <t xml:space="preserve">Sold</t>
  </si>
  <si>
    <t xml:space="preserve">Consumer Staples</t>
  </si>
  <si>
    <t xml:space="preserve">SHORT: Rally into falling 20/50-day avg</t>
  </si>
  <si>
    <t xml:space="preserve">Basic Materials</t>
  </si>
  <si>
    <t xml:space="preserve">Energy</t>
  </si>
  <si>
    <t xml:space="preserve">SHORT: Earnings gap down &amp; hold</t>
  </si>
  <si>
    <t xml:space="preserve">Real Estate</t>
  </si>
  <si>
    <t xml:space="preserve">Utilities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</si>
</sst>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mmm\ yyyy"/>
    <numFmt numFmtId="167" formatCode="0"/>
    <numFmt numFmtId="168" formatCode="0.0%;\-0.0%;0.0%"/>
    <numFmt numFmtId="169" formatCode="#,##0.00;\-#,##0.00;\-"/>
    <numFmt numFmtId="170" formatCode="#,##0;\-#,##0;\-"/>
    <numFmt numFmtId="171" formatCode="0.00"/>
    <numFmt numFmtId="172" formatCode="0.0\x"/>
    <numFmt numFmtId="173" formatCode="#,##0.##"/>
    <numFmt numFmtId="174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8"/>
      <color rgb="FFA6A6A6"/>
      <name val="Arial"/>
      <family val="0"/>
      <charset val="1"/>
    </font>
    <font>
      <b val="true"/>
      <sz val="1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63BE7B"/>
        </patternFill>
      </fill>
    </dxf>
    <dxf>
      <fill>
        <patternFill>
          <bgColor rgb="FFFFD966"/>
        </patternFill>
      </fill>
    </dxf>
    <dxf>
      <fill>
        <patternFill>
          <bgColor rgb="FFF8696B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DDEBF7"/>
        </patternFill>
      </fill>
    </dxf>
    <dxf>
      <font>
        <name val="Arial"/>
        <charset val="1"/>
        <family val="0"/>
        <color rgb="FFC00000"/>
      </font>
    </dxf>
    <dxf>
      <font>
        <name val="Arial"/>
        <charset val="1"/>
        <family val="0"/>
        <b val="1"/>
        <color rgb="FF006100"/>
        <sz val="12"/>
      </font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B08D57"/>
      <rgbColor rgb="FFA6A6A6"/>
      <rgbColor rgb="FF7030A0"/>
      <rgbColor rgb="FFFFF2CC"/>
      <rgbColor rgb="FFDDEBF7"/>
      <rgbColor rgb="FF660066"/>
      <rgbColor rgb="FFF869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CE4D6"/>
      <rgbColor rgb="FFCC99FF"/>
      <rgbColor rgb="FFFFC7CE"/>
      <rgbColor rgb="FF2E75B6"/>
      <rgbColor rgb="FF63BE7B"/>
      <rgbColor rgb="FF99CC00"/>
      <rgbColor rgb="FFFFD966"/>
      <rgbColor rgb="FFFF9900"/>
      <rgbColor rgb="FFC55A11"/>
      <rgbColor rgb="FF595959"/>
      <rgbColor rgb="FFA5A5A5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865440</xdr:colOff>
      <xdr:row>0</xdr:row>
      <xdr:rowOff>570240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865440" cy="57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420840</xdr:colOff>
      <xdr:row>0</xdr:row>
      <xdr:rowOff>570240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865440" cy="57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865440</xdr:colOff>
      <xdr:row>0</xdr:row>
      <xdr:rowOff>570240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865440" cy="57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865440</xdr:colOff>
      <xdr:row>0</xdr:row>
      <xdr:rowOff>570240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865440" cy="57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865440</xdr:colOff>
      <xdr:row>0</xdr:row>
      <xdr:rowOff>570240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0"/>
          <a:ext cx="865440" cy="57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865440</xdr:colOff>
      <xdr:row>0</xdr:row>
      <xdr:rowOff>570240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0"/>
          <a:ext cx="865440" cy="57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865440</xdr:colOff>
      <xdr:row>0</xdr:row>
      <xdr:rowOff>570240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0" y="0"/>
          <a:ext cx="865440" cy="57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865440</xdr:colOff>
      <xdr:row>0</xdr:row>
      <xdr:rowOff>570240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0" y="0"/>
          <a:ext cx="865440" cy="57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865440</xdr:colOff>
      <xdr:row>0</xdr:row>
      <xdr:rowOff>570240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0" y="0"/>
          <a:ext cx="865440" cy="57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22"/>
  </cols>
  <sheetData>
    <row r="1" customFormat="false" ht="51.75" hidden="false" customHeight="true" outlineLevel="0" collapsed="false">
      <c r="C1" s="2" t="s">
        <v>0</v>
      </c>
      <c r="D1" s="2"/>
      <c r="E1" s="2"/>
      <c r="F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  <c r="F4" s="4"/>
    </row>
    <row r="5" customFormat="false" ht="43.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</row>
    <row r="6" customFormat="false" ht="30" hidden="false" customHeight="true" outlineLevel="0" collapsed="false">
      <c r="A6" s="5" t="s">
        <v>5</v>
      </c>
      <c r="B6" s="6" t="s">
        <v>6</v>
      </c>
      <c r="C6" s="6"/>
      <c r="D6" s="6"/>
      <c r="E6" s="6"/>
      <c r="F6" s="6"/>
    </row>
    <row r="7" customFormat="false" ht="15" hidden="false" customHeight="false" outlineLevel="0" collapsed="false">
      <c r="A7" s="4" t="s">
        <v>7</v>
      </c>
      <c r="B7" s="4"/>
      <c r="C7" s="4"/>
      <c r="D7" s="4"/>
      <c r="E7" s="4"/>
      <c r="F7" s="4"/>
    </row>
    <row r="8" customFormat="false" ht="15.75" hidden="false" customHeight="true" outlineLevel="0" collapsed="false">
      <c r="A8" s="5" t="s">
        <v>8</v>
      </c>
      <c r="B8" s="6" t="s">
        <v>9</v>
      </c>
      <c r="C8" s="6"/>
      <c r="D8" s="6"/>
      <c r="E8" s="6"/>
      <c r="F8" s="6"/>
    </row>
    <row r="9" customFormat="false" ht="30" hidden="false" customHeight="true" outlineLevel="0" collapsed="false">
      <c r="A9" s="5" t="s">
        <v>10</v>
      </c>
      <c r="B9" s="6" t="s">
        <v>11</v>
      </c>
      <c r="C9" s="6"/>
      <c r="D9" s="6"/>
      <c r="E9" s="6"/>
      <c r="F9" s="6"/>
    </row>
    <row r="10" customFormat="false" ht="15.75" hidden="false" customHeight="true" outlineLevel="0" collapsed="false">
      <c r="A10" s="5" t="s">
        <v>12</v>
      </c>
      <c r="B10" s="6" t="s">
        <v>13</v>
      </c>
      <c r="C10" s="6"/>
      <c r="D10" s="6"/>
      <c r="E10" s="6"/>
      <c r="F10" s="6"/>
    </row>
    <row r="11" customFormat="false" ht="15.75" hidden="false" customHeight="true" outlineLevel="0" collapsed="false">
      <c r="A11" s="5" t="s">
        <v>14</v>
      </c>
      <c r="B11" s="6" t="s">
        <v>15</v>
      </c>
      <c r="C11" s="6"/>
      <c r="D11" s="6"/>
      <c r="E11" s="6"/>
      <c r="F11" s="6"/>
    </row>
    <row r="12" customFormat="false" ht="30" hidden="false" customHeight="true" outlineLevel="0" collapsed="false">
      <c r="A12" s="5" t="s">
        <v>16</v>
      </c>
      <c r="B12" s="6" t="s">
        <v>17</v>
      </c>
      <c r="C12" s="6"/>
      <c r="D12" s="6"/>
      <c r="E12" s="6"/>
      <c r="F12" s="6"/>
    </row>
    <row r="13" customFormat="false" ht="15" hidden="false" customHeight="false" outlineLevel="0" collapsed="false">
      <c r="A13" s="4" t="s">
        <v>18</v>
      </c>
      <c r="B13" s="4"/>
      <c r="C13" s="4"/>
      <c r="D13" s="4"/>
      <c r="E13" s="4"/>
      <c r="F13" s="4"/>
    </row>
    <row r="14" customFormat="false" ht="15.75" hidden="false" customHeight="true" outlineLevel="0" collapsed="false">
      <c r="A14" s="5" t="s">
        <v>19</v>
      </c>
      <c r="B14" s="6" t="s">
        <v>20</v>
      </c>
      <c r="C14" s="6"/>
      <c r="D14" s="6"/>
      <c r="E14" s="6"/>
      <c r="F14" s="6"/>
    </row>
    <row r="15" customFormat="false" ht="15.75" hidden="false" customHeight="true" outlineLevel="0" collapsed="false">
      <c r="A15" s="5" t="s">
        <v>21</v>
      </c>
      <c r="B15" s="6" t="s">
        <v>22</v>
      </c>
      <c r="C15" s="6"/>
      <c r="D15" s="6"/>
      <c r="E15" s="6"/>
      <c r="F15" s="6"/>
    </row>
    <row r="16" customFormat="false" ht="15.75" hidden="false" customHeight="true" outlineLevel="0" collapsed="false">
      <c r="A16" s="5" t="s">
        <v>23</v>
      </c>
      <c r="B16" s="6" t="s">
        <v>24</v>
      </c>
      <c r="C16" s="6"/>
      <c r="D16" s="6"/>
      <c r="E16" s="6"/>
      <c r="F16" s="6"/>
    </row>
    <row r="17" customFormat="false" ht="43.5" hidden="false" customHeight="true" outlineLevel="0" collapsed="false">
      <c r="A17" s="5" t="s">
        <v>25</v>
      </c>
      <c r="B17" s="6" t="s">
        <v>26</v>
      </c>
      <c r="C17" s="6"/>
      <c r="D17" s="6"/>
      <c r="E17" s="6"/>
      <c r="F17" s="6"/>
    </row>
    <row r="18" customFormat="false" ht="30" hidden="false" customHeight="true" outlineLevel="0" collapsed="false">
      <c r="A18" s="5" t="s">
        <v>27</v>
      </c>
      <c r="B18" s="6" t="s">
        <v>28</v>
      </c>
      <c r="C18" s="6"/>
      <c r="D18" s="6"/>
      <c r="E18" s="6"/>
      <c r="F18" s="6"/>
    </row>
  </sheetData>
  <mergeCells count="17">
    <mergeCell ref="C1:F1"/>
    <mergeCell ref="A2:F2"/>
    <mergeCell ref="A4:F4"/>
    <mergeCell ref="B5:F5"/>
    <mergeCell ref="B6:F6"/>
    <mergeCell ref="A7:F7"/>
    <mergeCell ref="B8:F8"/>
    <mergeCell ref="B9:F9"/>
    <mergeCell ref="B10:F10"/>
    <mergeCell ref="B11:F11"/>
    <mergeCell ref="B12:F12"/>
    <mergeCell ref="A13:F13"/>
    <mergeCell ref="B14:F14"/>
    <mergeCell ref="B15:F15"/>
    <mergeCell ref="B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8D57"/>
    <pageSetUpPr fitToPage="tru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7"/>
    <col collapsed="false" customWidth="true" hidden="false" outlineLevel="0" max="5" min="4" style="1" width="8"/>
    <col collapsed="false" customWidth="true" hidden="false" outlineLevel="0" max="6" min="6" style="1" width="30"/>
    <col collapsed="false" customWidth="true" hidden="false" outlineLevel="0" max="7" min="7" style="1" width="3"/>
    <col collapsed="false" customWidth="true" hidden="false" outlineLevel="0" max="8" min="8" style="1" width="5"/>
    <col collapsed="false" customWidth="true" hidden="false" outlineLevel="0" max="9" min="9" style="1" width="10"/>
    <col collapsed="false" customWidth="true" hidden="false" outlineLevel="0" max="10" min="10" style="1" width="7"/>
    <col collapsed="false" customWidth="true" hidden="false" outlineLevel="0" max="12" min="11" style="1" width="8"/>
    <col collapsed="false" customWidth="true" hidden="false" outlineLevel="0" max="13" min="13" style="1" width="18"/>
    <col collapsed="false" customWidth="true" hidden="false" outlineLevel="0" max="14" min="14" style="1" width="14"/>
  </cols>
  <sheetData>
    <row r="1" customFormat="false" ht="51.75" hidden="false" customHeight="true" outlineLevel="0" collapsed="false">
      <c r="C1" s="2" t="s">
        <v>29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0" hidden="false" customHeight="true" outlineLevel="0" collapsed="false">
      <c r="A2" s="3" t="s">
        <v>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false" outlineLevel="0" collapsed="false">
      <c r="A4" s="4" t="s">
        <v>31</v>
      </c>
      <c r="B4" s="4"/>
      <c r="C4" s="4"/>
      <c r="D4" s="4"/>
      <c r="E4" s="4"/>
      <c r="F4" s="4"/>
      <c r="H4" s="4" t="s">
        <v>32</v>
      </c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7" t="s">
        <v>33</v>
      </c>
      <c r="B5" s="7"/>
      <c r="C5" s="7"/>
      <c r="D5" s="8" t="n">
        <f aca="false">IF('Swing Watchlist'!$C$4="","",'Swing Watchlist'!$C$4)</f>
        <v>46316</v>
      </c>
      <c r="E5" s="8"/>
      <c r="F5" s="8"/>
      <c r="H5" s="7" t="s">
        <v>34</v>
      </c>
      <c r="I5" s="7"/>
      <c r="J5" s="7"/>
      <c r="K5" s="9" t="n">
        <f aca="false">IF('Investment Watchlist'!$C$4="","",'Investment Watchlist'!$C$4)</f>
        <v>46296</v>
      </c>
      <c r="L5" s="9"/>
      <c r="M5" s="9"/>
      <c r="N5" s="9"/>
    </row>
    <row r="6" customFormat="false" ht="15" hidden="false" customHeight="false" outlineLevel="0" collapsed="false">
      <c r="A6" s="7" t="s">
        <v>35</v>
      </c>
      <c r="B6" s="7"/>
      <c r="C6" s="7"/>
      <c r="D6" s="10" t="n">
        <f aca="false">'Swing Watchlist'!U4</f>
        <v>13</v>
      </c>
      <c r="E6" s="10"/>
      <c r="F6" s="10"/>
      <c r="H6" s="7" t="s">
        <v>35</v>
      </c>
      <c r="I6" s="7"/>
      <c r="J6" s="7"/>
      <c r="K6" s="10" t="n">
        <f aca="false">'Investment Watchlist'!L4</f>
        <v>10</v>
      </c>
      <c r="L6" s="10"/>
      <c r="M6" s="10"/>
      <c r="N6" s="10"/>
    </row>
    <row r="7" customFormat="false" ht="15" hidden="false" customHeight="false" outlineLevel="0" collapsed="false">
      <c r="A7" s="7" t="s">
        <v>36</v>
      </c>
      <c r="B7" s="7"/>
      <c r="C7" s="7"/>
      <c r="D7" s="11" t="str">
        <f aca="false">'Swing Watchlist'!V4</f>
        <v>✔ minimum met</v>
      </c>
      <c r="E7" s="11"/>
      <c r="F7" s="11"/>
      <c r="H7" s="7" t="s">
        <v>36</v>
      </c>
      <c r="I7" s="7"/>
      <c r="J7" s="7"/>
      <c r="K7" s="11" t="str">
        <f aca="false">'Investment Watchlist'!M4</f>
        <v>✔ minimum met</v>
      </c>
      <c r="L7" s="11"/>
      <c r="M7" s="11"/>
      <c r="N7" s="11"/>
    </row>
    <row r="8" customFormat="false" ht="15" hidden="false" customHeight="false" outlineLevel="0" collapsed="false">
      <c r="A8" s="7" t="s">
        <v>37</v>
      </c>
      <c r="B8" s="7"/>
      <c r="C8" s="7"/>
      <c r="D8" s="11" t="str">
        <f aca="false">'Swing Watchlist'!U5&amp;"  ·  "&amp;'Swing Watchlist'!U6</f>
        <v>13 / 0  ·  3 / 10</v>
      </c>
      <c r="E8" s="11"/>
      <c r="F8" s="11"/>
      <c r="H8" s="7" t="s">
        <v>38</v>
      </c>
      <c r="I8" s="7"/>
      <c r="J8" s="7"/>
      <c r="K8" s="11" t="str">
        <f aca="false">'Investment Watchlist'!L5</f>
        <v>10 / 0</v>
      </c>
      <c r="L8" s="11"/>
      <c r="M8" s="11"/>
      <c r="N8" s="11"/>
    </row>
    <row r="9" customFormat="false" ht="15" hidden="false" customHeight="false" outlineLevel="0" collapsed="false">
      <c r="A9" s="7" t="s">
        <v>39</v>
      </c>
      <c r="B9" s="7"/>
      <c r="C9" s="7"/>
      <c r="D9" s="11" t="str">
        <f aca="false">COUNTIFS('Swing Watchlist'!$A$11:$A$210,'Swing Watchlist'!$C$4,'Swing Watchlist'!$AK$11:$AK$210,"A")&amp;" / "&amp;COUNTIFS('Swing Watchlist'!$A$11:$A$210,'Swing Watchlist'!$C$4,'Swing Watchlist'!$AK$11:$AK$210,"B")&amp;" / "&amp;COUNTIFS('Swing Watchlist'!$A$11:$A$210,'Swing Watchlist'!$C$4,'Swing Watchlist'!$AK$11:$AK$210,"C")</f>
        <v>0 / 9 / 4</v>
      </c>
      <c r="E9" s="11"/>
      <c r="F9" s="11"/>
      <c r="H9" s="7" t="s">
        <v>39</v>
      </c>
      <c r="I9" s="7"/>
      <c r="J9" s="7"/>
      <c r="K9" s="11" t="str">
        <f aca="false">COUNTIFS('Investment Watchlist'!$A$9:$A$158,'Investment Watchlist'!$C$4,'Investment Watchlist'!$AG$9:$AG$158,"A")&amp;" / "&amp;COUNTIFS('Investment Watchlist'!$A$9:$A$158,'Investment Watchlist'!$C$4,'Investment Watchlist'!$AG$9:$AG$158,"B")&amp;" / "&amp;COUNTIFS('Investment Watchlist'!$A$9:$A$158,'Investment Watchlist'!$C$4,'Investment Watchlist'!$AG$9:$AG$158,"C")</f>
        <v>5 / 4 / 1</v>
      </c>
      <c r="L9" s="11"/>
      <c r="M9" s="11"/>
      <c r="N9" s="11"/>
    </row>
    <row r="10" customFormat="false" ht="15" hidden="false" customHeight="false" outlineLevel="0" collapsed="false">
      <c r="A10" s="7" t="s">
        <v>40</v>
      </c>
      <c r="B10" s="7"/>
      <c r="C10" s="7"/>
      <c r="D10" s="10" t="n">
        <f aca="false">COUNTIF('Swing Watchlist'!$AP$11:$AP$210,"Open position")</f>
        <v>0</v>
      </c>
      <c r="E10" s="10"/>
      <c r="F10" s="10"/>
      <c r="H10" s="7" t="s">
        <v>41</v>
      </c>
      <c r="I10" s="7"/>
      <c r="J10" s="7"/>
      <c r="K10" s="10" t="n">
        <f aca="false">COUNTIF('Investment Watchlist'!$AI$9:$AI$158,"Owned")</f>
        <v>0</v>
      </c>
      <c r="L10" s="10"/>
      <c r="M10" s="10"/>
      <c r="N10" s="10"/>
    </row>
    <row r="11" customFormat="false" ht="15" hidden="false" customHeight="false" outlineLevel="0" collapsed="false">
      <c r="A11" s="7" t="s">
        <v>42</v>
      </c>
      <c r="B11" s="7"/>
      <c r="C11" s="7"/>
      <c r="D11" s="10" t="n">
        <f aca="false">COUNTIF('Swing Watchlist'!$AU$11:$AU$210,"SELL*")+COUNTIF('Swing Watchlist'!$AU$11:$AU$210,"COVER*")+COUNTIF('Swing Watchlist'!$AU$11:$AU$210,"TAKE*")</f>
        <v>0</v>
      </c>
      <c r="E11" s="10"/>
      <c r="F11" s="10"/>
      <c r="H11" s="7" t="s">
        <v>43</v>
      </c>
      <c r="I11" s="7"/>
      <c r="J11" s="7"/>
      <c r="K11" s="10" t="n">
        <f aca="false">COUNTIF('Investment Watchlist'!$AH$9:$AH$158,"Full*")</f>
        <v>5</v>
      </c>
      <c r="L11" s="10"/>
      <c r="M11" s="10"/>
      <c r="N11" s="10"/>
    </row>
    <row r="12" customFormat="false" ht="15" hidden="false" customHeight="false" outlineLevel="0" collapsed="false">
      <c r="A12" s="7" t="s">
        <v>44</v>
      </c>
      <c r="B12" s="7"/>
      <c r="C12" s="7"/>
      <c r="D12" s="10" t="n">
        <f aca="false">COUNTIF('Swing Watchlist'!$AU$11:$AU$210,"REVIEW*")</f>
        <v>0</v>
      </c>
      <c r="E12" s="10"/>
      <c r="F12" s="10"/>
      <c r="H12" s="7" t="s">
        <v>44</v>
      </c>
      <c r="I12" s="7"/>
      <c r="J12" s="7"/>
      <c r="K12" s="10" t="n">
        <f aca="false">COUNTIF('Investment Watchlist'!$AH$9:$AH$158,"REVIEW*")</f>
        <v>0</v>
      </c>
      <c r="L12" s="10"/>
      <c r="M12" s="10"/>
      <c r="N12" s="10"/>
    </row>
    <row r="14" customFormat="false" ht="15" hidden="false" customHeight="false" outlineLevel="0" collapsed="false">
      <c r="A14" s="4" t="s">
        <v>45</v>
      </c>
      <c r="B14" s="4"/>
      <c r="C14" s="4"/>
      <c r="D14" s="4"/>
      <c r="E14" s="4"/>
      <c r="F14" s="4"/>
      <c r="H14" s="4" t="s">
        <v>46</v>
      </c>
      <c r="I14" s="4"/>
      <c r="J14" s="4"/>
      <c r="K14" s="4"/>
      <c r="L14" s="4"/>
      <c r="M14" s="4"/>
      <c r="N14" s="4"/>
    </row>
    <row r="15" customFormat="false" ht="15" hidden="false" customHeight="true" outlineLevel="0" collapsed="false">
      <c r="A15" s="12" t="s">
        <v>47</v>
      </c>
      <c r="B15" s="12" t="s">
        <v>48</v>
      </c>
      <c r="C15" s="12" t="s">
        <v>49</v>
      </c>
      <c r="D15" s="12" t="s">
        <v>50</v>
      </c>
      <c r="E15" s="12" t="s">
        <v>51</v>
      </c>
      <c r="F15" s="12" t="s">
        <v>52</v>
      </c>
      <c r="H15" s="12" t="s">
        <v>47</v>
      </c>
      <c r="I15" s="12" t="s">
        <v>48</v>
      </c>
      <c r="J15" s="12" t="s">
        <v>53</v>
      </c>
      <c r="K15" s="12" t="s">
        <v>50</v>
      </c>
      <c r="L15" s="12" t="s">
        <v>51</v>
      </c>
      <c r="M15" s="12" t="s">
        <v>52</v>
      </c>
      <c r="N15" s="12"/>
    </row>
    <row r="16" customFormat="false" ht="15" hidden="false" customHeight="false" outlineLevel="0" collapsed="false">
      <c r="A16" s="13" t="n">
        <v>1</v>
      </c>
      <c r="B16" s="14" t="str">
        <f aca="false">IFERROR(INDEX('Swing Watchlist'!$C$11:$C$210,MATCH(LARGE('Swing Watchlist'!$AX$11:$AX$210,1),'Swing Watchlist'!$AX$11:$AX$210,0)),"")</f>
        <v>NKE</v>
      </c>
      <c r="C16" s="15" t="str">
        <f aca="false">IFERROR(IF(INDEX('Swing Watchlist'!$F$11:$F$210,MATCH(LARGE('Swing Watchlist'!$AX$11:$AX$210,1),'Swing Watchlist'!$AX$11:$AX$210,0))="Short","Short","Long"),"")</f>
        <v>Short</v>
      </c>
      <c r="D16" s="16" t="n">
        <f aca="false">IFERROR(INDEX('Swing Watchlist'!$AJ$11:$AJ$210,MATCH(LARGE('Swing Watchlist'!$AX$11:$AX$210,1),'Swing Watchlist'!$AX$11:$AX$210,0)),"")</f>
        <v>13</v>
      </c>
      <c r="E16" s="15" t="str">
        <f aca="false">IFERROR(INDEX('Swing Watchlist'!$AK$11:$AK$210,MATCH(LARGE('Swing Watchlist'!$AX$11:$AX$210,1),'Swing Watchlist'!$AX$11:$AX$210,0)),"")</f>
        <v>B</v>
      </c>
      <c r="F16" s="17" t="str">
        <f aca="false">IFERROR(INDEX('Swing Watchlist'!$AU$11:$AU$210,MATCH(LARGE('Swing Watchlist'!$AX$11:$AX$210,1),'Swing Watchlist'!$AX$11:$AX$210,0)),"")</f>
        <v>Watch — wait for setup</v>
      </c>
      <c r="H16" s="13" t="n">
        <v>1</v>
      </c>
      <c r="I16" s="14" t="str">
        <f aca="false">IFERROR(INDEX('Investment Watchlist'!$C$9:$C$158,MATCH(LARGE('Investment Watchlist'!$AP$9:$AP$158,1),'Investment Watchlist'!$AP$9:$AP$158,0)),"")</f>
        <v>INTU</v>
      </c>
      <c r="J16" s="15" t="str">
        <f aca="false">IFERROR(INDEX('Investment Watchlist'!$B$9:$B$158,MATCH(LARGE('Investment Watchlist'!$AP$9:$AP$158,1),'Investment Watchlist'!$AP$9:$AP$158,0)),"")</f>
        <v>US</v>
      </c>
      <c r="K16" s="16" t="n">
        <f aca="false">IFERROR(INDEX('Investment Watchlist'!$AF$9:$AF$158,MATCH(LARGE('Investment Watchlist'!$AP$9:$AP$158,1),'Investment Watchlist'!$AP$9:$AP$158,0)),"")</f>
        <v>24</v>
      </c>
      <c r="L16" s="15" t="str">
        <f aca="false">IFERROR(INDEX('Investment Watchlist'!$AG$9:$AG$158,MATCH(LARGE('Investment Watchlist'!$AP$9:$AP$158,1),'Investment Watchlist'!$AP$9:$AP$158,0)),"")</f>
        <v>A</v>
      </c>
      <c r="M16" s="18" t="str">
        <f aca="false">IFERROR(INDEX('Investment Watchlist'!$AH$9:$AH$158,MATCH(LARGE('Investment Watchlist'!$AP$9:$AP$158,1),'Investment Watchlist'!$AP$9:$AP$158,0)),"")</f>
        <v>Full LRC Stock Analysis</v>
      </c>
      <c r="N16" s="18"/>
    </row>
    <row r="17" customFormat="false" ht="15" hidden="false" customHeight="false" outlineLevel="0" collapsed="false">
      <c r="A17" s="13" t="n">
        <v>2</v>
      </c>
      <c r="B17" s="14" t="str">
        <f aca="false">IFERROR(INDEX('Swing Watchlist'!$C$11:$C$210,MATCH(LARGE('Swing Watchlist'!$AX$11:$AX$210,2),'Swing Watchlist'!$AX$11:$AX$210,0)),"")</f>
        <v>KEYS</v>
      </c>
      <c r="C17" s="15" t="str">
        <f aca="false">IFERROR(IF(INDEX('Swing Watchlist'!$F$11:$F$210,MATCH(LARGE('Swing Watchlist'!$AX$11:$AX$210,2),'Swing Watchlist'!$AX$11:$AX$210,0))="Short","Short","Long"),"")</f>
        <v>Short</v>
      </c>
      <c r="D17" s="16" t="n">
        <f aca="false">IFERROR(INDEX('Swing Watchlist'!$AJ$11:$AJ$210,MATCH(LARGE('Swing Watchlist'!$AX$11:$AX$210,2),'Swing Watchlist'!$AX$11:$AX$210,0)),"")</f>
        <v>12</v>
      </c>
      <c r="E17" s="15" t="str">
        <f aca="false">IFERROR(INDEX('Swing Watchlist'!$AK$11:$AK$210,MATCH(LARGE('Swing Watchlist'!$AX$11:$AX$210,2),'Swing Watchlist'!$AX$11:$AX$210,0)),"")</f>
        <v>B</v>
      </c>
      <c r="F17" s="17" t="str">
        <f aca="false">IFERROR(INDEX('Swing Watchlist'!$AU$11:$AU$210,MATCH(LARGE('Swing Watchlist'!$AX$11:$AX$210,2),'Swing Watchlist'!$AX$11:$AX$210,0)),"")</f>
        <v>Watch — wait for setup</v>
      </c>
      <c r="H17" s="13" t="n">
        <v>2</v>
      </c>
      <c r="I17" s="14" t="str">
        <f aca="false">IFERROR(INDEX('Investment Watchlist'!$C$9:$C$158,MATCH(LARGE('Investment Watchlist'!$AP$9:$AP$158,2),'Investment Watchlist'!$AP$9:$AP$158,0)),"")</f>
        <v>DECK</v>
      </c>
      <c r="J17" s="15" t="str">
        <f aca="false">IFERROR(INDEX('Investment Watchlist'!$B$9:$B$158,MATCH(LARGE('Investment Watchlist'!$AP$9:$AP$158,2),'Investment Watchlist'!$AP$9:$AP$158,0)),"")</f>
        <v>US</v>
      </c>
      <c r="K17" s="16" t="n">
        <f aca="false">IFERROR(INDEX('Investment Watchlist'!$AF$9:$AF$158,MATCH(LARGE('Investment Watchlist'!$AP$9:$AP$158,2),'Investment Watchlist'!$AP$9:$AP$158,0)),"")</f>
        <v>21</v>
      </c>
      <c r="L17" s="15" t="str">
        <f aca="false">IFERROR(INDEX('Investment Watchlist'!$AG$9:$AG$158,MATCH(LARGE('Investment Watchlist'!$AP$9:$AP$158,2),'Investment Watchlist'!$AP$9:$AP$158,0)),"")</f>
        <v>A</v>
      </c>
      <c r="M17" s="18" t="str">
        <f aca="false">IFERROR(INDEX('Investment Watchlist'!$AH$9:$AH$158,MATCH(LARGE('Investment Watchlist'!$AP$9:$AP$158,2),'Investment Watchlist'!$AP$9:$AP$158,0)),"")</f>
        <v>Full LRC Stock Analysis</v>
      </c>
      <c r="N17" s="18"/>
    </row>
    <row r="18" customFormat="false" ht="15" hidden="false" customHeight="false" outlineLevel="0" collapsed="false">
      <c r="A18" s="13" t="n">
        <v>3</v>
      </c>
      <c r="B18" s="14" t="str">
        <f aca="false">IFERROR(INDEX('Swing Watchlist'!$C$11:$C$210,MATCH(LARGE('Swing Watchlist'!$AX$11:$AX$210,3),'Swing Watchlist'!$AX$11:$AX$210,0)),"")</f>
        <v>NVDA</v>
      </c>
      <c r="C18" s="15" t="str">
        <f aca="false">IFERROR(IF(INDEX('Swing Watchlist'!$F$11:$F$210,MATCH(LARGE('Swing Watchlist'!$AX$11:$AX$210,3),'Swing Watchlist'!$AX$11:$AX$210,0))="Short","Short","Long"),"")</f>
        <v>Long</v>
      </c>
      <c r="D18" s="16" t="n">
        <f aca="false">IFERROR(INDEX('Swing Watchlist'!$AJ$11:$AJ$210,MATCH(LARGE('Swing Watchlist'!$AX$11:$AX$210,3),'Swing Watchlist'!$AX$11:$AX$210,0)),"")</f>
        <v>12</v>
      </c>
      <c r="E18" s="15" t="str">
        <f aca="false">IFERROR(INDEX('Swing Watchlist'!$AK$11:$AK$210,MATCH(LARGE('Swing Watchlist'!$AX$11:$AX$210,3),'Swing Watchlist'!$AX$11:$AX$210,0)),"")</f>
        <v>B</v>
      </c>
      <c r="F18" s="17" t="str">
        <f aca="false">IFERROR(INDEX('Swing Watchlist'!$AU$11:$AU$210,MATCH(LARGE('Swing Watchlist'!$AX$11:$AX$210,3),'Swing Watchlist'!$AX$11:$AX$210,0)),"")</f>
        <v>Watch — wait for setup</v>
      </c>
      <c r="H18" s="13" t="n">
        <v>3</v>
      </c>
      <c r="I18" s="14" t="str">
        <f aca="false">IFERROR(INDEX('Investment Watchlist'!$C$9:$C$158,MATCH(LARGE('Investment Watchlist'!$AP$9:$AP$158,3),'Investment Watchlist'!$AP$9:$AP$158,0)),"")</f>
        <v>NVDA</v>
      </c>
      <c r="J18" s="15" t="str">
        <f aca="false">IFERROR(INDEX('Investment Watchlist'!$B$9:$B$158,MATCH(LARGE('Investment Watchlist'!$AP$9:$AP$158,3),'Investment Watchlist'!$AP$9:$AP$158,0)),"")</f>
        <v>US</v>
      </c>
      <c r="K18" s="16" t="n">
        <f aca="false">IFERROR(INDEX('Investment Watchlist'!$AF$9:$AF$158,MATCH(LARGE('Investment Watchlist'!$AP$9:$AP$158,3),'Investment Watchlist'!$AP$9:$AP$158,0)),"")</f>
        <v>21</v>
      </c>
      <c r="L18" s="15" t="str">
        <f aca="false">IFERROR(INDEX('Investment Watchlist'!$AG$9:$AG$158,MATCH(LARGE('Investment Watchlist'!$AP$9:$AP$158,3),'Investment Watchlist'!$AP$9:$AP$158,0)),"")</f>
        <v>A</v>
      </c>
      <c r="M18" s="18" t="str">
        <f aca="false">IFERROR(INDEX('Investment Watchlist'!$AH$9:$AH$158,MATCH(LARGE('Investment Watchlist'!$AP$9:$AP$158,3),'Investment Watchlist'!$AP$9:$AP$158,0)),"")</f>
        <v>Full LRC Stock Analysis</v>
      </c>
      <c r="N18" s="18"/>
    </row>
    <row r="19" customFormat="false" ht="15" hidden="false" customHeight="false" outlineLevel="0" collapsed="false">
      <c r="A19" s="13" t="n">
        <v>4</v>
      </c>
      <c r="B19" s="14" t="str">
        <f aca="false">IFERROR(INDEX('Swing Watchlist'!$C$11:$C$210,MATCH(LARGE('Swing Watchlist'!$AX$11:$AX$210,4),'Swing Watchlist'!$AX$11:$AX$210,0)),"")</f>
        <v>GOOGL</v>
      </c>
      <c r="C19" s="15" t="str">
        <f aca="false">IFERROR(IF(INDEX('Swing Watchlist'!$F$11:$F$210,MATCH(LARGE('Swing Watchlist'!$AX$11:$AX$210,4),'Swing Watchlist'!$AX$11:$AX$210,0))="Short","Short","Long"),"")</f>
        <v>Short</v>
      </c>
      <c r="D19" s="16" t="n">
        <f aca="false">IFERROR(INDEX('Swing Watchlist'!$AJ$11:$AJ$210,MATCH(LARGE('Swing Watchlist'!$AX$11:$AX$210,4),'Swing Watchlist'!$AX$11:$AX$210,0)),"")</f>
        <v>11</v>
      </c>
      <c r="E19" s="15" t="str">
        <f aca="false">IFERROR(INDEX('Swing Watchlist'!$AK$11:$AK$210,MATCH(LARGE('Swing Watchlist'!$AX$11:$AX$210,4),'Swing Watchlist'!$AX$11:$AX$210,0)),"")</f>
        <v>B</v>
      </c>
      <c r="F19" s="17" t="str">
        <f aca="false">IFERROR(INDEX('Swing Watchlist'!$AU$11:$AU$210,MATCH(LARGE('Swing Watchlist'!$AX$11:$AX$210,4),'Swing Watchlist'!$AX$11:$AX$210,0)),"")</f>
        <v>Watch — wait for setup</v>
      </c>
      <c r="H19" s="13" t="n">
        <v>4</v>
      </c>
      <c r="I19" s="14" t="str">
        <f aca="false">IFERROR(INDEX('Investment Watchlist'!$C$9:$C$158,MATCH(LARGE('Investment Watchlist'!$AP$9:$AP$158,4),'Investment Watchlist'!$AP$9:$AP$158,0)),"")</f>
        <v>PCTY</v>
      </c>
      <c r="J19" s="15" t="str">
        <f aca="false">IFERROR(INDEX('Investment Watchlist'!$B$9:$B$158,MATCH(LARGE('Investment Watchlist'!$AP$9:$AP$158,4),'Investment Watchlist'!$AP$9:$AP$158,0)),"")</f>
        <v>US</v>
      </c>
      <c r="K19" s="16" t="n">
        <f aca="false">IFERROR(INDEX('Investment Watchlist'!$AF$9:$AF$158,MATCH(LARGE('Investment Watchlist'!$AP$9:$AP$158,4),'Investment Watchlist'!$AP$9:$AP$158,0)),"")</f>
        <v>20</v>
      </c>
      <c r="L19" s="15" t="str">
        <f aca="false">IFERROR(INDEX('Investment Watchlist'!$AG$9:$AG$158,MATCH(LARGE('Investment Watchlist'!$AP$9:$AP$158,4),'Investment Watchlist'!$AP$9:$AP$158,0)),"")</f>
        <v>A</v>
      </c>
      <c r="M19" s="18" t="str">
        <f aca="false">IFERROR(INDEX('Investment Watchlist'!$AH$9:$AH$158,MATCH(LARGE('Investment Watchlist'!$AP$9:$AP$158,4),'Investment Watchlist'!$AP$9:$AP$158,0)),"")</f>
        <v>Full LRC Stock Analysis</v>
      </c>
      <c r="N19" s="18"/>
    </row>
    <row r="20" customFormat="false" ht="15" hidden="false" customHeight="false" outlineLevel="0" collapsed="false">
      <c r="A20" s="13" t="n">
        <v>5</v>
      </c>
      <c r="B20" s="14" t="str">
        <f aca="false">IFERROR(INDEX('Swing Watchlist'!$C$11:$C$210,MATCH(LARGE('Swing Watchlist'!$AX$11:$AX$210,5),'Swing Watchlist'!$AX$11:$AX$210,0)),"")</f>
        <v>ANET</v>
      </c>
      <c r="C20" s="15" t="str">
        <f aca="false">IFERROR(IF(INDEX('Swing Watchlist'!$F$11:$F$210,MATCH(LARGE('Swing Watchlist'!$AX$11:$AX$210,5),'Swing Watchlist'!$AX$11:$AX$210,0))="Short","Short","Long"),"")</f>
        <v>Short</v>
      </c>
      <c r="D20" s="16" t="n">
        <f aca="false">IFERROR(INDEX('Swing Watchlist'!$AJ$11:$AJ$210,MATCH(LARGE('Swing Watchlist'!$AX$11:$AX$210,5),'Swing Watchlist'!$AX$11:$AX$210,0)),"")</f>
        <v>10</v>
      </c>
      <c r="E20" s="15" t="str">
        <f aca="false">IFERROR(INDEX('Swing Watchlist'!$AK$11:$AK$210,MATCH(LARGE('Swing Watchlist'!$AX$11:$AX$210,5),'Swing Watchlist'!$AX$11:$AX$210,0)),"")</f>
        <v>B</v>
      </c>
      <c r="F20" s="17" t="str">
        <f aca="false">IFERROR(INDEX('Swing Watchlist'!$AU$11:$AU$210,MATCH(LARGE('Swing Watchlist'!$AX$11:$AX$210,5),'Swing Watchlist'!$AX$11:$AX$210,0)),"")</f>
        <v>Watch — wait for setup</v>
      </c>
      <c r="H20" s="13" t="n">
        <v>5</v>
      </c>
      <c r="I20" s="14" t="str">
        <f aca="false">IFERROR(INDEX('Investment Watchlist'!$C$9:$C$158,MATCH(LARGE('Investment Watchlist'!$AP$9:$AP$158,5),'Investment Watchlist'!$AP$9:$AP$158,0)),"")</f>
        <v>META</v>
      </c>
      <c r="J20" s="15" t="str">
        <f aca="false">IFERROR(INDEX('Investment Watchlist'!$B$9:$B$158,MATCH(LARGE('Investment Watchlist'!$AP$9:$AP$158,5),'Investment Watchlist'!$AP$9:$AP$158,0)),"")</f>
        <v>US</v>
      </c>
      <c r="K20" s="16" t="n">
        <f aca="false">IFERROR(INDEX('Investment Watchlist'!$AF$9:$AF$158,MATCH(LARGE('Investment Watchlist'!$AP$9:$AP$158,5),'Investment Watchlist'!$AP$9:$AP$158,0)),"")</f>
        <v>18</v>
      </c>
      <c r="L20" s="15" t="str">
        <f aca="false">IFERROR(INDEX('Investment Watchlist'!$AG$9:$AG$158,MATCH(LARGE('Investment Watchlist'!$AP$9:$AP$158,5),'Investment Watchlist'!$AP$9:$AP$158,0)),"")</f>
        <v>A</v>
      </c>
      <c r="M20" s="18" t="str">
        <f aca="false">IFERROR(INDEX('Investment Watchlist'!$AH$9:$AH$158,MATCH(LARGE('Investment Watchlist'!$AP$9:$AP$158,5),'Investment Watchlist'!$AP$9:$AP$158,0)),"")</f>
        <v>Full LRC Stock Analysis</v>
      </c>
      <c r="N20" s="18"/>
    </row>
  </sheetData>
  <mergeCells count="44">
    <mergeCell ref="C1:N1"/>
    <mergeCell ref="A2:N2"/>
    <mergeCell ref="A4:F4"/>
    <mergeCell ref="H4:N4"/>
    <mergeCell ref="A5:C5"/>
    <mergeCell ref="D5:F5"/>
    <mergeCell ref="H5:J5"/>
    <mergeCell ref="K5:N5"/>
    <mergeCell ref="A6:C6"/>
    <mergeCell ref="D6:F6"/>
    <mergeCell ref="H6:J6"/>
    <mergeCell ref="K6:N6"/>
    <mergeCell ref="A7:C7"/>
    <mergeCell ref="D7:F7"/>
    <mergeCell ref="H7:J7"/>
    <mergeCell ref="K7:N7"/>
    <mergeCell ref="A8:C8"/>
    <mergeCell ref="D8:F8"/>
    <mergeCell ref="H8:J8"/>
    <mergeCell ref="K8:N8"/>
    <mergeCell ref="A9:C9"/>
    <mergeCell ref="D9:F9"/>
    <mergeCell ref="H9:J9"/>
    <mergeCell ref="K9:N9"/>
    <mergeCell ref="A10:C10"/>
    <mergeCell ref="D10:F10"/>
    <mergeCell ref="H10:J10"/>
    <mergeCell ref="K10:N10"/>
    <mergeCell ref="A11:C11"/>
    <mergeCell ref="D11:F11"/>
    <mergeCell ref="H11:J11"/>
    <mergeCell ref="K11:N11"/>
    <mergeCell ref="A12:C12"/>
    <mergeCell ref="D12:F12"/>
    <mergeCell ref="H12:J12"/>
    <mergeCell ref="K12:N12"/>
    <mergeCell ref="A14:F14"/>
    <mergeCell ref="H14:N14"/>
    <mergeCell ref="M15:N15"/>
    <mergeCell ref="M16:N16"/>
    <mergeCell ref="M17:N17"/>
    <mergeCell ref="M18:N18"/>
    <mergeCell ref="M19:N19"/>
    <mergeCell ref="M20:N20"/>
  </mergeCells>
  <conditionalFormatting sqref="D7">
    <cfRule type="expression" priority="2" aboveAverage="0" equalAverage="0" bottom="0" percent="0" rank="0" text="" dxfId="0">
      <formula>LEFT(D7,1)="✔"</formula>
    </cfRule>
    <cfRule type="expression" priority="3" aboveAverage="0" equalAverage="0" bottom="0" percent="0" rank="0" text="" dxfId="1">
      <formula>LEFT(D7,1)="⚠"</formula>
    </cfRule>
  </conditionalFormatting>
  <conditionalFormatting sqref="K7">
    <cfRule type="expression" priority="4" aboveAverage="0" equalAverage="0" bottom="0" percent="0" rank="0" text="" dxfId="0">
      <formula>LEFT(K7,1)="✔"</formula>
    </cfRule>
    <cfRule type="expression" priority="5" aboveAverage="0" equalAverage="0" bottom="0" percent="0" rank="0" text="" dxfId="1">
      <formula>LEFT(K7,1)="⚠"</formula>
    </cfRule>
  </conditionalFormatting>
  <conditionalFormatting sqref="E16:E20">
    <cfRule type="expression" priority="6" aboveAverage="0" equalAverage="0" bottom="0" percent="0" rank="0" text="" dxfId="2">
      <formula>E16="A"</formula>
    </cfRule>
    <cfRule type="expression" priority="7" aboveAverage="0" equalAverage="0" bottom="0" percent="0" rank="0" text="" dxfId="3">
      <formula>E16="B"</formula>
    </cfRule>
    <cfRule type="expression" priority="8" aboveAverage="0" equalAverage="0" bottom="0" percent="0" rank="0" text="" dxfId="4">
      <formula>E16="C"</formula>
    </cfRule>
  </conditionalFormatting>
  <conditionalFormatting sqref="L16:L20">
    <cfRule type="expression" priority="9" aboveAverage="0" equalAverage="0" bottom="0" percent="0" rank="0" text="" dxfId="2">
      <formula>L16="A"</formula>
    </cfRule>
    <cfRule type="expression" priority="10" aboveAverage="0" equalAverage="0" bottom="0" percent="0" rank="0" text="" dxfId="3">
      <formula>L16="B"</formula>
    </cfRule>
    <cfRule type="expression" priority="11" aboveAverage="0" equalAverage="0" bottom="0" percent="0" rank="0" text="" dxfId="4">
      <formula>L16="C"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6"/>
  </cols>
  <sheetData>
    <row r="1" customFormat="false" ht="51.75" hidden="false" customHeight="true" outlineLevel="0" collapsed="false">
      <c r="C1" s="2" t="s">
        <v>54</v>
      </c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55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56</v>
      </c>
      <c r="B4" s="4"/>
      <c r="C4" s="4"/>
      <c r="D4" s="4"/>
      <c r="E4" s="4"/>
      <c r="F4" s="4"/>
      <c r="G4" s="4"/>
      <c r="H4" s="4"/>
    </row>
    <row r="5" customFormat="false" ht="43.5" hidden="false" customHeight="true" outlineLevel="0" collapsed="false">
      <c r="A5" s="5" t="s">
        <v>57</v>
      </c>
      <c r="B5" s="6" t="s">
        <v>58</v>
      </c>
      <c r="C5" s="6"/>
      <c r="D5" s="6"/>
      <c r="E5" s="6"/>
      <c r="F5" s="6"/>
      <c r="G5" s="6"/>
      <c r="H5" s="6"/>
    </row>
    <row r="6" customFormat="false" ht="30" hidden="false" customHeight="true" outlineLevel="0" collapsed="false">
      <c r="A6" s="5" t="s">
        <v>59</v>
      </c>
      <c r="B6" s="6" t="s">
        <v>60</v>
      </c>
      <c r="C6" s="6"/>
      <c r="D6" s="6"/>
      <c r="E6" s="6"/>
      <c r="F6" s="6"/>
      <c r="G6" s="6"/>
      <c r="H6" s="6"/>
    </row>
    <row r="7" customFormat="false" ht="43.5" hidden="false" customHeight="true" outlineLevel="0" collapsed="false">
      <c r="A7" s="5" t="s">
        <v>61</v>
      </c>
      <c r="B7" s="6" t="s">
        <v>62</v>
      </c>
      <c r="C7" s="6"/>
      <c r="D7" s="6"/>
      <c r="E7" s="6"/>
      <c r="F7" s="6"/>
      <c r="G7" s="6"/>
      <c r="H7" s="6"/>
    </row>
    <row r="8" customFormat="false" ht="43.5" hidden="false" customHeight="true" outlineLevel="0" collapsed="false">
      <c r="A8" s="5" t="s">
        <v>63</v>
      </c>
      <c r="B8" s="6" t="s">
        <v>64</v>
      </c>
      <c r="C8" s="6"/>
      <c r="D8" s="6"/>
      <c r="E8" s="6"/>
      <c r="F8" s="6"/>
      <c r="G8" s="6"/>
      <c r="H8" s="6"/>
    </row>
    <row r="9" customFormat="false" ht="43.5" hidden="false" customHeight="true" outlineLevel="0" collapsed="false">
      <c r="A9" s="5" t="s">
        <v>65</v>
      </c>
      <c r="B9" s="6" t="s">
        <v>66</v>
      </c>
      <c r="C9" s="6"/>
      <c r="D9" s="6"/>
      <c r="E9" s="6"/>
      <c r="F9" s="6"/>
      <c r="G9" s="6"/>
      <c r="H9" s="6"/>
    </row>
    <row r="10" customFormat="false" ht="43.5" hidden="false" customHeight="true" outlineLevel="0" collapsed="false">
      <c r="A10" s="5" t="s">
        <v>67</v>
      </c>
      <c r="B10" s="6" t="s">
        <v>68</v>
      </c>
      <c r="C10" s="6"/>
      <c r="D10" s="6"/>
      <c r="E10" s="6"/>
      <c r="F10" s="6"/>
      <c r="G10" s="6"/>
      <c r="H10" s="6"/>
    </row>
    <row r="11" customFormat="false" ht="43.5" hidden="false" customHeight="true" outlineLevel="0" collapsed="false">
      <c r="A11" s="5" t="s">
        <v>69</v>
      </c>
      <c r="B11" s="6" t="s">
        <v>70</v>
      </c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 t="s">
        <v>71</v>
      </c>
      <c r="B12" s="4"/>
      <c r="C12" s="4"/>
      <c r="D12" s="4"/>
      <c r="E12" s="4"/>
      <c r="F12" s="4"/>
      <c r="G12" s="4"/>
      <c r="H12" s="4"/>
    </row>
    <row r="13" customFormat="false" ht="30" hidden="false" customHeight="true" outlineLevel="0" collapsed="false">
      <c r="A13" s="5" t="s">
        <v>72</v>
      </c>
      <c r="B13" s="6" t="s">
        <v>73</v>
      </c>
      <c r="C13" s="6"/>
      <c r="D13" s="6"/>
      <c r="E13" s="6"/>
      <c r="F13" s="6"/>
      <c r="G13" s="6"/>
      <c r="H13" s="6"/>
    </row>
    <row r="14" customFormat="false" ht="30" hidden="false" customHeight="true" outlineLevel="0" collapsed="false">
      <c r="A14" s="5" t="s">
        <v>74</v>
      </c>
      <c r="B14" s="6" t="s">
        <v>75</v>
      </c>
      <c r="C14" s="6"/>
      <c r="D14" s="6"/>
      <c r="E14" s="6"/>
      <c r="F14" s="6"/>
      <c r="G14" s="6"/>
      <c r="H14" s="6"/>
    </row>
    <row r="15" customFormat="false" ht="30" hidden="false" customHeight="true" outlineLevel="0" collapsed="false">
      <c r="A15" s="5" t="s">
        <v>76</v>
      </c>
      <c r="B15" s="6" t="s">
        <v>77</v>
      </c>
      <c r="C15" s="6"/>
      <c r="D15" s="6"/>
      <c r="E15" s="6"/>
      <c r="F15" s="6"/>
      <c r="G15" s="6"/>
      <c r="H15" s="6"/>
    </row>
    <row r="16" customFormat="false" ht="30" hidden="false" customHeight="true" outlineLevel="0" collapsed="false">
      <c r="A16" s="5" t="s">
        <v>78</v>
      </c>
      <c r="B16" s="6" t="s">
        <v>79</v>
      </c>
      <c r="C16" s="6"/>
      <c r="D16" s="6"/>
      <c r="E16" s="6"/>
      <c r="F16" s="6"/>
      <c r="G16" s="6"/>
      <c r="H16" s="6"/>
    </row>
    <row r="17" customFormat="false" ht="15.75" hidden="false" customHeight="true" outlineLevel="0" collapsed="false">
      <c r="A17" s="5" t="s">
        <v>80</v>
      </c>
      <c r="B17" s="6" t="s">
        <v>81</v>
      </c>
      <c r="C17" s="6"/>
      <c r="D17" s="6"/>
      <c r="E17" s="6"/>
      <c r="F17" s="6"/>
      <c r="G17" s="6"/>
      <c r="H17" s="6"/>
    </row>
    <row r="18" customFormat="false" ht="15.75" hidden="false" customHeight="true" outlineLevel="0" collapsed="false">
      <c r="A18" s="5" t="s">
        <v>82</v>
      </c>
      <c r="B18" s="6" t="s">
        <v>83</v>
      </c>
      <c r="C18" s="6"/>
      <c r="D18" s="6"/>
      <c r="E18" s="6"/>
      <c r="F18" s="6"/>
      <c r="G18" s="6"/>
      <c r="H18" s="6"/>
    </row>
    <row r="19" customFormat="false" ht="15.75" hidden="false" customHeight="true" outlineLevel="0" collapsed="false">
      <c r="A19" s="5" t="s">
        <v>84</v>
      </c>
      <c r="B19" s="6" t="s">
        <v>85</v>
      </c>
      <c r="C19" s="6"/>
      <c r="D19" s="6"/>
      <c r="E19" s="6"/>
      <c r="F19" s="6"/>
      <c r="G19" s="6"/>
      <c r="H19" s="6"/>
    </row>
    <row r="20" customFormat="false" ht="15.75" hidden="false" customHeight="true" outlineLevel="0" collapsed="false">
      <c r="A20" s="5" t="s">
        <v>86</v>
      </c>
      <c r="B20" s="6" t="s">
        <v>87</v>
      </c>
      <c r="C20" s="6"/>
      <c r="D20" s="6"/>
      <c r="E20" s="6"/>
      <c r="F20" s="6"/>
      <c r="G20" s="6"/>
      <c r="H20" s="6"/>
    </row>
    <row r="21" customFormat="false" ht="15.75" hidden="false" customHeight="true" outlineLevel="0" collapsed="false">
      <c r="A21" s="5" t="s">
        <v>88</v>
      </c>
      <c r="B21" s="6" t="s">
        <v>89</v>
      </c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4" t="s">
        <v>90</v>
      </c>
      <c r="B22" s="4"/>
      <c r="C22" s="4"/>
      <c r="D22" s="4"/>
      <c r="E22" s="4"/>
      <c r="F22" s="4"/>
      <c r="G22" s="4"/>
      <c r="H22" s="4"/>
    </row>
    <row r="23" customFormat="false" ht="43.5" hidden="false" customHeight="true" outlineLevel="0" collapsed="false">
      <c r="A23" s="5" t="s">
        <v>91</v>
      </c>
      <c r="B23" s="6" t="s">
        <v>92</v>
      </c>
      <c r="C23" s="6"/>
      <c r="D23" s="6"/>
      <c r="E23" s="6"/>
      <c r="F23" s="6"/>
      <c r="G23" s="6"/>
      <c r="H23" s="6"/>
    </row>
    <row r="24" customFormat="false" ht="30" hidden="false" customHeight="true" outlineLevel="0" collapsed="false">
      <c r="A24" s="5" t="s">
        <v>93</v>
      </c>
      <c r="B24" s="6" t="s">
        <v>94</v>
      </c>
      <c r="C24" s="6"/>
      <c r="D24" s="6"/>
      <c r="E24" s="6"/>
      <c r="F24" s="6"/>
      <c r="G24" s="6"/>
      <c r="H24" s="6"/>
    </row>
    <row r="25" customFormat="false" ht="30" hidden="false" customHeight="true" outlineLevel="0" collapsed="false">
      <c r="A25" s="5" t="s">
        <v>95</v>
      </c>
      <c r="B25" s="6" t="s">
        <v>96</v>
      </c>
      <c r="C25" s="6"/>
      <c r="D25" s="6"/>
      <c r="E25" s="6"/>
      <c r="F25" s="6"/>
      <c r="G25" s="6"/>
      <c r="H25" s="6"/>
    </row>
    <row r="26" customFormat="false" ht="30" hidden="false" customHeight="true" outlineLevel="0" collapsed="false">
      <c r="A26" s="5" t="s">
        <v>97</v>
      </c>
      <c r="B26" s="6" t="s">
        <v>98</v>
      </c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4" t="s">
        <v>99</v>
      </c>
      <c r="B27" s="4"/>
      <c r="C27" s="4"/>
      <c r="D27" s="4"/>
      <c r="E27" s="4"/>
      <c r="F27" s="4"/>
      <c r="G27" s="4"/>
      <c r="H27" s="4"/>
    </row>
    <row r="28" customFormat="false" ht="30" hidden="false" customHeight="true" outlineLevel="0" collapsed="false">
      <c r="A28" s="5" t="s">
        <v>100</v>
      </c>
      <c r="B28" s="6" t="s">
        <v>101</v>
      </c>
      <c r="C28" s="6"/>
      <c r="D28" s="6"/>
      <c r="E28" s="6"/>
      <c r="F28" s="6"/>
      <c r="G28" s="6"/>
      <c r="H28" s="6"/>
    </row>
    <row r="29" customFormat="false" ht="30" hidden="false" customHeight="true" outlineLevel="0" collapsed="false">
      <c r="A29" s="5" t="s">
        <v>102</v>
      </c>
      <c r="B29" s="6" t="s">
        <v>103</v>
      </c>
      <c r="C29" s="6"/>
      <c r="D29" s="6"/>
      <c r="E29" s="6"/>
      <c r="F29" s="6"/>
      <c r="G29" s="6"/>
      <c r="H29" s="6"/>
    </row>
    <row r="30" customFormat="false" ht="30" hidden="false" customHeight="true" outlineLevel="0" collapsed="false">
      <c r="A30" s="5" t="s">
        <v>104</v>
      </c>
      <c r="B30" s="6" t="s">
        <v>105</v>
      </c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4" t="s">
        <v>106</v>
      </c>
      <c r="B31" s="4"/>
      <c r="C31" s="4"/>
      <c r="D31" s="4"/>
      <c r="E31" s="4"/>
      <c r="F31" s="4"/>
      <c r="G31" s="4"/>
      <c r="H31" s="4"/>
    </row>
    <row r="32" customFormat="false" ht="30" hidden="false" customHeight="true" outlineLevel="0" collapsed="false">
      <c r="A32" s="5" t="s">
        <v>107</v>
      </c>
      <c r="B32" s="6" t="s">
        <v>108</v>
      </c>
      <c r="C32" s="6"/>
      <c r="D32" s="6"/>
      <c r="E32" s="6"/>
      <c r="F32" s="6"/>
      <c r="G32" s="6"/>
      <c r="H32" s="6"/>
    </row>
    <row r="33" customFormat="false" ht="15.75" hidden="false" customHeight="true" outlineLevel="0" collapsed="false">
      <c r="A33" s="5" t="s">
        <v>109</v>
      </c>
      <c r="B33" s="6" t="s">
        <v>110</v>
      </c>
      <c r="C33" s="6"/>
      <c r="D33" s="6"/>
      <c r="E33" s="6"/>
      <c r="F33" s="6"/>
      <c r="G33" s="6"/>
      <c r="H33" s="6"/>
    </row>
    <row r="34" customFormat="false" ht="15.75" hidden="false" customHeight="true" outlineLevel="0" collapsed="false">
      <c r="A34" s="5" t="s">
        <v>111</v>
      </c>
      <c r="B34" s="6" t="s">
        <v>112</v>
      </c>
      <c r="C34" s="6"/>
      <c r="D34" s="6"/>
      <c r="E34" s="6"/>
      <c r="F34" s="6"/>
      <c r="G34" s="6"/>
      <c r="H34" s="6"/>
    </row>
    <row r="35" customFormat="false" ht="15.75" hidden="false" customHeight="true" outlineLevel="0" collapsed="false">
      <c r="A35" s="5" t="s">
        <v>113</v>
      </c>
      <c r="B35" s="6" t="s">
        <v>114</v>
      </c>
      <c r="C35" s="6"/>
      <c r="D35" s="6"/>
      <c r="E35" s="6"/>
      <c r="F35" s="6"/>
      <c r="G35" s="6"/>
      <c r="H35" s="6"/>
    </row>
  </sheetData>
  <mergeCells count="34">
    <mergeCell ref="C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A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A22:H22"/>
    <mergeCell ref="B23:H23"/>
    <mergeCell ref="B24:H24"/>
    <mergeCell ref="B25:H25"/>
    <mergeCell ref="B26:H26"/>
    <mergeCell ref="A27:H27"/>
    <mergeCell ref="B28:H28"/>
    <mergeCell ref="B29:H29"/>
    <mergeCell ref="B30:H30"/>
    <mergeCell ref="A31:H31"/>
    <mergeCell ref="B32:H32"/>
    <mergeCell ref="B33:H33"/>
    <mergeCell ref="B34:H34"/>
    <mergeCell ref="B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AX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8" min="7" style="1" width="9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3" min="11" style="1" width="8"/>
    <col collapsed="false" customWidth="true" hidden="false" outlineLevel="0" max="14" min="14" style="1" width="7"/>
    <col collapsed="false" customWidth="true" hidden="false" outlineLevel="0" max="16" min="15" style="1" width="8"/>
    <col collapsed="false" customWidth="true" hidden="false" outlineLevel="0" max="18" min="17" style="1" width="9"/>
    <col collapsed="false" customWidth="true" hidden="false" outlineLevel="0" max="19" min="19" style="1" width="7"/>
    <col collapsed="false" customWidth="true" hidden="false" outlineLevel="0" max="20" min="20" style="1" width="9"/>
    <col collapsed="false" customWidth="true" hidden="false" outlineLevel="0" max="21" min="21" style="1" width="8"/>
    <col collapsed="false" customWidth="true" hidden="false" outlineLevel="0" max="22" min="22" style="1" width="11"/>
    <col collapsed="false" customWidth="true" hidden="false" outlineLevel="0" max="23" min="23" style="1" width="8"/>
    <col collapsed="false" customWidth="true" hidden="false" outlineLevel="0" max="24" min="24" style="1" width="18"/>
    <col collapsed="false" customWidth="true" hidden="false" outlineLevel="0" max="27" min="25" style="1" width="9"/>
    <col collapsed="false" customWidth="true" hidden="false" outlineLevel="0" max="28" min="28" style="1" width="7"/>
    <col collapsed="false" customWidth="true" hidden="false" outlineLevel="0" max="30" min="29" style="1" width="9"/>
    <col collapsed="false" customWidth="true" hidden="false" outlineLevel="0" max="31" min="31" style="1" width="8"/>
    <col collapsed="false" customWidth="true" hidden="false" outlineLevel="0" max="32" min="32" style="1" width="7"/>
    <col collapsed="false" customWidth="true" hidden="false" outlineLevel="0" max="33" min="33" style="1" width="9"/>
    <col collapsed="false" customWidth="true" hidden="false" outlineLevel="0" max="34" min="34" style="1" width="7"/>
    <col collapsed="false" customWidth="true" hidden="false" outlineLevel="0" max="36" min="35" style="1" width="8"/>
    <col collapsed="false" customWidth="true" hidden="false" outlineLevel="0" max="37" min="37" style="1" width="6"/>
    <col collapsed="false" customWidth="true" hidden="false" outlineLevel="0" max="38" min="38" style="1" width="8"/>
    <col collapsed="false" customWidth="true" hidden="false" outlineLevel="0" max="39" min="39" style="1" width="9"/>
    <col collapsed="false" customWidth="true" hidden="false" outlineLevel="0" max="40" min="40" style="1" width="10"/>
    <col collapsed="false" customWidth="true" hidden="false" outlineLevel="0" max="41" min="41" style="1" width="11"/>
    <col collapsed="false" customWidth="true" hidden="false" outlineLevel="0" max="42" min="42" style="1" width="13"/>
    <col collapsed="false" customWidth="true" hidden="false" outlineLevel="0" max="43" min="43" style="1" width="11"/>
    <col collapsed="false" customWidth="true" hidden="false" outlineLevel="0" max="44" min="44" style="1" width="9"/>
    <col collapsed="false" customWidth="true" hidden="false" outlineLevel="0" max="45" min="45" style="1" width="8"/>
    <col collapsed="false" customWidth="true" hidden="false" outlineLevel="0" max="46" min="46" style="1" width="7"/>
    <col collapsed="false" customWidth="true" hidden="false" outlineLevel="0" max="48" min="47" style="1" width="30"/>
    <col collapsed="false" customWidth="true" hidden="true" outlineLevel="0" max="50" min="50" style="1" width="13"/>
  </cols>
  <sheetData>
    <row r="1" customFormat="false" ht="51.75" hidden="false" customHeight="true" outlineLevel="0" collapsed="false">
      <c r="C1" s="2" t="s">
        <v>115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customFormat="false" ht="30" hidden="false" customHeight="true" outlineLevel="0" collapsed="false">
      <c r="A2" s="3" t="s">
        <v>116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4" customFormat="false" ht="15" hidden="false" customHeight="false" outlineLevel="0" collapsed="false">
      <c r="A4" s="7" t="s">
        <v>117</v>
      </c>
      <c r="B4" s="7"/>
      <c r="C4" s="19" t="n">
        <v>46316</v>
      </c>
      <c r="D4" s="20" t="s">
        <v>118</v>
      </c>
      <c r="E4" s="20"/>
      <c r="F4" s="20"/>
      <c r="G4" s="20"/>
      <c r="H4" s="20"/>
      <c r="J4" s="7" t="s">
        <v>119</v>
      </c>
      <c r="K4" s="7"/>
      <c r="L4" s="21" t="n">
        <v>0.1437</v>
      </c>
      <c r="M4" s="20" t="s">
        <v>120</v>
      </c>
      <c r="N4" s="20"/>
      <c r="O4" s="20"/>
      <c r="P4" s="20"/>
      <c r="Q4" s="20"/>
      <c r="S4" s="22" t="s">
        <v>121</v>
      </c>
      <c r="T4" s="22"/>
      <c r="U4" s="23" t="n">
        <f aca="false">COUNTIFS($A$11:$A$210,$C$4,$C$11:$C$210,"?*")</f>
        <v>13</v>
      </c>
      <c r="V4" s="24" t="str">
        <f aca="false">IF(U4&gt;=$C$5,"✔ minimum met","⚠ need "&amp;($C$5-U4)&amp;" more")</f>
        <v>✔ minimum met</v>
      </c>
      <c r="W4" s="24"/>
      <c r="X4" s="24"/>
    </row>
    <row r="5" customFormat="false" ht="15" hidden="false" customHeight="false" outlineLevel="0" collapsed="false">
      <c r="A5" s="7" t="s">
        <v>122</v>
      </c>
      <c r="B5" s="7"/>
      <c r="C5" s="25" t="n">
        <v>5</v>
      </c>
      <c r="D5" s="20" t="s">
        <v>123</v>
      </c>
      <c r="E5" s="20"/>
      <c r="F5" s="20"/>
      <c r="G5" s="20"/>
      <c r="H5" s="20"/>
      <c r="J5" s="7" t="s">
        <v>124</v>
      </c>
      <c r="K5" s="7"/>
      <c r="L5" s="21" t="n">
        <v>-0.0744</v>
      </c>
      <c r="M5" s="20" t="s">
        <v>125</v>
      </c>
      <c r="N5" s="20"/>
      <c r="O5" s="20"/>
      <c r="P5" s="20"/>
      <c r="Q5" s="20"/>
      <c r="S5" s="22" t="s">
        <v>126</v>
      </c>
      <c r="T5" s="22"/>
      <c r="U5" s="24" t="str">
        <f aca="false">COUNTIFS($A$11:$A$210,$C$4,$B$11:$B$210,"US")&amp;" / "&amp;COUNTIFS($A$11:$A$210,$C$4,$B$11:$B$210,"JSE")</f>
        <v>13 / 0</v>
      </c>
    </row>
    <row r="6" customFormat="false" ht="15" hidden="false" customHeight="false" outlineLevel="0" collapsed="false">
      <c r="A6" s="7" t="s">
        <v>127</v>
      </c>
      <c r="B6" s="7"/>
      <c r="C6" s="26" t="n">
        <v>45.78</v>
      </c>
      <c r="D6" s="20" t="s">
        <v>128</v>
      </c>
      <c r="E6" s="20"/>
      <c r="F6" s="20"/>
      <c r="G6" s="20"/>
      <c r="H6" s="20"/>
      <c r="J6" s="7" t="s">
        <v>129</v>
      </c>
      <c r="K6" s="7"/>
      <c r="L6" s="26" t="n">
        <v>20</v>
      </c>
      <c r="M6" s="20" t="s">
        <v>130</v>
      </c>
      <c r="N6" s="20"/>
      <c r="O6" s="20"/>
      <c r="P6" s="20"/>
      <c r="Q6" s="20"/>
      <c r="S6" s="22" t="s">
        <v>131</v>
      </c>
      <c r="T6" s="22"/>
      <c r="U6" s="24" t="str">
        <f aca="false">COUNTIFS($A$11:$A$210,$C$4,$C$11:$C$210,"?*",$F$11:$F$210,"&lt;&gt;Short")&amp;" / "&amp;COUNTIFS($A$11:$A$210,$C$4,$F$11:$F$210,"Short")</f>
        <v>3 / 10</v>
      </c>
    </row>
    <row r="7" customFormat="false" ht="15" hidden="false" customHeight="false" outlineLevel="0" collapsed="false">
      <c r="A7" s="7" t="s">
        <v>132</v>
      </c>
      <c r="B7" s="7"/>
      <c r="C7" s="21" t="n">
        <v>0.01</v>
      </c>
      <c r="D7" s="20" t="s">
        <v>133</v>
      </c>
      <c r="E7" s="20"/>
      <c r="F7" s="20"/>
      <c r="G7" s="20"/>
      <c r="H7" s="20"/>
      <c r="J7" s="7" t="s">
        <v>134</v>
      </c>
      <c r="K7" s="7"/>
      <c r="L7" s="26" t="n">
        <v>20</v>
      </c>
      <c r="M7" s="20" t="s">
        <v>135</v>
      </c>
      <c r="N7" s="20"/>
      <c r="O7" s="20"/>
      <c r="P7" s="20"/>
      <c r="Q7" s="20"/>
      <c r="S7" s="22" t="s">
        <v>136</v>
      </c>
      <c r="T7" s="22"/>
      <c r="U7" s="24" t="str">
        <f aca="false">COUNTIFS($A$11:$A$210,$C$4,$AK$11:$AK$210,"A")&amp;" / "&amp;COUNTIF($AP$11:$AP$210,"Open position")</f>
        <v>0 / 0</v>
      </c>
    </row>
    <row r="9" customFormat="false" ht="15" hidden="false" customHeight="false" outlineLevel="0" collapsed="false">
      <c r="A9" s="27" t="s">
        <v>137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8" t="s">
        <v>138</v>
      </c>
      <c r="AC9" s="28"/>
      <c r="AD9" s="28"/>
      <c r="AE9" s="28"/>
      <c r="AF9" s="28"/>
      <c r="AG9" s="28"/>
      <c r="AH9" s="28"/>
      <c r="AI9" s="28"/>
      <c r="AJ9" s="28"/>
      <c r="AK9" s="28"/>
      <c r="AL9" s="29" t="s">
        <v>139</v>
      </c>
      <c r="AM9" s="29"/>
      <c r="AN9" s="29"/>
      <c r="AO9" s="29"/>
      <c r="AP9" s="30" t="s">
        <v>140</v>
      </c>
      <c r="AQ9" s="30"/>
      <c r="AR9" s="30"/>
      <c r="AS9" s="30"/>
      <c r="AT9" s="30"/>
      <c r="AU9" s="30"/>
      <c r="AV9" s="30"/>
    </row>
    <row r="10" customFormat="false" ht="39.75" hidden="false" customHeight="true" outlineLevel="0" collapsed="false">
      <c r="A10" s="31" t="s">
        <v>33</v>
      </c>
      <c r="B10" s="31" t="s">
        <v>141</v>
      </c>
      <c r="C10" s="31" t="s">
        <v>48</v>
      </c>
      <c r="D10" s="31" t="s">
        <v>142</v>
      </c>
      <c r="E10" s="31" t="s">
        <v>143</v>
      </c>
      <c r="F10" s="31" t="s">
        <v>144</v>
      </c>
      <c r="G10" s="31" t="s">
        <v>145</v>
      </c>
      <c r="H10" s="31" t="s">
        <v>146</v>
      </c>
      <c r="I10" s="31" t="s">
        <v>147</v>
      </c>
      <c r="J10" s="31" t="s">
        <v>148</v>
      </c>
      <c r="K10" s="31" t="s">
        <v>149</v>
      </c>
      <c r="L10" s="31" t="s">
        <v>150</v>
      </c>
      <c r="M10" s="31" t="s">
        <v>151</v>
      </c>
      <c r="N10" s="31" t="s">
        <v>152</v>
      </c>
      <c r="O10" s="31" t="s">
        <v>153</v>
      </c>
      <c r="P10" s="31" t="s">
        <v>154</v>
      </c>
      <c r="Q10" s="31" t="s">
        <v>155</v>
      </c>
      <c r="R10" s="31" t="s">
        <v>156</v>
      </c>
      <c r="S10" s="31" t="s">
        <v>157</v>
      </c>
      <c r="T10" s="31" t="s">
        <v>158</v>
      </c>
      <c r="U10" s="31" t="s">
        <v>159</v>
      </c>
      <c r="V10" s="31" t="s">
        <v>160</v>
      </c>
      <c r="W10" s="31" t="s">
        <v>161</v>
      </c>
      <c r="X10" s="31" t="s">
        <v>162</v>
      </c>
      <c r="Y10" s="31" t="s">
        <v>163</v>
      </c>
      <c r="Z10" s="31" t="s">
        <v>164</v>
      </c>
      <c r="AA10" s="31" t="s">
        <v>165</v>
      </c>
      <c r="AB10" s="32" t="s">
        <v>72</v>
      </c>
      <c r="AC10" s="32" t="s">
        <v>74</v>
      </c>
      <c r="AD10" s="32" t="s">
        <v>76</v>
      </c>
      <c r="AE10" s="32" t="s">
        <v>78</v>
      </c>
      <c r="AF10" s="32" t="s">
        <v>80</v>
      </c>
      <c r="AG10" s="32" t="s">
        <v>82</v>
      </c>
      <c r="AH10" s="32" t="s">
        <v>84</v>
      </c>
      <c r="AI10" s="32" t="s">
        <v>166</v>
      </c>
      <c r="AJ10" s="32" t="s">
        <v>167</v>
      </c>
      <c r="AK10" s="32" t="s">
        <v>51</v>
      </c>
      <c r="AL10" s="33" t="s">
        <v>168</v>
      </c>
      <c r="AM10" s="33" t="s">
        <v>169</v>
      </c>
      <c r="AN10" s="33" t="s">
        <v>170</v>
      </c>
      <c r="AO10" s="33" t="s">
        <v>171</v>
      </c>
      <c r="AP10" s="34" t="s">
        <v>172</v>
      </c>
      <c r="AQ10" s="34" t="s">
        <v>173</v>
      </c>
      <c r="AR10" s="34" t="s">
        <v>174</v>
      </c>
      <c r="AS10" s="34" t="s">
        <v>175</v>
      </c>
      <c r="AT10" s="34" t="s">
        <v>176</v>
      </c>
      <c r="AU10" s="34" t="s">
        <v>177</v>
      </c>
      <c r="AV10" s="34" t="s">
        <v>178</v>
      </c>
    </row>
    <row r="11" customFormat="false" ht="15" hidden="false" customHeight="false" outlineLevel="0" collapsed="false">
      <c r="A11" s="19" t="n">
        <v>46298</v>
      </c>
      <c r="B11" s="35" t="s">
        <v>179</v>
      </c>
      <c r="C11" s="35" t="s">
        <v>180</v>
      </c>
      <c r="D11" s="35" t="s">
        <v>181</v>
      </c>
      <c r="E11" s="35" t="s">
        <v>182</v>
      </c>
      <c r="F11" s="35" t="s">
        <v>183</v>
      </c>
      <c r="G11" s="26" t="n">
        <v>144.47</v>
      </c>
      <c r="H11" s="26" t="n">
        <v>7.67</v>
      </c>
      <c r="I11" s="36" t="n">
        <v>681700</v>
      </c>
      <c r="J11" s="37" t="n">
        <f aca="false">IF(OR(G11="",I11=""),"",G11*I11/1000000)</f>
        <v>98.485199</v>
      </c>
      <c r="K11" s="21" t="n">
        <v>-0.0016</v>
      </c>
      <c r="L11" s="21" t="n">
        <v>-0.0137</v>
      </c>
      <c r="M11" s="21" t="n">
        <v>0.1551</v>
      </c>
      <c r="N11" s="25" t="n">
        <v>48.5</v>
      </c>
      <c r="O11" s="21" t="n">
        <v>0.2552</v>
      </c>
      <c r="P11" s="21" t="n">
        <v>0.3611</v>
      </c>
      <c r="Q11" s="21" t="n">
        <v>-0.1078</v>
      </c>
      <c r="R11" s="21" t="n">
        <v>0.5536</v>
      </c>
      <c r="S11" s="38" t="n">
        <v>0.79</v>
      </c>
      <c r="T11" s="21" t="n">
        <v>0.0511</v>
      </c>
      <c r="U11" s="21" t="n">
        <v>0.0651</v>
      </c>
      <c r="V11" s="19" t="n">
        <v>46329</v>
      </c>
      <c r="W11" s="26" t="n">
        <v>4.15</v>
      </c>
      <c r="X11" s="35" t="s">
        <v>184</v>
      </c>
      <c r="Y11" s="26" t="n">
        <v>149</v>
      </c>
      <c r="Z11" s="26" t="n">
        <v>140.7</v>
      </c>
      <c r="AA11" s="26" t="n">
        <v>173.95</v>
      </c>
      <c r="AB11" s="16" t="n">
        <f aca="false">IF(C11="","",IF(F11="Short",(AND(M11&lt;&gt;"",N(M11)&lt;0))+(AND(L11&lt;&gt;"",N(L11)&lt;0))+(AND(K11&lt;&gt;"",N(K11)&lt;0))+AND(L11&lt;&gt;"",M11&lt;&gt;"",N(M11)&lt;N(L11)),(N(M11)&gt;0)+(N(L11)&gt;0)+(N(K11)&gt;0)+AND(L11&lt;&gt;"",M11&lt;&gt;"",N(M11)&gt;N(L11))))</f>
        <v>2</v>
      </c>
      <c r="AC11" s="16" t="n">
        <f aca="false">IF(C11="","",IF(F11="Short",IF(N11="",0,IF(AND(N11&gt;=30,N11&lt;=50),2,IF(OR(AND(N11&gt;=25,N11&lt;30),AND(N11&gt;50,N11&lt;=60)),1,0)))+IF(P11="",0,IF(AND(IF(B11="JSE",$L$5,$L$4)&lt;&gt;"",P11&lt;IF(B11="JSE",$L$5,$L$4)),2,IF(P11&lt;0,1,0))),IF(N11="",0,IF(AND(N11&gt;=50,N11&lt;=70),2,IF(OR(AND(N11&gt;=40,N11&lt;50),AND(N11&gt;70,N11&lt;=75)),1,0)))+IF(P11="",0,IF(AND(IF(B11="JSE",$L$5,$L$4)&lt;&gt;"",P11&gt;IF(B11="JSE",$L$5,$L$4)),2,IF(P11&gt;0,1,0)))))</f>
        <v>3</v>
      </c>
      <c r="AD11" s="16" t="n">
        <f aca="false">IF(C11="","",IF(F11="Short",IF(R11="",0,IF(R11&lt;=0.1,2,IF(R11&lt;=0.25,1,0))),IF(Q11="",0,IF(Q11&gt;=-0.1,2,IF(Q11&gt;=-0.25,1,0)))))</f>
        <v>1</v>
      </c>
      <c r="AE11" s="16" t="n">
        <f aca="false">IF(C11="","",IF(J11="",0,IF(J11&gt;=IF(B11="JSE",$L$7,$L$6),2,IF(J11&gt;=IF(B11="JSE",$L$7,$L$6)/4,1,0))))</f>
        <v>2</v>
      </c>
      <c r="AF11" s="16" t="n">
        <f aca="false">IF(C11="","",IF(F11="Short",AND(T11&lt;&gt;"",N(T11)&lt;0),N(T11)&gt;0)+(N(S11)&gt;=1.5))</f>
        <v>1</v>
      </c>
      <c r="AG11" s="16" t="n">
        <f aca="false">IF(C11="","",IF(AL11="",0,IF(AL11&gt;=3,4,IF(AL11&gt;=2,2,0))))</f>
        <v>4</v>
      </c>
      <c r="AH11" s="16" t="n">
        <f aca="false">IF(C11="","",IF(AND(ISNUMBER(V11),ISNUMBER(A11),V11&gt;=A11,V11-A11&lt;=14),-2,0))</f>
        <v>0</v>
      </c>
      <c r="AI11" s="16" t="n">
        <f aca="false">IF(C11="","",IF(AND(F11="Short",N(U11)&gt;=0.2),-1,0))</f>
        <v>0</v>
      </c>
      <c r="AJ11" s="23" t="n">
        <f aca="false">IF(C11="","",SUM(AB11:AI11))</f>
        <v>13</v>
      </c>
      <c r="AK11" s="24" t="str">
        <f aca="false">IF(C11="","",IF(AJ11&gt;=14,"A",IF(AJ11&gt;=10,"B","C")))</f>
        <v>B</v>
      </c>
      <c r="AL11" s="39" t="n">
        <f aca="false">IFERROR(IF(OR(Y11="",Z11="",AA11=""),"",IF(F11="Short",IF(Z11&lt;=Y11,"",(Y11-AA11)/(Z11-Y11)),IF(Y11&lt;=Z11,"",(AA11-Y11)/(Y11-Z11)))),"")</f>
        <v>3.00602409638554</v>
      </c>
      <c r="AM11" s="37" t="n">
        <f aca="false">IF(OR(Y11="",Z11="",N(Y11)=N(Z11)),"",IF(OR(AND(F11="Short",Z11&lt;Y11),AND(NOT(F11="Short"),Z11&gt;Y11)),"stop on wrong side",ABS(Y11-Z11)))</f>
        <v>8.30000000000001</v>
      </c>
      <c r="AN11" s="40" t="n">
        <f aca="false">IFERROR(IF(OR(NOT(ISNUMBER(AM11)),$C$6=""),"",ROUNDDOWN($C$6*$C$7/AM11,2)),"")</f>
        <v>0.05</v>
      </c>
      <c r="AO11" s="37" t="n">
        <f aca="false">IFERROR(IF(AN11="","",AN11*Y11),"")</f>
        <v>7.45</v>
      </c>
      <c r="AP11" s="35" t="s">
        <v>185</v>
      </c>
      <c r="AQ11" s="19"/>
      <c r="AR11" s="26"/>
      <c r="AS11" s="41" t="str">
        <f aca="false">IFERROR(IF(OR(AR11="",Y11="",AQ11=""),"",IF(F11="Short",1-AR11/Y11,AR11/Y11-1)),"")</f>
        <v/>
      </c>
      <c r="AT11" s="42" t="str">
        <f aca="true">IF(AQ11="","",IF(ISNUMBER($C$4),$C$4,TODAY())-AQ11)</f>
        <v/>
      </c>
      <c r="AU11" s="14" t="str">
        <f aca="false">IF(C11="","",IF(AP11="Open position",IF(IF(F11="Short",AND(ISNUMBER(AR11),ISNUMBER(Z11),AR11&gt;=Z11),AND(ISNUMBER(AR11),ISNUMBER(Z11),AR11&lt;=Z11)),IF(F11="Short","COVER — stop hit (buy back)","SELL — stop hit"),IF(IF(F11="Short",AND(ISNUMBER(AR11),ISNUMBER(AA11),AR11&lt;=AA11),AND(ISNUMBER(AR11),ISNUMBER(AA11),AR11&gt;=AA11)),"TAKE PROFIT — target hit",IF(AND(ISNUMBER(AT11),AT11&gt;182),IF(F11="Short","COVER — 6-month time limit","SELL — 6-month time limit"),IF(AND(ISNUMBER(AT11),AT11&gt;42,ISNUMBER(AS11),AS11&lt;0.02),"REVIEW — no progress after 6 weeks",IF(IF(F11="Short",AND(L11&lt;&gt;"",N(L11)&gt;0),AND(L11&lt;&gt;"",N(L11)&lt;0)),IF(F11="Short","REVIEW — back above 50-day avg","REVIEW — below 50-day avg"),"HOLD"))))),IF(OR(AP11="Closed",AP11="Dropped"),"Closed",IF(AK11="A",IF(F11="Short","Run Technical Review — SHORT entry","Run Technical Review — LONG entry"),IF(AK11="B","Watch — wait for setup","Drop or re-check next week")))))</f>
        <v>Closed</v>
      </c>
      <c r="AV11" s="35" t="s">
        <v>186</v>
      </c>
      <c r="AX11" s="43" t="str">
        <f aca="false">IF(AND(C11&lt;&gt;"",A11=$C$4,ISNUMBER(AJ11)),AJ11+ROW()/100000,"")</f>
        <v/>
      </c>
    </row>
    <row r="12" customFormat="false" ht="15" hidden="false" customHeight="false" outlineLevel="0" collapsed="false">
      <c r="A12" s="19" t="n">
        <v>46298</v>
      </c>
      <c r="B12" s="35" t="s">
        <v>179</v>
      </c>
      <c r="C12" s="35" t="s">
        <v>187</v>
      </c>
      <c r="D12" s="35" t="s">
        <v>188</v>
      </c>
      <c r="E12" s="35" t="s">
        <v>189</v>
      </c>
      <c r="F12" s="35" t="s">
        <v>190</v>
      </c>
      <c r="G12" s="26" t="n">
        <v>287.54</v>
      </c>
      <c r="H12" s="26" t="n">
        <v>48.57</v>
      </c>
      <c r="I12" s="36" t="n">
        <v>769100</v>
      </c>
      <c r="J12" s="37" t="n">
        <f aca="false">IF(OR(G12="",I12=""),"",G12*I12/1000000)</f>
        <v>221.147014</v>
      </c>
      <c r="K12" s="21" t="n">
        <v>0.0102</v>
      </c>
      <c r="L12" s="21" t="n">
        <v>-0.0105</v>
      </c>
      <c r="M12" s="21" t="n">
        <v>0.0996</v>
      </c>
      <c r="N12" s="25" t="n">
        <v>51.1</v>
      </c>
      <c r="O12" s="21" t="n">
        <v>0.0967</v>
      </c>
      <c r="P12" s="21" t="n">
        <v>0.1324</v>
      </c>
      <c r="Q12" s="21" t="n">
        <v>-0.0623</v>
      </c>
      <c r="R12" s="21" t="n">
        <v>0.5454</v>
      </c>
      <c r="S12" s="38" t="n">
        <v>1.19</v>
      </c>
      <c r="T12" s="21" t="n">
        <v>0.2114</v>
      </c>
      <c r="U12" s="21" t="n">
        <v>0.0215</v>
      </c>
      <c r="V12" s="19" t="n">
        <v>46316</v>
      </c>
      <c r="W12" s="26" t="n">
        <v>5.73</v>
      </c>
      <c r="X12" s="35" t="s">
        <v>191</v>
      </c>
      <c r="Y12" s="26" t="n">
        <v>272.9</v>
      </c>
      <c r="Z12" s="26" t="n">
        <v>284.35</v>
      </c>
      <c r="AA12" s="26" t="n">
        <v>238.5</v>
      </c>
      <c r="AB12" s="16" t="n">
        <f aca="false">IF(C12="","",IF(F12="Short",(AND(M12&lt;&gt;"",N(M12)&lt;0))+(AND(L12&lt;&gt;"",N(L12)&lt;0))+(AND(K12&lt;&gt;"",N(K12)&lt;0))+AND(L12&lt;&gt;"",M12&lt;&gt;"",N(M12)&lt;N(L12)),(N(M12)&gt;0)+(N(L12)&gt;0)+(N(K12)&gt;0)+AND(L12&lt;&gt;"",M12&lt;&gt;"",N(M12)&gt;N(L12))))</f>
        <v>1</v>
      </c>
      <c r="AC12" s="16" t="n">
        <f aca="false">IF(C12="","",IF(F12="Short",IF(N12="",0,IF(AND(N12&gt;=30,N12&lt;=50),2,IF(OR(AND(N12&gt;=25,N12&lt;30),AND(N12&gt;50,N12&lt;=60)),1,0)))+IF(P12="",0,IF(AND(IF(B12="JSE",$L$5,$L$4)&lt;&gt;"",P12&lt;IF(B12="JSE",$L$5,$L$4)),2,IF(P12&lt;0,1,0))),IF(N12="",0,IF(AND(N12&gt;=50,N12&lt;=70),2,IF(OR(AND(N12&gt;=40,N12&lt;50),AND(N12&gt;70,N12&lt;=75)),1,0)))+IF(P12="",0,IF(AND(IF(B12="JSE",$L$5,$L$4)&lt;&gt;"",P12&gt;IF(B12="JSE",$L$5,$L$4)),2,IF(P12&gt;0,1,0)))))</f>
        <v>3</v>
      </c>
      <c r="AD12" s="16" t="n">
        <f aca="false">IF(C12="","",IF(F12="Short",IF(R12="",0,IF(R12&lt;=0.1,2,IF(R12&lt;=0.25,1,0))),IF(Q12="",0,IF(Q12&gt;=-0.1,2,IF(Q12&gt;=-0.25,1,0)))))</f>
        <v>0</v>
      </c>
      <c r="AE12" s="16" t="n">
        <f aca="false">IF(C12="","",IF(J12="",0,IF(J12&gt;=IF(B12="JSE",$L$7,$L$6),2,IF(J12&gt;=IF(B12="JSE",$L$7,$L$6)/4,1,0))))</f>
        <v>2</v>
      </c>
      <c r="AF12" s="16" t="n">
        <f aca="false">IF(C12="","",IF(F12="Short",AND(T12&lt;&gt;"",N(T12)&lt;0),N(T12)&gt;0)+(N(S12)&gt;=1.5))</f>
        <v>0</v>
      </c>
      <c r="AG12" s="16" t="n">
        <f aca="false">IF(C12="","",IF(AL12="",0,IF(AL12&gt;=3,4,IF(AL12&gt;=2,2,0))))</f>
        <v>4</v>
      </c>
      <c r="AH12" s="16" t="n">
        <f aca="false">IF(C12="","",IF(AND(ISNUMBER(V12),ISNUMBER(A12),V12&gt;=A12,V12-A12&lt;=14),-2,0))</f>
        <v>0</v>
      </c>
      <c r="AI12" s="16" t="n">
        <f aca="false">IF(C12="","",IF(AND(F12="Short",N(U12)&gt;=0.2),-1,0))</f>
        <v>0</v>
      </c>
      <c r="AJ12" s="23" t="n">
        <f aca="false">IF(C12="","",SUM(AB12:AI12))</f>
        <v>10</v>
      </c>
      <c r="AK12" s="24" t="str">
        <f aca="false">IF(C12="","",IF(AJ12&gt;=14,"A",IF(AJ12&gt;=10,"B","C")))</f>
        <v>B</v>
      </c>
      <c r="AL12" s="39" t="n">
        <f aca="false">IFERROR(IF(OR(Y12="",Z12="",AA12=""),"",IF(F12="Short",IF(Z12&lt;=Y12,"",(Y12-AA12)/(Z12-Y12)),IF(Y12&lt;=Z12,"",(AA12-Y12)/(Y12-Z12)))),"")</f>
        <v>3.00436681222706</v>
      </c>
      <c r="AM12" s="37" t="n">
        <f aca="false">IF(OR(Y12="",Z12="",N(Y12)=N(Z12)),"",IF(OR(AND(F12="Short",Z12&lt;Y12),AND(NOT(F12="Short"),Z12&gt;Y12)),"stop on wrong side",ABS(Y12-Z12)))</f>
        <v>11.45</v>
      </c>
      <c r="AN12" s="40" t="n">
        <f aca="false">IFERROR(IF(OR(NOT(ISNUMBER(AM12)),$C$6=""),"",ROUNDDOWN($C$6*$C$7/AM12,2)),"")</f>
        <v>0.03</v>
      </c>
      <c r="AO12" s="37" t="n">
        <f aca="false">IFERROR(IF(AN12="","",AN12*Y12),"")</f>
        <v>8.187</v>
      </c>
      <c r="AP12" s="35" t="s">
        <v>192</v>
      </c>
      <c r="AQ12" s="19"/>
      <c r="AR12" s="26"/>
      <c r="AS12" s="41" t="str">
        <f aca="false">IFERROR(IF(OR(AR12="",Y12="",AQ12=""),"",IF(F12="Short",1-AR12/Y12,AR12/Y12-1)),"")</f>
        <v/>
      </c>
      <c r="AT12" s="42" t="str">
        <f aca="true">IF(AQ12="","",IF(ISNUMBER($C$4),$C$4,TODAY())-AQ12)</f>
        <v/>
      </c>
      <c r="AU12" s="14" t="str">
        <f aca="false">IF(C12="","",IF(AP12="Open position",IF(IF(F12="Short",AND(ISNUMBER(AR12),ISNUMBER(Z12),AR12&gt;=Z12),AND(ISNUMBER(AR12),ISNUMBER(Z12),AR12&lt;=Z12)),IF(F12="Short","COVER — stop hit (buy back)","SELL — stop hit"),IF(IF(F12="Short",AND(ISNUMBER(AR12),ISNUMBER(AA12),AR12&lt;=AA12),AND(ISNUMBER(AR12),ISNUMBER(AA12),AR12&gt;=AA12)),"TAKE PROFIT — target hit",IF(AND(ISNUMBER(AT12),AT12&gt;182),IF(F12="Short","COVER — 6-month time limit","SELL — 6-month time limit"),IF(AND(ISNUMBER(AT12),AT12&gt;42,ISNUMBER(AS12),AS12&lt;0.02),"REVIEW — no progress after 6 weeks",IF(IF(F12="Short",AND(L12&lt;&gt;"",N(L12)&gt;0),AND(L12&lt;&gt;"",N(L12)&lt;0)),IF(F12="Short","REVIEW — back above 50-day avg","REVIEW — below 50-day avg"),"HOLD"))))),IF(OR(AP12="Closed",AP12="Dropped"),"Closed",IF(AK12="A",IF(F12="Short","Run Technical Review — SHORT entry","Run Technical Review — LONG entry"),IF(AK12="B","Watch — wait for setup","Drop or re-check next week")))))</f>
        <v>Watch — wait for setup</v>
      </c>
      <c r="AV12" s="35" t="s">
        <v>193</v>
      </c>
      <c r="AX12" s="43" t="str">
        <f aca="false">IF(AND(C12&lt;&gt;"",A12=$C$4,ISNUMBER(AJ12)),AJ12+ROW()/100000,"")</f>
        <v/>
      </c>
    </row>
    <row r="13" customFormat="false" ht="15" hidden="false" customHeight="false" outlineLevel="0" collapsed="false">
      <c r="A13" s="19" t="n">
        <v>46298</v>
      </c>
      <c r="B13" s="35" t="s">
        <v>179</v>
      </c>
      <c r="C13" s="35" t="s">
        <v>194</v>
      </c>
      <c r="D13" s="35" t="s">
        <v>195</v>
      </c>
      <c r="E13" s="35" t="s">
        <v>182</v>
      </c>
      <c r="F13" s="35" t="s">
        <v>190</v>
      </c>
      <c r="G13" s="26" t="n">
        <v>207.35</v>
      </c>
      <c r="H13" s="26" t="n">
        <v>260.9</v>
      </c>
      <c r="I13" s="36" t="n">
        <v>4650000</v>
      </c>
      <c r="J13" s="37" t="n">
        <f aca="false">IF(OR(G13="",I13=""),"",G13*I13/1000000)</f>
        <v>964.1775</v>
      </c>
      <c r="K13" s="21" t="n">
        <v>0.0376</v>
      </c>
      <c r="L13" s="21" t="n">
        <v>0.0684</v>
      </c>
      <c r="M13" s="21" t="n">
        <v>0.3015</v>
      </c>
      <c r="N13" s="25" t="n">
        <v>59.5</v>
      </c>
      <c r="O13" s="21" t="n">
        <v>0.296</v>
      </c>
      <c r="P13" s="21" t="n">
        <v>0.6368</v>
      </c>
      <c r="Q13" s="21" t="n">
        <v>-0.0351</v>
      </c>
      <c r="R13" s="21" t="n">
        <v>0.8106</v>
      </c>
      <c r="S13" s="38" t="n">
        <v>0.89</v>
      </c>
      <c r="T13" s="21" t="n">
        <v>0.3799</v>
      </c>
      <c r="U13" s="21" t="n">
        <v>0.0126</v>
      </c>
      <c r="V13" s="19" t="n">
        <v>46329</v>
      </c>
      <c r="W13" s="26" t="n">
        <v>6.34</v>
      </c>
      <c r="X13" s="35" t="s">
        <v>191</v>
      </c>
      <c r="Y13" s="26" t="n">
        <v>186</v>
      </c>
      <c r="Z13" s="26" t="n">
        <v>198.67</v>
      </c>
      <c r="AA13" s="26" t="n">
        <v>147.99</v>
      </c>
      <c r="AB13" s="16" t="n">
        <f aca="false">IF(C13="","",IF(F13="Short",(AND(M13&lt;&gt;"",N(M13)&lt;0))+(AND(L13&lt;&gt;"",N(L13)&lt;0))+(AND(K13&lt;&gt;"",N(K13)&lt;0))+AND(L13&lt;&gt;"",M13&lt;&gt;"",N(M13)&lt;N(L13)),(N(M13)&gt;0)+(N(L13)&gt;0)+(N(K13)&gt;0)+AND(L13&lt;&gt;"",M13&lt;&gt;"",N(M13)&gt;N(L13))))</f>
        <v>0</v>
      </c>
      <c r="AC13" s="16" t="n">
        <f aca="false">IF(C13="","",IF(F13="Short",IF(N13="",0,IF(AND(N13&gt;=30,N13&lt;=50),2,IF(OR(AND(N13&gt;=25,N13&lt;30),AND(N13&gt;50,N13&lt;=60)),1,0)))+IF(P13="",0,IF(AND(IF(B13="JSE",$L$5,$L$4)&lt;&gt;"",P13&lt;IF(B13="JSE",$L$5,$L$4)),2,IF(P13&lt;0,1,0))),IF(N13="",0,IF(AND(N13&gt;=50,N13&lt;=70),2,IF(OR(AND(N13&gt;=40,N13&lt;50),AND(N13&gt;70,N13&lt;=75)),1,0)))+IF(P13="",0,IF(AND(IF(B13="JSE",$L$5,$L$4)&lt;&gt;"",P13&gt;IF(B13="JSE",$L$5,$L$4)),2,IF(P13&gt;0,1,0)))))</f>
        <v>1</v>
      </c>
      <c r="AD13" s="16" t="n">
        <f aca="false">IF(C13="","",IF(F13="Short",IF(R13="",0,IF(R13&lt;=0.1,2,IF(R13&lt;=0.25,1,0))),IF(Q13="",0,IF(Q13&gt;=-0.1,2,IF(Q13&gt;=-0.25,1,0)))))</f>
        <v>0</v>
      </c>
      <c r="AE13" s="16" t="n">
        <f aca="false">IF(C13="","",IF(J13="",0,IF(J13&gt;=IF(B13="JSE",$L$7,$L$6),2,IF(J13&gt;=IF(B13="JSE",$L$7,$L$6)/4,1,0))))</f>
        <v>2</v>
      </c>
      <c r="AF13" s="16" t="n">
        <f aca="false">IF(C13="","",IF(F13="Short",AND(T13&lt;&gt;"",N(T13)&lt;0),N(T13)&gt;0)+(N(S13)&gt;=1.5))</f>
        <v>0</v>
      </c>
      <c r="AG13" s="16" t="n">
        <f aca="false">IF(C13="","",IF(AL13="",0,IF(AL13&gt;=3,4,IF(AL13&gt;=2,2,0))))</f>
        <v>4</v>
      </c>
      <c r="AH13" s="16" t="n">
        <f aca="false">IF(C13="","",IF(AND(ISNUMBER(V13),ISNUMBER(A13),V13&gt;=A13,V13-A13&lt;=14),-2,0))</f>
        <v>0</v>
      </c>
      <c r="AI13" s="16" t="n">
        <f aca="false">IF(C13="","",IF(AND(F13="Short",N(U13)&gt;=0.2),-1,0))</f>
        <v>0</v>
      </c>
      <c r="AJ13" s="23" t="n">
        <f aca="false">IF(C13="","",SUM(AB13:AI13))</f>
        <v>7</v>
      </c>
      <c r="AK13" s="24" t="str">
        <f aca="false">IF(C13="","",IF(AJ13&gt;=14,"A",IF(AJ13&gt;=10,"B","C")))</f>
        <v>C</v>
      </c>
      <c r="AL13" s="39" t="n">
        <f aca="false">IFERROR(IF(OR(Y13="",Z13="",AA13=""),"",IF(F13="Short",IF(Z13&lt;=Y13,"",(Y13-AA13)/(Z13-Y13)),IF(Y13&lt;=Z13,"",(AA13-Y13)/(Y13-Z13)))),"")</f>
        <v>3</v>
      </c>
      <c r="AM13" s="37" t="n">
        <f aca="false">IF(OR(Y13="",Z13="",N(Y13)=N(Z13)),"",IF(OR(AND(F13="Short",Z13&lt;Y13),AND(NOT(F13="Short"),Z13&gt;Y13)),"stop on wrong side",ABS(Y13-Z13)))</f>
        <v>12.67</v>
      </c>
      <c r="AN13" s="40" t="n">
        <f aca="false">IFERROR(IF(OR(NOT(ISNUMBER(AM13)),$C$6=""),"",ROUNDDOWN($C$6*$C$7/AM13,2)),"")</f>
        <v>0.03</v>
      </c>
      <c r="AO13" s="37" t="n">
        <f aca="false">IFERROR(IF(AN13="","",AN13*Y13),"")</f>
        <v>5.58</v>
      </c>
      <c r="AP13" s="35" t="s">
        <v>185</v>
      </c>
      <c r="AQ13" s="19"/>
      <c r="AR13" s="26"/>
      <c r="AS13" s="41" t="str">
        <f aca="false">IFERROR(IF(OR(AR13="",Y13="",AQ13=""),"",IF(F13="Short",1-AR13/Y13,AR13/Y13-1)),"")</f>
        <v/>
      </c>
      <c r="AT13" s="42" t="str">
        <f aca="true">IF(AQ13="","",IF(ISNUMBER($C$4),$C$4,TODAY())-AQ13)</f>
        <v/>
      </c>
      <c r="AU13" s="14" t="str">
        <f aca="false">IF(C13="","",IF(AP13="Open position",IF(IF(F13="Short",AND(ISNUMBER(AR13),ISNUMBER(Z13),AR13&gt;=Z13),AND(ISNUMBER(AR13),ISNUMBER(Z13),AR13&lt;=Z13)),IF(F13="Short","COVER — stop hit (buy back)","SELL — stop hit"),IF(IF(F13="Short",AND(ISNUMBER(AR13),ISNUMBER(AA13),AR13&lt;=AA13),AND(ISNUMBER(AR13),ISNUMBER(AA13),AR13&gt;=AA13)),"TAKE PROFIT — target hit",IF(AND(ISNUMBER(AT13),AT13&gt;182),IF(F13="Short","COVER — 6-month time limit","SELL — 6-month time limit"),IF(AND(ISNUMBER(AT13),AT13&gt;42,ISNUMBER(AS13),AS13&lt;0.02),"REVIEW — no progress after 6 weeks",IF(IF(F13="Short",AND(L13&lt;&gt;"",N(L13)&gt;0),AND(L13&lt;&gt;"",N(L13)&lt;0)),IF(F13="Short","REVIEW — back above 50-day avg","REVIEW — below 50-day avg"),"HOLD"))))),IF(OR(AP13="Closed",AP13="Dropped"),"Closed",IF(AK13="A",IF(F13="Short","Run Technical Review — SHORT entry","Run Technical Review — LONG entry"),IF(AK13="B","Watch — wait for setup","Drop or re-check next week")))))</f>
        <v>Closed</v>
      </c>
      <c r="AV13" s="35" t="s">
        <v>196</v>
      </c>
      <c r="AX13" s="43" t="str">
        <f aca="false">IF(AND(C13&lt;&gt;"",A13=$C$4,ISNUMBER(AJ13)),AJ13+ROW()/100000,"")</f>
        <v/>
      </c>
    </row>
    <row r="14" customFormat="false" ht="15" hidden="false" customHeight="false" outlineLevel="0" collapsed="false">
      <c r="A14" s="19" t="n">
        <v>46312</v>
      </c>
      <c r="B14" s="35" t="s">
        <v>179</v>
      </c>
      <c r="C14" s="35" t="s">
        <v>197</v>
      </c>
      <c r="D14" s="35" t="s">
        <v>198</v>
      </c>
      <c r="E14" s="35" t="s">
        <v>182</v>
      </c>
      <c r="F14" s="35" t="s">
        <v>183</v>
      </c>
      <c r="G14" s="26" t="n">
        <v>228.52</v>
      </c>
      <c r="H14" s="26" t="n">
        <v>5520</v>
      </c>
      <c r="I14" s="36" t="n">
        <v>105231900</v>
      </c>
      <c r="J14" s="37" t="n">
        <f aca="false">IF(OR(G14="",I14=""),"",G14*I14/1000000)</f>
        <v>24047.593788</v>
      </c>
      <c r="K14" s="21" t="n">
        <v>0.0009</v>
      </c>
      <c r="L14" s="21" t="n">
        <v>0.0246</v>
      </c>
      <c r="M14" s="21" t="n">
        <v>0.1283</v>
      </c>
      <c r="N14" s="25" t="n">
        <v>52</v>
      </c>
      <c r="O14" s="21"/>
      <c r="P14" s="21" t="n">
        <v>0.2071</v>
      </c>
      <c r="Q14" s="21" t="n">
        <v>-0.061</v>
      </c>
      <c r="R14" s="21" t="n">
        <v>0.3911</v>
      </c>
      <c r="S14" s="38" t="n">
        <v>0.8</v>
      </c>
      <c r="T14" s="21" t="n">
        <v>0.9523</v>
      </c>
      <c r="U14" s="21" t="n">
        <v>0.0134</v>
      </c>
      <c r="V14" s="19" t="n">
        <v>46344</v>
      </c>
      <c r="W14" s="26" t="n">
        <v>5.31</v>
      </c>
      <c r="X14" s="35" t="s">
        <v>184</v>
      </c>
      <c r="Y14" s="26" t="n">
        <v>229.3</v>
      </c>
      <c r="Z14" s="26" t="n">
        <v>218.68</v>
      </c>
      <c r="AA14" s="26" t="n">
        <v>261.16</v>
      </c>
      <c r="AB14" s="16" t="n">
        <f aca="false">IF(C14="","",IF(F14="Short",(AND(M14&lt;&gt;"",N(M14)&lt;0))+(AND(L14&lt;&gt;"",N(L14)&lt;0))+(AND(K14&lt;&gt;"",N(K14)&lt;0))+AND(L14&lt;&gt;"",M14&lt;&gt;"",N(M14)&lt;N(L14)),(N(M14)&gt;0)+(N(L14)&gt;0)+(N(K14)&gt;0)+AND(L14&lt;&gt;"",M14&lt;&gt;"",N(M14)&gt;N(L14))))</f>
        <v>4</v>
      </c>
      <c r="AC14" s="16" t="n">
        <f aca="false">IF(C14="","",IF(F14="Short",IF(N14="",0,IF(AND(N14&gt;=30,N14&lt;=50),2,IF(OR(AND(N14&gt;=25,N14&lt;30),AND(N14&gt;50,N14&lt;=60)),1,0)))+IF(P14="",0,IF(AND(IF(B14="JSE",$L$5,$L$4)&lt;&gt;"",P14&lt;IF(B14="JSE",$L$5,$L$4)),2,IF(P14&lt;0,1,0))),IF(N14="",0,IF(AND(N14&gt;=50,N14&lt;=70),2,IF(OR(AND(N14&gt;=40,N14&lt;50),AND(N14&gt;70,N14&lt;=75)),1,0)))+IF(P14="",0,IF(AND(IF(B14="JSE",$L$5,$L$4)&lt;&gt;"",P14&gt;IF(B14="JSE",$L$5,$L$4)),2,IF(P14&gt;0,1,0)))))</f>
        <v>4</v>
      </c>
      <c r="AD14" s="16" t="n">
        <f aca="false">IF(C14="","",IF(F14="Short",IF(R14="",0,IF(R14&lt;=0.1,2,IF(R14&lt;=0.25,1,0))),IF(Q14="",0,IF(Q14&gt;=-0.1,2,IF(Q14&gt;=-0.25,1,0)))))</f>
        <v>2</v>
      </c>
      <c r="AE14" s="16" t="n">
        <f aca="false">IF(C14="","",IF(J14="",0,IF(J14&gt;=IF(B14="JSE",$L$7,$L$6),2,IF(J14&gt;=IF(B14="JSE",$L$7,$L$6)/4,1,0))))</f>
        <v>2</v>
      </c>
      <c r="AF14" s="16" t="n">
        <f aca="false">IF(C14="","",IF(F14="Short",AND(T14&lt;&gt;"",N(T14)&lt;0),N(T14)&gt;0)+(N(S14)&gt;=1.5))</f>
        <v>1</v>
      </c>
      <c r="AG14" s="16" t="n">
        <f aca="false">IF(C14="","",IF(AL14="",0,IF(AL14&gt;=3,4,IF(AL14&gt;=2,2,0))))</f>
        <v>4</v>
      </c>
      <c r="AH14" s="16" t="n">
        <f aca="false">IF(C14="","",IF(AND(ISNUMBER(V14),ISNUMBER(A14),V14&gt;=A14,V14-A14&lt;=14),-2,0))</f>
        <v>0</v>
      </c>
      <c r="AI14" s="16" t="n">
        <f aca="false">IF(C14="","",IF(AND(F14="Short",N(U14)&gt;=0.2),-1,0))</f>
        <v>0</v>
      </c>
      <c r="AJ14" s="23" t="n">
        <f aca="false">IF(C14="","",SUM(AB14:AI14))</f>
        <v>17</v>
      </c>
      <c r="AK14" s="24" t="str">
        <f aca="false">IF(C14="","",IF(AJ14&gt;=14,"A",IF(AJ14&gt;=10,"B","C")))</f>
        <v>A</v>
      </c>
      <c r="AL14" s="39" t="n">
        <f aca="false">IFERROR(IF(OR(Y14="",Z14="",AA14=""),"",IF(F14="Short",IF(Z14&lt;=Y14,"",(Y14-AA14)/(Z14-Y14)),IF(Y14&lt;=Z14,"",(AA14-Y14)/(Y14-Z14)))),"")</f>
        <v>3</v>
      </c>
      <c r="AM14" s="37" t="n">
        <f aca="false">IF(OR(Y14="",Z14="",N(Y14)=N(Z14)),"",IF(OR(AND(F14="Short",Z14&lt;Y14),AND(NOT(F14="Short"),Z14&gt;Y14)),"stop on wrong side",ABS(Y14-Z14)))</f>
        <v>10.62</v>
      </c>
      <c r="AN14" s="40" t="n">
        <f aca="false">IFERROR(IF(OR(NOT(ISNUMBER(AM14)),$C$6=""),"",ROUNDDOWN($C$6*$C$7/AM14,2)),"")</f>
        <v>0.04</v>
      </c>
      <c r="AO14" s="37" t="n">
        <f aca="false">IFERROR(IF(AN14="","",AN14*Y14),"")</f>
        <v>9.172</v>
      </c>
      <c r="AP14" s="35" t="s">
        <v>199</v>
      </c>
      <c r="AQ14" s="19"/>
      <c r="AR14" s="26"/>
      <c r="AS14" s="41" t="str">
        <f aca="false">IFERROR(IF(OR(AR14="",Y14="",AQ14=""),"",IF(F14="Short",1-AR14/Y14,AR14/Y14-1)),"")</f>
        <v/>
      </c>
      <c r="AT14" s="42" t="str">
        <f aca="true">IF(AQ14="","",IF(ISNUMBER($C$4),$C$4,TODAY())-AQ14)</f>
        <v/>
      </c>
      <c r="AU14" s="14" t="str">
        <f aca="false">IF(C14="","",IF(AP14="Open position",IF(IF(F14="Short",AND(ISNUMBER(AR14),ISNUMBER(Z14),AR14&gt;=Z14),AND(ISNUMBER(AR14),ISNUMBER(Z14),AR14&lt;=Z14)),IF(F14="Short","COVER — stop hit (buy back)","SELL — stop hit"),IF(IF(F14="Short",AND(ISNUMBER(AR14),ISNUMBER(AA14),AR14&lt;=AA14),AND(ISNUMBER(AR14),ISNUMBER(AA14),AR14&gt;=AA14)),"TAKE PROFIT — target hit",IF(AND(ISNUMBER(AT14),AT14&gt;182),IF(F14="Short","COVER — 6-month time limit","SELL — 6-month time limit"),IF(AND(ISNUMBER(AT14),AT14&gt;42,ISNUMBER(AS14),AS14&lt;0.02),"REVIEW — no progress after 6 weeks",IF(IF(F14="Short",AND(L14&lt;&gt;"",N(L14)&gt;0),AND(L14&lt;&gt;"",N(L14)&lt;0)),IF(F14="Short","REVIEW — back above 50-day avg","REVIEW — below 50-day avg"),"HOLD"))))),IF(OR(AP14="Closed",AP14="Dropped"),"Closed",IF(AK14="A",IF(F14="Short","Run Technical Review — SHORT entry","Run Technical Review — LONG entry"),IF(AK14="B","Watch — wait for setup","Drop or re-check next week")))))</f>
        <v>Run Technical Review — LONG entry</v>
      </c>
      <c r="AV14" s="35" t="s">
        <v>200</v>
      </c>
      <c r="AX14" s="43" t="str">
        <f aca="false">IF(AND(C14&lt;&gt;"",A14=$C$4,ISNUMBER(AJ14)),AJ14+ROW()/100000,"")</f>
        <v/>
      </c>
    </row>
    <row r="15" customFormat="false" ht="15" hidden="false" customHeight="false" outlineLevel="0" collapsed="false">
      <c r="A15" s="19" t="n">
        <v>46312</v>
      </c>
      <c r="B15" s="35" t="s">
        <v>179</v>
      </c>
      <c r="C15" s="35" t="s">
        <v>201</v>
      </c>
      <c r="D15" s="35" t="s">
        <v>202</v>
      </c>
      <c r="E15" s="35" t="s">
        <v>182</v>
      </c>
      <c r="F15" s="35" t="s">
        <v>183</v>
      </c>
      <c r="G15" s="26" t="n">
        <v>301.45</v>
      </c>
      <c r="H15" s="26" t="n">
        <v>80.56</v>
      </c>
      <c r="I15" s="36" t="n">
        <v>3875886</v>
      </c>
      <c r="J15" s="37" t="n">
        <f aca="false">IF(OR(G15="",I15=""),"",G15*I15/1000000)</f>
        <v>1168.3858347</v>
      </c>
      <c r="K15" s="21" t="n">
        <v>0.0335</v>
      </c>
      <c r="L15" s="21" t="n">
        <v>-0.0614</v>
      </c>
      <c r="M15" s="21" t="n">
        <v>-0.2081</v>
      </c>
      <c r="N15" s="25" t="n">
        <v>49.9</v>
      </c>
      <c r="O15" s="21"/>
      <c r="P15" s="21" t="n">
        <v>-0.184</v>
      </c>
      <c r="Q15" s="21" t="n">
        <v>-0.5626</v>
      </c>
      <c r="R15" s="21" t="n">
        <v>0.1923</v>
      </c>
      <c r="S15" s="38" t="n">
        <v>0.95</v>
      </c>
      <c r="T15" s="21" t="n">
        <v>-0.0133</v>
      </c>
      <c r="U15" s="21" t="n">
        <v>0.0279</v>
      </c>
      <c r="V15" s="19" t="n">
        <v>46345</v>
      </c>
      <c r="W15" s="26" t="n">
        <v>10.41</v>
      </c>
      <c r="X15" s="35" t="s">
        <v>203</v>
      </c>
      <c r="Y15" s="26" t="n">
        <v>322</v>
      </c>
      <c r="Z15" s="26" t="n">
        <v>301.18</v>
      </c>
      <c r="AA15" s="26" t="n">
        <v>384.46</v>
      </c>
      <c r="AB15" s="16" t="n">
        <f aca="false">IF(C15="","",IF(F15="Short",(AND(M15&lt;&gt;"",N(M15)&lt;0))+(AND(L15&lt;&gt;"",N(L15)&lt;0))+(AND(K15&lt;&gt;"",N(K15)&lt;0))+AND(L15&lt;&gt;"",M15&lt;&gt;"",N(M15)&lt;N(L15)),(N(M15)&gt;0)+(N(L15)&gt;0)+(N(K15)&gt;0)+AND(L15&lt;&gt;"",M15&lt;&gt;"",N(M15)&gt;N(L15))))</f>
        <v>1</v>
      </c>
      <c r="AC15" s="16" t="n">
        <f aca="false">IF(C15="","",IF(F15="Short",IF(N15="",0,IF(AND(N15&gt;=30,N15&lt;=50),2,IF(OR(AND(N15&gt;=25,N15&lt;30),AND(N15&gt;50,N15&lt;=60)),1,0)))+IF(P15="",0,IF(AND(IF(B15="JSE",$L$5,$L$4)&lt;&gt;"",P15&lt;IF(B15="JSE",$L$5,$L$4)),2,IF(P15&lt;0,1,0))),IF(N15="",0,IF(AND(N15&gt;=50,N15&lt;=70),2,IF(OR(AND(N15&gt;=40,N15&lt;50),AND(N15&gt;70,N15&lt;=75)),1,0)))+IF(P15="",0,IF(AND(IF(B15="JSE",$L$5,$L$4)&lt;&gt;"",P15&gt;IF(B15="JSE",$L$5,$L$4)),2,IF(P15&gt;0,1,0)))))</f>
        <v>1</v>
      </c>
      <c r="AD15" s="16" t="n">
        <f aca="false">IF(C15="","",IF(F15="Short",IF(R15="",0,IF(R15&lt;=0.1,2,IF(R15&lt;=0.25,1,0))),IF(Q15="",0,IF(Q15&gt;=-0.1,2,IF(Q15&gt;=-0.25,1,0)))))</f>
        <v>0</v>
      </c>
      <c r="AE15" s="16" t="n">
        <f aca="false">IF(C15="","",IF(J15="",0,IF(J15&gt;=IF(B15="JSE",$L$7,$L$6),2,IF(J15&gt;=IF(B15="JSE",$L$7,$L$6)/4,1,0))))</f>
        <v>2</v>
      </c>
      <c r="AF15" s="16" t="n">
        <f aca="false">IF(C15="","",IF(F15="Short",AND(T15&lt;&gt;"",N(T15)&lt;0),N(T15)&gt;0)+(N(S15)&gt;=1.5))</f>
        <v>0</v>
      </c>
      <c r="AG15" s="16" t="n">
        <f aca="false">IF(C15="","",IF(AL15="",0,IF(AL15&gt;=3,4,IF(AL15&gt;=2,2,0))))</f>
        <v>4</v>
      </c>
      <c r="AH15" s="16" t="n">
        <f aca="false">IF(C15="","",IF(AND(ISNUMBER(V15),ISNUMBER(A15),V15&gt;=A15,V15-A15&lt;=14),-2,0))</f>
        <v>0</v>
      </c>
      <c r="AI15" s="16" t="n">
        <f aca="false">IF(C15="","",IF(AND(F15="Short",N(U15)&gt;=0.2),-1,0))</f>
        <v>0</v>
      </c>
      <c r="AJ15" s="23" t="n">
        <f aca="false">IF(C15="","",SUM(AB15:AI15))</f>
        <v>8</v>
      </c>
      <c r="AK15" s="24" t="str">
        <f aca="false">IF(C15="","",IF(AJ15&gt;=14,"A",IF(AJ15&gt;=10,"B","C")))</f>
        <v>C</v>
      </c>
      <c r="AL15" s="39" t="n">
        <f aca="false">IFERROR(IF(OR(Y15="",Z15="",AA15=""),"",IF(F15="Short",IF(Z15&lt;=Y15,"",(Y15-AA15)/(Z15-Y15)),IF(Y15&lt;=Z15,"",(AA15-Y15)/(Y15-Z15)))),"")</f>
        <v>3</v>
      </c>
      <c r="AM15" s="37" t="n">
        <f aca="false">IF(OR(Y15="",Z15="",N(Y15)=N(Z15)),"",IF(OR(AND(F15="Short",Z15&lt;Y15),AND(NOT(F15="Short"),Z15&gt;Y15)),"stop on wrong side",ABS(Y15-Z15)))</f>
        <v>20.82</v>
      </c>
      <c r="AN15" s="40" t="n">
        <f aca="false">IFERROR(IF(OR(NOT(ISNUMBER(AM15)),$C$6=""),"",ROUNDDOWN($C$6*$C$7/AM15,2)),"")</f>
        <v>0.02</v>
      </c>
      <c r="AO15" s="37" t="n">
        <f aca="false">IFERROR(IF(AN15="","",AN15*Y15),"")</f>
        <v>6.44</v>
      </c>
      <c r="AP15" s="35" t="s">
        <v>192</v>
      </c>
      <c r="AQ15" s="19"/>
      <c r="AR15" s="26"/>
      <c r="AS15" s="41" t="str">
        <f aca="false">IFERROR(IF(OR(AR15="",Y15="",AQ15=""),"",IF(F15="Short",1-AR15/Y15,AR15/Y15-1)),"")</f>
        <v/>
      </c>
      <c r="AT15" s="42" t="str">
        <f aca="true">IF(AQ15="","",IF(ISNUMBER($C$4),$C$4,TODAY())-AQ15)</f>
        <v/>
      </c>
      <c r="AU15" s="14" t="str">
        <f aca="false">IF(C15="","",IF(AP15="Open position",IF(IF(F15="Short",AND(ISNUMBER(AR15),ISNUMBER(Z15),AR15&gt;=Z15),AND(ISNUMBER(AR15),ISNUMBER(Z15),AR15&lt;=Z15)),IF(F15="Short","COVER — stop hit (buy back)","SELL — stop hit"),IF(IF(F15="Short",AND(ISNUMBER(AR15),ISNUMBER(AA15),AR15&lt;=AA15),AND(ISNUMBER(AR15),ISNUMBER(AA15),AR15&gt;=AA15)),"TAKE PROFIT — target hit",IF(AND(ISNUMBER(AT15),AT15&gt;182),IF(F15="Short","COVER — 6-month time limit","SELL — 6-month time limit"),IF(AND(ISNUMBER(AT15),AT15&gt;42,ISNUMBER(AS15),AS15&lt;0.02),"REVIEW — no progress after 6 weeks",IF(IF(F15="Short",AND(L15&lt;&gt;"",N(L15)&gt;0),AND(L15&lt;&gt;"",N(L15)&lt;0)),IF(F15="Short","REVIEW — back above 50-day avg","REVIEW — below 50-day avg"),"HOLD"))))),IF(OR(AP15="Closed",AP15="Dropped"),"Closed",IF(AK15="A",IF(F15="Short","Run Technical Review — SHORT entry","Run Technical Review — LONG entry"),IF(AK15="B","Watch — wait for setup","Drop or re-check next week")))))</f>
        <v>Drop or re-check next week</v>
      </c>
      <c r="AV15" s="35" t="s">
        <v>204</v>
      </c>
      <c r="AX15" s="43" t="str">
        <f aca="false">IF(AND(C15&lt;&gt;"",A15=$C$4,ISNUMBER(AJ15)),AJ15+ROW()/100000,"")</f>
        <v/>
      </c>
    </row>
    <row r="16" customFormat="false" ht="15" hidden="false" customHeight="false" outlineLevel="0" collapsed="false">
      <c r="A16" s="19" t="n">
        <v>46312</v>
      </c>
      <c r="B16" s="35" t="s">
        <v>179</v>
      </c>
      <c r="C16" s="35" t="s">
        <v>205</v>
      </c>
      <c r="D16" s="35" t="s">
        <v>206</v>
      </c>
      <c r="E16" s="35" t="s">
        <v>207</v>
      </c>
      <c r="F16" s="35" t="s">
        <v>183</v>
      </c>
      <c r="G16" s="26" t="n">
        <v>84.02</v>
      </c>
      <c r="H16" s="26" t="n">
        <v>11.44</v>
      </c>
      <c r="I16" s="36" t="n">
        <v>3159200</v>
      </c>
      <c r="J16" s="37" t="n">
        <f aca="false">IF(OR(G16="",I16=""),"",G16*I16/1000000)</f>
        <v>265.435984</v>
      </c>
      <c r="K16" s="21" t="n">
        <v>0.0496</v>
      </c>
      <c r="L16" s="21" t="n">
        <v>-0.0157</v>
      </c>
      <c r="M16" s="21" t="n">
        <v>-0.1649</v>
      </c>
      <c r="N16" s="25" t="n">
        <v>56.2</v>
      </c>
      <c r="O16" s="21"/>
      <c r="P16" s="21" t="n">
        <v>-0.223</v>
      </c>
      <c r="Q16" s="21" t="n">
        <v>-0.3129</v>
      </c>
      <c r="R16" s="21" t="n">
        <v>0.0883</v>
      </c>
      <c r="S16" s="38" t="n">
        <v>0.95</v>
      </c>
      <c r="T16" s="21" t="n">
        <v>0.0733</v>
      </c>
      <c r="U16" s="21" t="n">
        <v>0.0877</v>
      </c>
      <c r="V16" s="19" t="n">
        <v>46317</v>
      </c>
      <c r="W16" s="26" t="n">
        <v>1.96</v>
      </c>
      <c r="X16" s="35" t="s">
        <v>203</v>
      </c>
      <c r="Y16" s="26" t="n">
        <v>86.3</v>
      </c>
      <c r="Z16" s="26" t="n">
        <v>82.38</v>
      </c>
      <c r="AA16" s="26" t="n">
        <v>98.06</v>
      </c>
      <c r="AB16" s="16" t="n">
        <f aca="false">IF(C16="","",IF(F16="Short",(AND(M16&lt;&gt;"",N(M16)&lt;0))+(AND(L16&lt;&gt;"",N(L16)&lt;0))+(AND(K16&lt;&gt;"",N(K16)&lt;0))+AND(L16&lt;&gt;"",M16&lt;&gt;"",N(M16)&lt;N(L16)),(N(M16)&gt;0)+(N(L16)&gt;0)+(N(K16)&gt;0)+AND(L16&lt;&gt;"",M16&lt;&gt;"",N(M16)&gt;N(L16))))</f>
        <v>1</v>
      </c>
      <c r="AC16" s="16" t="n">
        <f aca="false">IF(C16="","",IF(F16="Short",IF(N16="",0,IF(AND(N16&gt;=30,N16&lt;=50),2,IF(OR(AND(N16&gt;=25,N16&lt;30),AND(N16&gt;50,N16&lt;=60)),1,0)))+IF(P16="",0,IF(AND(IF(B16="JSE",$L$5,$L$4)&lt;&gt;"",P16&lt;IF(B16="JSE",$L$5,$L$4)),2,IF(P16&lt;0,1,0))),IF(N16="",0,IF(AND(N16&gt;=50,N16&lt;=70),2,IF(OR(AND(N16&gt;=40,N16&lt;50),AND(N16&gt;70,N16&lt;=75)),1,0)))+IF(P16="",0,IF(AND(IF(B16="JSE",$L$5,$L$4)&lt;&gt;"",P16&gt;IF(B16="JSE",$L$5,$L$4)),2,IF(P16&gt;0,1,0)))))</f>
        <v>2</v>
      </c>
      <c r="AD16" s="16" t="n">
        <f aca="false">IF(C16="","",IF(F16="Short",IF(R16="",0,IF(R16&lt;=0.1,2,IF(R16&lt;=0.25,1,0))),IF(Q16="",0,IF(Q16&gt;=-0.1,2,IF(Q16&gt;=-0.25,1,0)))))</f>
        <v>0</v>
      </c>
      <c r="AE16" s="16" t="n">
        <f aca="false">IF(C16="","",IF(J16="",0,IF(J16&gt;=IF(B16="JSE",$L$7,$L$6),2,IF(J16&gt;=IF(B16="JSE",$L$7,$L$6)/4,1,0))))</f>
        <v>2</v>
      </c>
      <c r="AF16" s="16" t="n">
        <f aca="false">IF(C16="","",IF(F16="Short",AND(T16&lt;&gt;"",N(T16)&lt;0),N(T16)&gt;0)+(N(S16)&gt;=1.5))</f>
        <v>1</v>
      </c>
      <c r="AG16" s="16" t="n">
        <f aca="false">IF(C16="","",IF(AL16="",0,IF(AL16&gt;=3,4,IF(AL16&gt;=2,2,0))))</f>
        <v>4</v>
      </c>
      <c r="AH16" s="16" t="n">
        <f aca="false">IF(C16="","",IF(AND(ISNUMBER(V16),ISNUMBER(A16),V16&gt;=A16,V16-A16&lt;=14),-2,0))</f>
        <v>-2</v>
      </c>
      <c r="AI16" s="16" t="n">
        <f aca="false">IF(C16="","",IF(AND(F16="Short",N(U16)&gt;=0.2),-1,0))</f>
        <v>0</v>
      </c>
      <c r="AJ16" s="23" t="n">
        <f aca="false">IF(C16="","",SUM(AB16:AI16))</f>
        <v>8</v>
      </c>
      <c r="AK16" s="24" t="str">
        <f aca="false">IF(C16="","",IF(AJ16&gt;=14,"A",IF(AJ16&gt;=10,"B","C")))</f>
        <v>C</v>
      </c>
      <c r="AL16" s="39" t="n">
        <f aca="false">IFERROR(IF(OR(Y16="",Z16="",AA16=""),"",IF(F16="Short",IF(Z16&lt;=Y16,"",(Y16-AA16)/(Z16-Y16)),IF(Y16&lt;=Z16,"",(AA16-Y16)/(Y16-Z16)))),"")</f>
        <v>3</v>
      </c>
      <c r="AM16" s="37" t="n">
        <f aca="false">IF(OR(Y16="",Z16="",N(Y16)=N(Z16)),"",IF(OR(AND(F16="Short",Z16&lt;Y16),AND(NOT(F16="Short"),Z16&gt;Y16)),"stop on wrong side",ABS(Y16-Z16)))</f>
        <v>3.92</v>
      </c>
      <c r="AN16" s="40" t="n">
        <f aca="false">IFERROR(IF(OR(NOT(ISNUMBER(AM16)),$C$6=""),"",ROUNDDOWN($C$6*$C$7/AM16,2)),"")</f>
        <v>0.11</v>
      </c>
      <c r="AO16" s="37" t="n">
        <f aca="false">IFERROR(IF(AN16="","",AN16*Y16),"")</f>
        <v>9.493</v>
      </c>
      <c r="AP16" s="35" t="s">
        <v>192</v>
      </c>
      <c r="AQ16" s="19"/>
      <c r="AR16" s="26"/>
      <c r="AS16" s="41" t="str">
        <f aca="false">IFERROR(IF(OR(AR16="",Y16="",AQ16=""),"",IF(F16="Short",1-AR16/Y16,AR16/Y16-1)),"")</f>
        <v/>
      </c>
      <c r="AT16" s="42" t="str">
        <f aca="true">IF(AQ16="","",IF(ISNUMBER($C$4),$C$4,TODAY())-AQ16)</f>
        <v/>
      </c>
      <c r="AU16" s="14" t="str">
        <f aca="false">IF(C16="","",IF(AP16="Open position",IF(IF(F16="Short",AND(ISNUMBER(AR16),ISNUMBER(Z16),AR16&gt;=Z16),AND(ISNUMBER(AR16),ISNUMBER(Z16),AR16&lt;=Z16)),IF(F16="Short","COVER — stop hit (buy back)","SELL — stop hit"),IF(IF(F16="Short",AND(ISNUMBER(AR16),ISNUMBER(AA16),AR16&lt;=AA16),AND(ISNUMBER(AR16),ISNUMBER(AA16),AR16&gt;=AA16)),"TAKE PROFIT — target hit",IF(AND(ISNUMBER(AT16),AT16&gt;182),IF(F16="Short","COVER — 6-month time limit","SELL — 6-month time limit"),IF(AND(ISNUMBER(AT16),AT16&gt;42,ISNUMBER(AS16),AS16&lt;0.02),"REVIEW — no progress after 6 weeks",IF(IF(F16="Short",AND(L16&lt;&gt;"",N(L16)&gt;0),AND(L16&lt;&gt;"",N(L16)&lt;0)),IF(F16="Short","REVIEW — back above 50-day avg","REVIEW — below 50-day avg"),"HOLD"))))),IF(OR(AP16="Closed",AP16="Dropped"),"Closed",IF(AK16="A",IF(F16="Short","Run Technical Review — SHORT entry","Run Technical Review — LONG entry"),IF(AK16="B","Watch — wait for setup","Drop or re-check next week")))))</f>
        <v>Drop or re-check next week</v>
      </c>
      <c r="AV16" s="35" t="s">
        <v>208</v>
      </c>
      <c r="AX16" s="43" t="str">
        <f aca="false">IF(AND(C16&lt;&gt;"",A16=$C$4,ISNUMBER(AJ16)),AJ16+ROW()/100000,"")</f>
        <v/>
      </c>
    </row>
    <row r="17" customFormat="false" ht="15" hidden="false" customHeight="false" outlineLevel="0" collapsed="false">
      <c r="A17" s="19" t="n">
        <v>46312</v>
      </c>
      <c r="B17" s="35" t="s">
        <v>179</v>
      </c>
      <c r="C17" s="35" t="s">
        <v>209</v>
      </c>
      <c r="D17" s="35" t="s">
        <v>210</v>
      </c>
      <c r="E17" s="35" t="s">
        <v>207</v>
      </c>
      <c r="F17" s="35" t="s">
        <v>190</v>
      </c>
      <c r="G17" s="26" t="n">
        <v>35.33</v>
      </c>
      <c r="H17" s="26" t="n">
        <v>52.48</v>
      </c>
      <c r="I17" s="36" t="n">
        <v>45217604</v>
      </c>
      <c r="J17" s="37" t="n">
        <f aca="false">IF(OR(G17="",I17=""),"",G17*I17/1000000)</f>
        <v>1597.53794932</v>
      </c>
      <c r="K17" s="21" t="n">
        <v>-0.0011</v>
      </c>
      <c r="L17" s="21" t="n">
        <v>-0.0671</v>
      </c>
      <c r="M17" s="21" t="n">
        <v>-0.2604</v>
      </c>
      <c r="N17" s="25" t="n">
        <v>43.7</v>
      </c>
      <c r="O17" s="21"/>
      <c r="P17" s="21" t="n">
        <v>-0.1604</v>
      </c>
      <c r="Q17" s="21" t="n">
        <v>-0.4984</v>
      </c>
      <c r="R17" s="21" t="n">
        <v>0.1051</v>
      </c>
      <c r="S17" s="38" t="n">
        <v>0.67</v>
      </c>
      <c r="T17" s="21" t="n">
        <v>-0.1642</v>
      </c>
      <c r="U17" s="21" t="n">
        <v>0.0842</v>
      </c>
      <c r="V17" s="19"/>
      <c r="W17" s="26" t="n">
        <v>1.13</v>
      </c>
      <c r="X17" s="35" t="s">
        <v>211</v>
      </c>
      <c r="Y17" s="26" t="n">
        <v>34.9</v>
      </c>
      <c r="Z17" s="26" t="n">
        <v>37.16</v>
      </c>
      <c r="AA17" s="26" t="n">
        <v>28.12</v>
      </c>
      <c r="AB17" s="16" t="n">
        <f aca="false">IF(C17="","",IF(F17="Short",(AND(M17&lt;&gt;"",N(M17)&lt;0))+(AND(L17&lt;&gt;"",N(L17)&lt;0))+(AND(K17&lt;&gt;"",N(K17)&lt;0))+AND(L17&lt;&gt;"",M17&lt;&gt;"",N(M17)&lt;N(L17)),(N(M17)&gt;0)+(N(L17)&gt;0)+(N(K17)&gt;0)+AND(L17&lt;&gt;"",M17&lt;&gt;"",N(M17)&gt;N(L17))))</f>
        <v>4</v>
      </c>
      <c r="AC17" s="16" t="n">
        <f aca="false">IF(C17="","",IF(F17="Short",IF(N17="",0,IF(AND(N17&gt;=30,N17&lt;=50),2,IF(OR(AND(N17&gt;=25,N17&lt;30),AND(N17&gt;50,N17&lt;=60)),1,0)))+IF(P17="",0,IF(AND(IF(B17="JSE",$L$5,$L$4)&lt;&gt;"",P17&lt;IF(B17="JSE",$L$5,$L$4)),2,IF(P17&lt;0,1,0))),IF(N17="",0,IF(AND(N17&gt;=50,N17&lt;=70),2,IF(OR(AND(N17&gt;=40,N17&lt;50),AND(N17&gt;70,N17&lt;=75)),1,0)))+IF(P17="",0,IF(AND(IF(B17="JSE",$L$5,$L$4)&lt;&gt;"",P17&gt;IF(B17="JSE",$L$5,$L$4)),2,IF(P17&gt;0,1,0)))))</f>
        <v>4</v>
      </c>
      <c r="AD17" s="16" t="n">
        <f aca="false">IF(C17="","",IF(F17="Short",IF(R17="",0,IF(R17&lt;=0.1,2,IF(R17&lt;=0.25,1,0))),IF(Q17="",0,IF(Q17&gt;=-0.1,2,IF(Q17&gt;=-0.25,1,0)))))</f>
        <v>1</v>
      </c>
      <c r="AE17" s="16" t="n">
        <f aca="false">IF(C17="","",IF(J17="",0,IF(J17&gt;=IF(B17="JSE",$L$7,$L$6),2,IF(J17&gt;=IF(B17="JSE",$L$7,$L$6)/4,1,0))))</f>
        <v>2</v>
      </c>
      <c r="AF17" s="16" t="n">
        <f aca="false">IF(C17="","",IF(F17="Short",AND(T17&lt;&gt;"",N(T17)&lt;0),N(T17)&gt;0)+(N(S17)&gt;=1.5))</f>
        <v>1</v>
      </c>
      <c r="AG17" s="16" t="n">
        <f aca="false">IF(C17="","",IF(AL17="",0,IF(AL17&gt;=3,4,IF(AL17&gt;=2,2,0))))</f>
        <v>4</v>
      </c>
      <c r="AH17" s="16" t="n">
        <f aca="false">IF(C17="","",IF(AND(ISNUMBER(V17),ISNUMBER(A17),V17&gt;=A17,V17-A17&lt;=14),-2,0))</f>
        <v>0</v>
      </c>
      <c r="AI17" s="16" t="n">
        <f aca="false">IF(C17="","",IF(AND(F17="Short",N(U17)&gt;=0.2),-1,0))</f>
        <v>0</v>
      </c>
      <c r="AJ17" s="23" t="n">
        <f aca="false">IF(C17="","",SUM(AB17:AI17))</f>
        <v>16</v>
      </c>
      <c r="AK17" s="24" t="str">
        <f aca="false">IF(C17="","",IF(AJ17&gt;=14,"A",IF(AJ17&gt;=10,"B","C")))</f>
        <v>A</v>
      </c>
      <c r="AL17" s="39" t="n">
        <f aca="false">IFERROR(IF(OR(Y17="",Z17="",AA17=""),"",IF(F17="Short",IF(Z17&lt;=Y17,"",(Y17-AA17)/(Z17-Y17)),IF(Y17&lt;=Z17,"",(AA17-Y17)/(Y17-Z17)))),"")</f>
        <v>3</v>
      </c>
      <c r="AM17" s="37" t="n">
        <f aca="false">IF(OR(Y17="",Z17="",N(Y17)=N(Z17)),"",IF(OR(AND(F17="Short",Z17&lt;Y17),AND(NOT(F17="Short"),Z17&gt;Y17)),"stop on wrong side",ABS(Y17-Z17)))</f>
        <v>2.26</v>
      </c>
      <c r="AN17" s="40" t="n">
        <f aca="false">IFERROR(IF(OR(NOT(ISNUMBER(AM17)),$C$6=""),"",ROUNDDOWN($C$6*$C$7/AM17,2)),"")</f>
        <v>0.2</v>
      </c>
      <c r="AO17" s="37" t="n">
        <f aca="false">IFERROR(IF(AN17="","",AN17*Y17),"")</f>
        <v>6.98</v>
      </c>
      <c r="AP17" s="35" t="s">
        <v>199</v>
      </c>
      <c r="AQ17" s="19"/>
      <c r="AR17" s="26"/>
      <c r="AS17" s="41" t="str">
        <f aca="false">IFERROR(IF(OR(AR17="",Y17="",AQ17=""),"",IF(F17="Short",1-AR17/Y17,AR17/Y17-1)),"")</f>
        <v/>
      </c>
      <c r="AT17" s="42" t="str">
        <f aca="true">IF(AQ17="","",IF(ISNUMBER($C$4),$C$4,TODAY())-AQ17)</f>
        <v/>
      </c>
      <c r="AU17" s="14" t="str">
        <f aca="false">IF(C17="","",IF(AP17="Open position",IF(IF(F17="Short",AND(ISNUMBER(AR17),ISNUMBER(Z17),AR17&gt;=Z17),AND(ISNUMBER(AR17),ISNUMBER(Z17),AR17&lt;=Z17)),IF(F17="Short","COVER — stop hit (buy back)","SELL — stop hit"),IF(IF(F17="Short",AND(ISNUMBER(AR17),ISNUMBER(AA17),AR17&lt;=AA17),AND(ISNUMBER(AR17),ISNUMBER(AA17),AR17&gt;=AA17)),"TAKE PROFIT — target hit",IF(AND(ISNUMBER(AT17),AT17&gt;182),IF(F17="Short","COVER — 6-month time limit","SELL — 6-month time limit"),IF(AND(ISNUMBER(AT17),AT17&gt;42,ISNUMBER(AS17),AS17&lt;0.02),"REVIEW — no progress after 6 weeks",IF(IF(F17="Short",AND(L17&lt;&gt;"",N(L17)&gt;0),AND(L17&lt;&gt;"",N(L17)&lt;0)),IF(F17="Short","REVIEW — back above 50-day avg","REVIEW — below 50-day avg"),"HOLD"))))),IF(OR(AP17="Closed",AP17="Dropped"),"Closed",IF(AK17="A",IF(F17="Short","Run Technical Review — SHORT entry","Run Technical Review — LONG entry"),IF(AK17="B","Watch — wait for setup","Drop or re-check next week")))))</f>
        <v>Run Technical Review — SHORT entry</v>
      </c>
      <c r="AV17" s="35" t="s">
        <v>212</v>
      </c>
      <c r="AX17" s="43" t="str">
        <f aca="false">IF(AND(C17&lt;&gt;"",A17=$C$4,ISNUMBER(AJ17)),AJ17+ROW()/100000,"")</f>
        <v/>
      </c>
    </row>
    <row r="18" customFormat="false" ht="15" hidden="false" customHeight="false" outlineLevel="0" collapsed="false">
      <c r="A18" s="19" t="n">
        <v>46312</v>
      </c>
      <c r="B18" s="35" t="s">
        <v>179</v>
      </c>
      <c r="C18" s="35" t="s">
        <v>194</v>
      </c>
      <c r="D18" s="35" t="s">
        <v>195</v>
      </c>
      <c r="E18" s="35" t="s">
        <v>182</v>
      </c>
      <c r="F18" s="35" t="s">
        <v>190</v>
      </c>
      <c r="G18" s="26" t="n">
        <v>204.52</v>
      </c>
      <c r="H18" s="26" t="n">
        <v>257.95</v>
      </c>
      <c r="I18" s="36" t="n">
        <v>4946200</v>
      </c>
      <c r="J18" s="37" t="n">
        <f aca="false">IF(OR(G18="",I18=""),"",G18*I18/1000000)</f>
        <v>1011.596824</v>
      </c>
      <c r="K18" s="21" t="n">
        <v>-0.0089</v>
      </c>
      <c r="L18" s="21" t="n">
        <v>0.0284</v>
      </c>
      <c r="M18" s="21" t="n">
        <v>0.2637</v>
      </c>
      <c r="N18" s="25" t="n">
        <v>50.5</v>
      </c>
      <c r="O18" s="21"/>
      <c r="P18" s="21" t="n">
        <v>0.3453</v>
      </c>
      <c r="Q18" s="21" t="n">
        <v>-0.0593</v>
      </c>
      <c r="R18" s="21" t="n">
        <v>0.7859</v>
      </c>
      <c r="S18" s="38" t="n">
        <v>1.61</v>
      </c>
      <c r="T18" s="21" t="n">
        <v>0.3799</v>
      </c>
      <c r="U18" s="21" t="n">
        <v>0.0114</v>
      </c>
      <c r="V18" s="19" t="n">
        <v>46329</v>
      </c>
      <c r="W18" s="26" t="n">
        <v>6.81</v>
      </c>
      <c r="X18" s="35" t="s">
        <v>213</v>
      </c>
      <c r="Y18" s="26" t="n">
        <v>197.4</v>
      </c>
      <c r="Z18" s="26" t="n">
        <v>211.02</v>
      </c>
      <c r="AA18" s="26" t="n">
        <v>156.54</v>
      </c>
      <c r="AB18" s="16" t="n">
        <f aca="false">IF(C18="","",IF(F18="Short",(AND(M18&lt;&gt;"",N(M18)&lt;0))+(AND(L18&lt;&gt;"",N(L18)&lt;0))+(AND(K18&lt;&gt;"",N(K18)&lt;0))+AND(L18&lt;&gt;"",M18&lt;&gt;"",N(M18)&lt;N(L18)),(N(M18)&gt;0)+(N(L18)&gt;0)+(N(K18)&gt;0)+AND(L18&lt;&gt;"",M18&lt;&gt;"",N(M18)&gt;N(L18))))</f>
        <v>1</v>
      </c>
      <c r="AC18" s="16" t="n">
        <f aca="false">IF(C18="","",IF(F18="Short",IF(N18="",0,IF(AND(N18&gt;=30,N18&lt;=50),2,IF(OR(AND(N18&gt;=25,N18&lt;30),AND(N18&gt;50,N18&lt;=60)),1,0)))+IF(P18="",0,IF(AND(IF(B18="JSE",$L$5,$L$4)&lt;&gt;"",P18&lt;IF(B18="JSE",$L$5,$L$4)),2,IF(P18&lt;0,1,0))),IF(N18="",0,IF(AND(N18&gt;=50,N18&lt;=70),2,IF(OR(AND(N18&gt;=40,N18&lt;50),AND(N18&gt;70,N18&lt;=75)),1,0)))+IF(P18="",0,IF(AND(IF(B18="JSE",$L$5,$L$4)&lt;&gt;"",P18&gt;IF(B18="JSE",$L$5,$L$4)),2,IF(P18&gt;0,1,0)))))</f>
        <v>1</v>
      </c>
      <c r="AD18" s="16" t="n">
        <f aca="false">IF(C18="","",IF(F18="Short",IF(R18="",0,IF(R18&lt;=0.1,2,IF(R18&lt;=0.25,1,0))),IF(Q18="",0,IF(Q18&gt;=-0.1,2,IF(Q18&gt;=-0.25,1,0)))))</f>
        <v>0</v>
      </c>
      <c r="AE18" s="16" t="n">
        <f aca="false">IF(C18="","",IF(J18="",0,IF(J18&gt;=IF(B18="JSE",$L$7,$L$6),2,IF(J18&gt;=IF(B18="JSE",$L$7,$L$6)/4,1,0))))</f>
        <v>2</v>
      </c>
      <c r="AF18" s="16" t="n">
        <f aca="false">IF(C18="","",IF(F18="Short",AND(T18&lt;&gt;"",N(T18)&lt;0),N(T18)&gt;0)+(N(S18)&gt;=1.5))</f>
        <v>1</v>
      </c>
      <c r="AG18" s="16" t="n">
        <f aca="false">IF(C18="","",IF(AL18="",0,IF(AL18&gt;=3,4,IF(AL18&gt;=2,2,0))))</f>
        <v>4</v>
      </c>
      <c r="AH18" s="16" t="n">
        <f aca="false">IF(C18="","",IF(AND(ISNUMBER(V18),ISNUMBER(A18),V18&gt;=A18,V18-A18&lt;=14),-2,0))</f>
        <v>0</v>
      </c>
      <c r="AI18" s="16" t="n">
        <f aca="false">IF(C18="","",IF(AND(F18="Short",N(U18)&gt;=0.2),-1,0))</f>
        <v>0</v>
      </c>
      <c r="AJ18" s="23" t="n">
        <f aca="false">IF(C18="","",SUM(AB18:AI18))</f>
        <v>9</v>
      </c>
      <c r="AK18" s="24" t="str">
        <f aca="false">IF(C18="","",IF(AJ18&gt;=14,"A",IF(AJ18&gt;=10,"B","C")))</f>
        <v>C</v>
      </c>
      <c r="AL18" s="39" t="n">
        <f aca="false">IFERROR(IF(OR(Y18="",Z18="",AA18=""),"",IF(F18="Short",IF(Z18&lt;=Y18,"",(Y18-AA18)/(Z18-Y18)),IF(Y18&lt;=Z18,"",(AA18-Y18)/(Y18-Z18)))),"")</f>
        <v>3</v>
      </c>
      <c r="AM18" s="37" t="n">
        <f aca="false">IF(OR(Y18="",Z18="",N(Y18)=N(Z18)),"",IF(OR(AND(F18="Short",Z18&lt;Y18),AND(NOT(F18="Short"),Z18&gt;Y18)),"stop on wrong side",ABS(Y18-Z18)))</f>
        <v>13.62</v>
      </c>
      <c r="AN18" s="40" t="n">
        <f aca="false">IFERROR(IF(OR(NOT(ISNUMBER(AM18)),$C$6=""),"",ROUNDDOWN($C$6*$C$7/AM18,2)),"")</f>
        <v>0.03</v>
      </c>
      <c r="AO18" s="37" t="n">
        <f aca="false">IFERROR(IF(AN18="","",AN18*Y18),"")</f>
        <v>5.922</v>
      </c>
      <c r="AP18" s="35" t="s">
        <v>192</v>
      </c>
      <c r="AQ18" s="19"/>
      <c r="AR18" s="26"/>
      <c r="AS18" s="41" t="str">
        <f aca="false">IFERROR(IF(OR(AR18="",Y18="",AQ18=""),"",IF(F18="Short",1-AR18/Y18,AR18/Y18-1)),"")</f>
        <v/>
      </c>
      <c r="AT18" s="42" t="str">
        <f aca="true">IF(AQ18="","",IF(ISNUMBER($C$4),$C$4,TODAY())-AQ18)</f>
        <v/>
      </c>
      <c r="AU18" s="14" t="str">
        <f aca="false">IF(C18="","",IF(AP18="Open position",IF(IF(F18="Short",AND(ISNUMBER(AR18),ISNUMBER(Z18),AR18&gt;=Z18),AND(ISNUMBER(AR18),ISNUMBER(Z18),AR18&lt;=Z18)),IF(F18="Short","COVER — stop hit (buy back)","SELL — stop hit"),IF(IF(F18="Short",AND(ISNUMBER(AR18),ISNUMBER(AA18),AR18&lt;=AA18),AND(ISNUMBER(AR18),ISNUMBER(AA18),AR18&gt;=AA18)),"TAKE PROFIT — target hit",IF(AND(ISNUMBER(AT18),AT18&gt;182),IF(F18="Short","COVER — 6-month time limit","SELL — 6-month time limit"),IF(AND(ISNUMBER(AT18),AT18&gt;42,ISNUMBER(AS18),AS18&lt;0.02),"REVIEW — no progress after 6 weeks",IF(IF(F18="Short",AND(L18&lt;&gt;"",N(L18)&gt;0),AND(L18&lt;&gt;"",N(L18)&lt;0)),IF(F18="Short","REVIEW — back above 50-day avg","REVIEW — below 50-day avg"),"HOLD"))))),IF(OR(AP18="Closed",AP18="Dropped"),"Closed",IF(AK18="A",IF(F18="Short","Run Technical Review — SHORT entry","Run Technical Review — LONG entry"),IF(AK18="B","Watch — wait for setup","Drop or re-check next week")))))</f>
        <v>Drop or re-check next week</v>
      </c>
      <c r="AV18" s="35" t="s">
        <v>214</v>
      </c>
      <c r="AX18" s="43" t="str">
        <f aca="false">IF(AND(C18&lt;&gt;"",A18=$C$4,ISNUMBER(AJ18)),AJ18+ROW()/100000,"")</f>
        <v/>
      </c>
    </row>
    <row r="19" customFormat="false" ht="15" hidden="false" customHeight="false" outlineLevel="0" collapsed="false">
      <c r="A19" s="19" t="n">
        <v>46312</v>
      </c>
      <c r="B19" s="35" t="s">
        <v>179</v>
      </c>
      <c r="C19" s="35" t="s">
        <v>215</v>
      </c>
      <c r="D19" s="35" t="s">
        <v>216</v>
      </c>
      <c r="E19" s="35" t="s">
        <v>182</v>
      </c>
      <c r="F19" s="35" t="s">
        <v>190</v>
      </c>
      <c r="G19" s="26" t="n">
        <v>605.53</v>
      </c>
      <c r="H19" s="26" t="n">
        <v>988.51</v>
      </c>
      <c r="I19" s="36" t="n">
        <v>21561387</v>
      </c>
      <c r="J19" s="37" t="n">
        <f aca="false">IF(OR(G19="",I19=""),"",G19*I19/1000000)</f>
        <v>13056.06667011</v>
      </c>
      <c r="K19" s="21" t="n">
        <v>-0.0044</v>
      </c>
      <c r="L19" s="21" t="n">
        <v>0.1346</v>
      </c>
      <c r="M19" s="21" t="n">
        <v>0.556</v>
      </c>
      <c r="N19" s="25" t="n">
        <v>55.8</v>
      </c>
      <c r="O19" s="21" t="n">
        <v>0.1444</v>
      </c>
      <c r="P19" s="21" t="n">
        <v>1.4532</v>
      </c>
      <c r="Q19" s="21" t="n">
        <v>-0.0805</v>
      </c>
      <c r="R19" s="21" t="n">
        <v>2.2171</v>
      </c>
      <c r="S19" s="38" t="n">
        <v>0.83</v>
      </c>
      <c r="T19" s="21" t="n">
        <v>0.819</v>
      </c>
      <c r="U19" s="21" t="n">
        <v>0.0242</v>
      </c>
      <c r="V19" s="19" t="n">
        <v>46329</v>
      </c>
      <c r="W19" s="26" t="n">
        <v>23.77</v>
      </c>
      <c r="X19" s="35" t="s">
        <v>213</v>
      </c>
      <c r="Y19" s="26" t="n">
        <v>569.5</v>
      </c>
      <c r="Z19" s="26" t="n">
        <v>617.04</v>
      </c>
      <c r="AA19" s="26" t="n">
        <v>426.88</v>
      </c>
      <c r="AB19" s="16" t="n">
        <f aca="false">IF(C19="","",IF(F19="Short",(AND(M19&lt;&gt;"",N(M19)&lt;0))+(AND(L19&lt;&gt;"",N(L19)&lt;0))+(AND(K19&lt;&gt;"",N(K19)&lt;0))+AND(L19&lt;&gt;"",M19&lt;&gt;"",N(M19)&lt;N(L19)),(N(M19)&gt;0)+(N(L19)&gt;0)+(N(K19)&gt;0)+AND(L19&lt;&gt;"",M19&lt;&gt;"",N(M19)&gt;N(L19))))</f>
        <v>1</v>
      </c>
      <c r="AC19" s="16" t="n">
        <f aca="false">IF(C19="","",IF(F19="Short",IF(N19="",0,IF(AND(N19&gt;=30,N19&lt;=50),2,IF(OR(AND(N19&gt;=25,N19&lt;30),AND(N19&gt;50,N19&lt;=60)),1,0)))+IF(P19="",0,IF(AND(IF(B19="JSE",$L$5,$L$4)&lt;&gt;"",P19&lt;IF(B19="JSE",$L$5,$L$4)),2,IF(P19&lt;0,1,0))),IF(N19="",0,IF(AND(N19&gt;=50,N19&lt;=70),2,IF(OR(AND(N19&gt;=40,N19&lt;50),AND(N19&gt;70,N19&lt;=75)),1,0)))+IF(P19="",0,IF(AND(IF(B19="JSE",$L$5,$L$4)&lt;&gt;"",P19&gt;IF(B19="JSE",$L$5,$L$4)),2,IF(P19&gt;0,1,0)))))</f>
        <v>1</v>
      </c>
      <c r="AD19" s="16" t="n">
        <f aca="false">IF(C19="","",IF(F19="Short",IF(R19="",0,IF(R19&lt;=0.1,2,IF(R19&lt;=0.25,1,0))),IF(Q19="",0,IF(Q19&gt;=-0.1,2,IF(Q19&gt;=-0.25,1,0)))))</f>
        <v>0</v>
      </c>
      <c r="AE19" s="16" t="n">
        <f aca="false">IF(C19="","",IF(J19="",0,IF(J19&gt;=IF(B19="JSE",$L$7,$L$6),2,IF(J19&gt;=IF(B19="JSE",$L$7,$L$6)/4,1,0))))</f>
        <v>2</v>
      </c>
      <c r="AF19" s="16" t="n">
        <f aca="false">IF(C19="","",IF(F19="Short",AND(T19&lt;&gt;"",N(T19)&lt;0),N(T19)&gt;0)+(N(S19)&gt;=1.5))</f>
        <v>0</v>
      </c>
      <c r="AG19" s="16" t="n">
        <f aca="false">IF(C19="","",IF(AL19="",0,IF(AL19&gt;=3,4,IF(AL19&gt;=2,2,0))))</f>
        <v>4</v>
      </c>
      <c r="AH19" s="16" t="n">
        <f aca="false">IF(C19="","",IF(AND(ISNUMBER(V19),ISNUMBER(A19),V19&gt;=A19,V19-A19&lt;=14),-2,0))</f>
        <v>0</v>
      </c>
      <c r="AI19" s="16" t="n">
        <f aca="false">IF(C19="","",IF(AND(F19="Short",N(U19)&gt;=0.2),-1,0))</f>
        <v>0</v>
      </c>
      <c r="AJ19" s="23" t="n">
        <f aca="false">IF(C19="","",SUM(AB19:AI19))</f>
        <v>8</v>
      </c>
      <c r="AK19" s="24" t="str">
        <f aca="false">IF(C19="","",IF(AJ19&gt;=14,"A",IF(AJ19&gt;=10,"B","C")))</f>
        <v>C</v>
      </c>
      <c r="AL19" s="39" t="n">
        <f aca="false">IFERROR(IF(OR(Y19="",Z19="",AA19=""),"",IF(F19="Short",IF(Z19&lt;=Y19,"",(Y19-AA19)/(Z19-Y19)),IF(Y19&lt;=Z19,"",(AA19-Y19)/(Y19-Z19)))),"")</f>
        <v>3</v>
      </c>
      <c r="AM19" s="37" t="n">
        <f aca="false">IF(OR(Y19="",Z19="",N(Y19)=N(Z19)),"",IF(OR(AND(F19="Short",Z19&lt;Y19),AND(NOT(F19="Short"),Z19&gt;Y19)),"stop on wrong side",ABS(Y19-Z19)))</f>
        <v>47.54</v>
      </c>
      <c r="AN19" s="40" t="n">
        <f aca="false">IFERROR(IF(OR(NOT(ISNUMBER(AM19)),$C$6=""),"",ROUNDDOWN($C$6*$C$7/AM19,2)),"")</f>
        <v>0</v>
      </c>
      <c r="AO19" s="37" t="n">
        <f aca="false">IFERROR(IF(AN19="","",AN19*Y19),"")</f>
        <v>0</v>
      </c>
      <c r="AP19" s="35" t="s">
        <v>192</v>
      </c>
      <c r="AQ19" s="19"/>
      <c r="AR19" s="26"/>
      <c r="AS19" s="41" t="str">
        <f aca="false">IFERROR(IF(OR(AR19="",Y19="",AQ19=""),"",IF(F19="Short",1-AR19/Y19,AR19/Y19-1)),"")</f>
        <v/>
      </c>
      <c r="AT19" s="42" t="str">
        <f aca="true">IF(AQ19="","",IF(ISNUMBER($C$4),$C$4,TODAY())-AQ19)</f>
        <v/>
      </c>
      <c r="AU19" s="14" t="str">
        <f aca="false">IF(C19="","",IF(AP19="Open position",IF(IF(F19="Short",AND(ISNUMBER(AR19),ISNUMBER(Z19),AR19&gt;=Z19),AND(ISNUMBER(AR19),ISNUMBER(Z19),AR19&lt;=Z19)),IF(F19="Short","COVER — stop hit (buy back)","SELL — stop hit"),IF(IF(F19="Short",AND(ISNUMBER(AR19),ISNUMBER(AA19),AR19&lt;=AA19),AND(ISNUMBER(AR19),ISNUMBER(AA19),AR19&gt;=AA19)),"TAKE PROFIT — target hit",IF(AND(ISNUMBER(AT19),AT19&gt;182),IF(F19="Short","COVER — 6-month time limit","SELL — 6-month time limit"),IF(AND(ISNUMBER(AT19),AT19&gt;42,ISNUMBER(AS19),AS19&lt;0.02),"REVIEW — no progress after 6 weeks",IF(IF(F19="Short",AND(L19&lt;&gt;"",N(L19)&gt;0),AND(L19&lt;&gt;"",N(L19)&lt;0)),IF(F19="Short","REVIEW — back above 50-day avg","REVIEW — below 50-day avg"),"HOLD"))))),IF(OR(AP19="Closed",AP19="Dropped"),"Closed",IF(AK19="A",IF(F19="Short","Run Technical Review — SHORT entry","Run Technical Review — LONG entry"),IF(AK19="B","Watch — wait for setup","Drop or re-check next week")))))</f>
        <v>Drop or re-check next week</v>
      </c>
      <c r="AV19" s="35" t="s">
        <v>217</v>
      </c>
      <c r="AX19" s="43" t="str">
        <f aca="false">IF(AND(C19&lt;&gt;"",A19=$C$4,ISNUMBER(AJ19)),AJ19+ROW()/100000,"")</f>
        <v/>
      </c>
    </row>
    <row r="20" customFormat="false" ht="15" hidden="false" customHeight="false" outlineLevel="0" collapsed="false">
      <c r="A20" s="19" t="n">
        <v>46312</v>
      </c>
      <c r="B20" s="35" t="s">
        <v>179</v>
      </c>
      <c r="C20" s="35" t="s">
        <v>218</v>
      </c>
      <c r="D20" s="35" t="s">
        <v>219</v>
      </c>
      <c r="E20" s="35" t="s">
        <v>182</v>
      </c>
      <c r="F20" s="35" t="s">
        <v>190</v>
      </c>
      <c r="G20" s="26" t="n">
        <v>572.47</v>
      </c>
      <c r="H20" s="26" t="n">
        <v>363.98</v>
      </c>
      <c r="I20" s="36" t="n">
        <v>7033783</v>
      </c>
      <c r="J20" s="37" t="n">
        <f aca="false">IF(OR(G20="",I20=""),"",G20*I20/1000000)</f>
        <v>4026.62975401</v>
      </c>
      <c r="K20" s="21" t="n">
        <v>0.0193</v>
      </c>
      <c r="L20" s="21" t="n">
        <v>0.1182</v>
      </c>
      <c r="M20" s="21" t="n">
        <v>0.8542</v>
      </c>
      <c r="N20" s="25" t="n">
        <v>57.4</v>
      </c>
      <c r="O20" s="21" t="n">
        <v>0.3872</v>
      </c>
      <c r="P20" s="21" t="n">
        <v>2.0307</v>
      </c>
      <c r="Q20" s="21" t="n">
        <v>-0.0387</v>
      </c>
      <c r="R20" s="21" t="n">
        <v>4.1939</v>
      </c>
      <c r="S20" s="38" t="n">
        <v>0.79</v>
      </c>
      <c r="T20" s="21" t="n">
        <v>1.514</v>
      </c>
      <c r="U20" s="21" t="n">
        <v>0.0469</v>
      </c>
      <c r="V20" s="19" t="n">
        <v>46350</v>
      </c>
      <c r="W20" s="26" t="n">
        <v>25.01</v>
      </c>
      <c r="X20" s="35" t="s">
        <v>191</v>
      </c>
      <c r="Y20" s="26" t="n">
        <v>519</v>
      </c>
      <c r="Z20" s="26" t="n">
        <v>569.02</v>
      </c>
      <c r="AA20" s="26" t="n">
        <v>368.94</v>
      </c>
      <c r="AB20" s="16" t="n">
        <f aca="false">IF(C20="","",IF(F20="Short",(AND(M20&lt;&gt;"",N(M20)&lt;0))+(AND(L20&lt;&gt;"",N(L20)&lt;0))+(AND(K20&lt;&gt;"",N(K20)&lt;0))+AND(L20&lt;&gt;"",M20&lt;&gt;"",N(M20)&lt;N(L20)),(N(M20)&gt;0)+(N(L20)&gt;0)+(N(K20)&gt;0)+AND(L20&lt;&gt;"",M20&lt;&gt;"",N(M20)&gt;N(L20))))</f>
        <v>0</v>
      </c>
      <c r="AC20" s="16" t="n">
        <f aca="false">IF(C20="","",IF(F20="Short",IF(N20="",0,IF(AND(N20&gt;=30,N20&lt;=50),2,IF(OR(AND(N20&gt;=25,N20&lt;30),AND(N20&gt;50,N20&lt;=60)),1,0)))+IF(P20="",0,IF(AND(IF(B20="JSE",$L$5,$L$4)&lt;&gt;"",P20&lt;IF(B20="JSE",$L$5,$L$4)),2,IF(P20&lt;0,1,0))),IF(N20="",0,IF(AND(N20&gt;=50,N20&lt;=70),2,IF(OR(AND(N20&gt;=40,N20&lt;50),AND(N20&gt;70,N20&lt;=75)),1,0)))+IF(P20="",0,IF(AND(IF(B20="JSE",$L$5,$L$4)&lt;&gt;"",P20&gt;IF(B20="JSE",$L$5,$L$4)),2,IF(P20&gt;0,1,0)))))</f>
        <v>1</v>
      </c>
      <c r="AD20" s="16" t="n">
        <f aca="false">IF(C20="","",IF(F20="Short",IF(R20="",0,IF(R20&lt;=0.1,2,IF(R20&lt;=0.25,1,0))),IF(Q20="",0,IF(Q20&gt;=-0.1,2,IF(Q20&gt;=-0.25,1,0)))))</f>
        <v>0</v>
      </c>
      <c r="AE20" s="16" t="n">
        <f aca="false">IF(C20="","",IF(J20="",0,IF(J20&gt;=IF(B20="JSE",$L$7,$L$6),2,IF(J20&gt;=IF(B20="JSE",$L$7,$L$6)/4,1,0))))</f>
        <v>2</v>
      </c>
      <c r="AF20" s="16" t="n">
        <f aca="false">IF(C20="","",IF(F20="Short",AND(T20&lt;&gt;"",N(T20)&lt;0),N(T20)&gt;0)+(N(S20)&gt;=1.5))</f>
        <v>0</v>
      </c>
      <c r="AG20" s="16" t="n">
        <f aca="false">IF(C20="","",IF(AL20="",0,IF(AL20&gt;=3,4,IF(AL20&gt;=2,2,0))))</f>
        <v>4</v>
      </c>
      <c r="AH20" s="16" t="n">
        <f aca="false">IF(C20="","",IF(AND(ISNUMBER(V20),ISNUMBER(A20),V20&gt;=A20,V20-A20&lt;=14),-2,0))</f>
        <v>0</v>
      </c>
      <c r="AI20" s="16" t="n">
        <f aca="false">IF(C20="","",IF(AND(F20="Short",N(U20)&gt;=0.2),-1,0))</f>
        <v>0</v>
      </c>
      <c r="AJ20" s="23" t="n">
        <f aca="false">IF(C20="","",SUM(AB20:AI20))</f>
        <v>7</v>
      </c>
      <c r="AK20" s="24" t="str">
        <f aca="false">IF(C20="","",IF(AJ20&gt;=14,"A",IF(AJ20&gt;=10,"B","C")))</f>
        <v>C</v>
      </c>
      <c r="AL20" s="39" t="n">
        <f aca="false">IFERROR(IF(OR(Y20="",Z20="",AA20=""),"",IF(F20="Short",IF(Z20&lt;=Y20,"",(Y20-AA20)/(Z20-Y20)),IF(Y20&lt;=Z20,"",(AA20-Y20)/(Y20-Z20)))),"")</f>
        <v>3</v>
      </c>
      <c r="AM20" s="37" t="n">
        <f aca="false">IF(OR(Y20="",Z20="",N(Y20)=N(Z20)),"",IF(OR(AND(F20="Short",Z20&lt;Y20),AND(NOT(F20="Short"),Z20&gt;Y20)),"stop on wrong side",ABS(Y20-Z20)))</f>
        <v>50.02</v>
      </c>
      <c r="AN20" s="40" t="n">
        <f aca="false">IFERROR(IF(OR(NOT(ISNUMBER(AM20)),$C$6=""),"",ROUNDDOWN($C$6*$C$7/AM20,2)),"")</f>
        <v>0</v>
      </c>
      <c r="AO20" s="37" t="n">
        <f aca="false">IFERROR(IF(AN20="","",AN20*Y20),"")</f>
        <v>0</v>
      </c>
      <c r="AP20" s="35" t="s">
        <v>192</v>
      </c>
      <c r="AQ20" s="19"/>
      <c r="AR20" s="26"/>
      <c r="AS20" s="41" t="str">
        <f aca="false">IFERROR(IF(OR(AR20="",Y20="",AQ20=""),"",IF(F20="Short",1-AR20/Y20,AR20/Y20-1)),"")</f>
        <v/>
      </c>
      <c r="AT20" s="42" t="str">
        <f aca="true">IF(AQ20="","",IF(ISNUMBER($C$4),$C$4,TODAY())-AQ20)</f>
        <v/>
      </c>
      <c r="AU20" s="14" t="str">
        <f aca="false">IF(C20="","",IF(AP20="Open position",IF(IF(F20="Short",AND(ISNUMBER(AR20),ISNUMBER(Z20),AR20&gt;=Z20),AND(ISNUMBER(AR20),ISNUMBER(Z20),AR20&lt;=Z20)),IF(F20="Short","COVER — stop hit (buy back)","SELL — stop hit"),IF(IF(F20="Short",AND(ISNUMBER(AR20),ISNUMBER(AA20),AR20&lt;=AA20),AND(ISNUMBER(AR20),ISNUMBER(AA20),AR20&gt;=AA20)),"TAKE PROFIT — target hit",IF(AND(ISNUMBER(AT20),AT20&gt;182),IF(F20="Short","COVER — 6-month time limit","SELL — 6-month time limit"),IF(AND(ISNUMBER(AT20),AT20&gt;42,ISNUMBER(AS20),AS20&lt;0.02),"REVIEW — no progress after 6 weeks",IF(IF(F20="Short",AND(L20&lt;&gt;"",N(L20)&gt;0),AND(L20&lt;&gt;"",N(L20)&lt;0)),IF(F20="Short","REVIEW — back above 50-day avg","REVIEW — below 50-day avg"),"HOLD"))))),IF(OR(AP20="Closed",AP20="Dropped"),"Closed",IF(AK20="A",IF(F20="Short","Run Technical Review — SHORT entry","Run Technical Review — LONG entry"),IF(AK20="B","Watch — wait for setup","Drop or re-check next week")))))</f>
        <v>Drop or re-check next week</v>
      </c>
      <c r="AV20" s="35" t="s">
        <v>220</v>
      </c>
      <c r="AX20" s="43" t="str">
        <f aca="false">IF(AND(C20&lt;&gt;"",A20=$C$4,ISNUMBER(AJ20)),AJ20+ROW()/100000,"")</f>
        <v/>
      </c>
    </row>
    <row r="21" customFormat="false" ht="15" hidden="false" customHeight="false" outlineLevel="0" collapsed="false">
      <c r="A21" s="19" t="n">
        <v>46312</v>
      </c>
      <c r="B21" s="35" t="s">
        <v>179</v>
      </c>
      <c r="C21" s="35" t="s">
        <v>221</v>
      </c>
      <c r="D21" s="35" t="s">
        <v>222</v>
      </c>
      <c r="E21" s="35" t="s">
        <v>189</v>
      </c>
      <c r="F21" s="35" t="s">
        <v>190</v>
      </c>
      <c r="G21" s="26" t="n">
        <v>51.43</v>
      </c>
      <c r="H21" s="26" t="n">
        <v>59.02</v>
      </c>
      <c r="I21" s="36" t="n">
        <v>7109800</v>
      </c>
      <c r="J21" s="37" t="n">
        <f aca="false">IF(OR(G21="",I21=""),"",G21*I21/1000000)</f>
        <v>365.657014</v>
      </c>
      <c r="K21" s="21" t="n">
        <v>0.0229</v>
      </c>
      <c r="L21" s="21" t="n">
        <v>0.0219</v>
      </c>
      <c r="M21" s="21" t="n">
        <v>0.1051</v>
      </c>
      <c r="N21" s="25" t="n">
        <v>60.2</v>
      </c>
      <c r="O21" s="21"/>
      <c r="P21" s="21" t="n">
        <v>0.1351</v>
      </c>
      <c r="Q21" s="21" t="n">
        <v>-0.0282</v>
      </c>
      <c r="R21" s="21" t="n">
        <v>0.3197</v>
      </c>
      <c r="S21" s="38" t="n">
        <v>1.41</v>
      </c>
      <c r="T21" s="21" t="n">
        <v>0.1605</v>
      </c>
      <c r="U21" s="21" t="n">
        <v>0.0302</v>
      </c>
      <c r="V21" s="19" t="n">
        <v>46309</v>
      </c>
      <c r="W21" s="26" t="n">
        <v>0.98</v>
      </c>
      <c r="X21" s="35" t="s">
        <v>191</v>
      </c>
      <c r="Y21" s="26" t="n">
        <v>49</v>
      </c>
      <c r="Z21" s="26" t="n">
        <v>50.96</v>
      </c>
      <c r="AA21" s="26" t="n">
        <v>43.12</v>
      </c>
      <c r="AB21" s="16" t="n">
        <f aca="false">IF(C21="","",IF(F21="Short",(AND(M21&lt;&gt;"",N(M21)&lt;0))+(AND(L21&lt;&gt;"",N(L21)&lt;0))+(AND(K21&lt;&gt;"",N(K21)&lt;0))+AND(L21&lt;&gt;"",M21&lt;&gt;"",N(M21)&lt;N(L21)),(N(M21)&gt;0)+(N(L21)&gt;0)+(N(K21)&gt;0)+AND(L21&lt;&gt;"",M21&lt;&gt;"",N(M21)&gt;N(L21))))</f>
        <v>0</v>
      </c>
      <c r="AC21" s="16" t="n">
        <f aca="false">IF(C21="","",IF(F21="Short",IF(N21="",0,IF(AND(N21&gt;=30,N21&lt;=50),2,IF(OR(AND(N21&gt;=25,N21&lt;30),AND(N21&gt;50,N21&lt;=60)),1,0)))+IF(P21="",0,IF(AND(IF(B21="JSE",$L$5,$L$4)&lt;&gt;"",P21&lt;IF(B21="JSE",$L$5,$L$4)),2,IF(P21&lt;0,1,0))),IF(N21="",0,IF(AND(N21&gt;=50,N21&lt;=70),2,IF(OR(AND(N21&gt;=40,N21&lt;50),AND(N21&gt;70,N21&lt;=75)),1,0)))+IF(P21="",0,IF(AND(IF(B21="JSE",$L$5,$L$4)&lt;&gt;"",P21&gt;IF(B21="JSE",$L$5,$L$4)),2,IF(P21&gt;0,1,0)))))</f>
        <v>2</v>
      </c>
      <c r="AD21" s="16" t="n">
        <f aca="false">IF(C21="","",IF(F21="Short",IF(R21="",0,IF(R21&lt;=0.1,2,IF(R21&lt;=0.25,1,0))),IF(Q21="",0,IF(Q21&gt;=-0.1,2,IF(Q21&gt;=-0.25,1,0)))))</f>
        <v>0</v>
      </c>
      <c r="AE21" s="16" t="n">
        <f aca="false">IF(C21="","",IF(J21="",0,IF(J21&gt;=IF(B21="JSE",$L$7,$L$6),2,IF(J21&gt;=IF(B21="JSE",$L$7,$L$6)/4,1,0))))</f>
        <v>2</v>
      </c>
      <c r="AF21" s="16" t="n">
        <f aca="false">IF(C21="","",IF(F21="Short",AND(T21&lt;&gt;"",N(T21)&lt;0),N(T21)&gt;0)+(N(S21)&gt;=1.5))</f>
        <v>0</v>
      </c>
      <c r="AG21" s="16" t="n">
        <f aca="false">IF(C21="","",IF(AL21="",0,IF(AL21&gt;=3,4,IF(AL21&gt;=2,2,0))))</f>
        <v>4</v>
      </c>
      <c r="AH21" s="16" t="n">
        <f aca="false">IF(C21="","",IF(AND(ISNUMBER(V21),ISNUMBER(A21),V21&gt;=A21,V21-A21&lt;=14),-2,0))</f>
        <v>0</v>
      </c>
      <c r="AI21" s="16" t="n">
        <f aca="false">IF(C21="","",IF(AND(F21="Short",N(U21)&gt;=0.2),-1,0))</f>
        <v>0</v>
      </c>
      <c r="AJ21" s="23" t="n">
        <f aca="false">IF(C21="","",SUM(AB21:AI21))</f>
        <v>8</v>
      </c>
      <c r="AK21" s="24" t="str">
        <f aca="false">IF(C21="","",IF(AJ21&gt;=14,"A",IF(AJ21&gt;=10,"B","C")))</f>
        <v>C</v>
      </c>
      <c r="AL21" s="39" t="n">
        <f aca="false">IFERROR(IF(OR(Y21="",Z21="",AA21=""),"",IF(F21="Short",IF(Z21&lt;=Y21,"",(Y21-AA21)/(Z21-Y21)),IF(Y21&lt;=Z21,"",(AA21-Y21)/(Y21-Z21)))),"")</f>
        <v>3</v>
      </c>
      <c r="AM21" s="37" t="n">
        <f aca="false">IF(OR(Y21="",Z21="",N(Y21)=N(Z21)),"",IF(OR(AND(F21="Short",Z21&lt;Y21),AND(NOT(F21="Short"),Z21&gt;Y21)),"stop on wrong side",ABS(Y21-Z21)))</f>
        <v>1.96</v>
      </c>
      <c r="AN21" s="40" t="n">
        <f aca="false">IFERROR(IF(OR(NOT(ISNUMBER(AM21)),$C$6=""),"",ROUNDDOWN($C$6*$C$7/AM21,2)),"")</f>
        <v>0.23</v>
      </c>
      <c r="AO21" s="37" t="n">
        <f aca="false">IFERROR(IF(AN21="","",AN21*Y21),"")</f>
        <v>11.27</v>
      </c>
      <c r="AP21" s="35" t="s">
        <v>192</v>
      </c>
      <c r="AQ21" s="19"/>
      <c r="AR21" s="26"/>
      <c r="AS21" s="41" t="str">
        <f aca="false">IFERROR(IF(OR(AR21="",Y21="",AQ21=""),"",IF(F21="Short",1-AR21/Y21,AR21/Y21-1)),"")</f>
        <v/>
      </c>
      <c r="AT21" s="42" t="str">
        <f aca="true">IF(AQ21="","",IF(ISNUMBER($C$4),$C$4,TODAY())-AQ21)</f>
        <v/>
      </c>
      <c r="AU21" s="14" t="str">
        <f aca="false">IF(C21="","",IF(AP21="Open position",IF(IF(F21="Short",AND(ISNUMBER(AR21),ISNUMBER(Z21),AR21&gt;=Z21),AND(ISNUMBER(AR21),ISNUMBER(Z21),AR21&lt;=Z21)),IF(F21="Short","COVER — stop hit (buy back)","SELL — stop hit"),IF(IF(F21="Short",AND(ISNUMBER(AR21),ISNUMBER(AA21),AR21&lt;=AA21),AND(ISNUMBER(AR21),ISNUMBER(AA21),AR21&gt;=AA21)),"TAKE PROFIT — target hit",IF(AND(ISNUMBER(AT21),AT21&gt;182),IF(F21="Short","COVER — 6-month time limit","SELL — 6-month time limit"),IF(AND(ISNUMBER(AT21),AT21&gt;42,ISNUMBER(AS21),AS21&lt;0.02),"REVIEW — no progress after 6 weeks",IF(IF(F21="Short",AND(L21&lt;&gt;"",N(L21)&gt;0),AND(L21&lt;&gt;"",N(L21)&lt;0)),IF(F21="Short","REVIEW — back above 50-day avg","REVIEW — below 50-day avg"),"HOLD"))))),IF(OR(AP21="Closed",AP21="Dropped"),"Closed",IF(AK21="A",IF(F21="Short","Run Technical Review — SHORT entry","Run Technical Review — LONG entry"),IF(AK21="B","Watch — wait for setup","Drop or re-check next week")))))</f>
        <v>Drop or re-check next week</v>
      </c>
      <c r="AV21" s="35" t="s">
        <v>223</v>
      </c>
      <c r="AX21" s="43" t="str">
        <f aca="false">IF(AND(C21&lt;&gt;"",A21=$C$4,ISNUMBER(AJ21)),AJ21+ROW()/100000,"")</f>
        <v/>
      </c>
    </row>
    <row r="22" customFormat="false" ht="15" hidden="false" customHeight="false" outlineLevel="0" collapsed="false">
      <c r="A22" s="19" t="n">
        <v>46316</v>
      </c>
      <c r="B22" s="35" t="s">
        <v>179</v>
      </c>
      <c r="C22" s="35" t="s">
        <v>197</v>
      </c>
      <c r="D22" s="35" t="s">
        <v>224</v>
      </c>
      <c r="E22" s="35" t="s">
        <v>182</v>
      </c>
      <c r="F22" s="35" t="s">
        <v>183</v>
      </c>
      <c r="G22" s="26" t="n">
        <v>221.97</v>
      </c>
      <c r="H22" s="26"/>
      <c r="I22" s="36" t="n">
        <v>117533575</v>
      </c>
      <c r="J22" s="37" t="n">
        <f aca="false">IF(OR(G22="",I22=""),"",G22*I22/1000000)</f>
        <v>26088.92764275</v>
      </c>
      <c r="K22" s="21" t="n">
        <v>-0.0216</v>
      </c>
      <c r="L22" s="21" t="n">
        <v>-0.0047</v>
      </c>
      <c r="M22" s="21" t="n">
        <v>0.0911</v>
      </c>
      <c r="N22" s="25" t="n">
        <v>47.91</v>
      </c>
      <c r="O22" s="21" t="n">
        <v>0.0633</v>
      </c>
      <c r="P22" s="21" t="n">
        <v>0.0961</v>
      </c>
      <c r="Q22" s="21" t="n">
        <v>-0.0879</v>
      </c>
      <c r="R22" s="21" t="n">
        <v>0.3513</v>
      </c>
      <c r="S22" s="38" t="n">
        <v>0.74</v>
      </c>
      <c r="T22" s="21"/>
      <c r="U22" s="21" t="n">
        <v>0.0134</v>
      </c>
      <c r="V22" s="19" t="n">
        <v>46344</v>
      </c>
      <c r="W22" s="26" t="n">
        <v>5.9</v>
      </c>
      <c r="X22" s="35" t="s">
        <v>184</v>
      </c>
      <c r="Y22" s="26" t="n">
        <v>222.63</v>
      </c>
      <c r="Z22" s="26" t="n">
        <v>210.83</v>
      </c>
      <c r="AA22" s="26" t="n">
        <v>258.03</v>
      </c>
      <c r="AB22" s="16" t="n">
        <f aca="false">IF(C22="","",IF(F22="Short",(AND(M22&lt;&gt;"",N(M22)&lt;0))+(AND(L22&lt;&gt;"",N(L22)&lt;0))+(AND(K22&lt;&gt;"",N(K22)&lt;0))+AND(L22&lt;&gt;"",M22&lt;&gt;"",N(M22)&lt;N(L22)),(N(M22)&gt;0)+(N(L22)&gt;0)+(N(K22)&gt;0)+AND(L22&lt;&gt;"",M22&lt;&gt;"",N(M22)&gt;N(L22))))</f>
        <v>2</v>
      </c>
      <c r="AC22" s="16" t="n">
        <f aca="false">IF(C22="","",IF(F22="Short",IF(N22="",0,IF(AND(N22&gt;=30,N22&lt;=50),2,IF(OR(AND(N22&gt;=25,N22&lt;30),AND(N22&gt;50,N22&lt;=60)),1,0)))+IF(P22="",0,IF(AND(IF(B22="JSE",$L$5,$L$4)&lt;&gt;"",P22&lt;IF(B22="JSE",$L$5,$L$4)),2,IF(P22&lt;0,1,0))),IF(N22="",0,IF(AND(N22&gt;=50,N22&lt;=70),2,IF(OR(AND(N22&gt;=40,N22&lt;50),AND(N22&gt;70,N22&lt;=75)),1,0)))+IF(P22="",0,IF(AND(IF(B22="JSE",$L$5,$L$4)&lt;&gt;"",P22&gt;IF(B22="JSE",$L$5,$L$4)),2,IF(P22&gt;0,1,0)))))</f>
        <v>2</v>
      </c>
      <c r="AD22" s="16" t="n">
        <f aca="false">IF(C22="","",IF(F22="Short",IF(R22="",0,IF(R22&lt;=0.1,2,IF(R22&lt;=0.25,1,0))),IF(Q22="",0,IF(Q22&gt;=-0.1,2,IF(Q22&gt;=-0.25,1,0)))))</f>
        <v>2</v>
      </c>
      <c r="AE22" s="16" t="n">
        <f aca="false">IF(C22="","",IF(J22="",0,IF(J22&gt;=IF(B22="JSE",$L$7,$L$6),2,IF(J22&gt;=IF(B22="JSE",$L$7,$L$6)/4,1,0))))</f>
        <v>2</v>
      </c>
      <c r="AF22" s="16" t="n">
        <f aca="false">IF(C22="","",IF(F22="Short",AND(T22&lt;&gt;"",N(T22)&lt;0),N(T22)&gt;0)+(N(S22)&gt;=1.5))</f>
        <v>0</v>
      </c>
      <c r="AG22" s="16" t="n">
        <f aca="false">IF(C22="","",IF(AL22="",0,IF(AL22&gt;=3,4,IF(AL22&gt;=2,2,0))))</f>
        <v>4</v>
      </c>
      <c r="AH22" s="16" t="n">
        <f aca="false">IF(C22="","",IF(AND(ISNUMBER(V22),ISNUMBER(A22),V22&gt;=A22,V22-A22&lt;=14),-2,0))</f>
        <v>0</v>
      </c>
      <c r="AI22" s="16" t="n">
        <f aca="false">IF(C22="","",IF(AND(F22="Short",N(U22)&gt;=0.2),-1,0))</f>
        <v>0</v>
      </c>
      <c r="AJ22" s="23" t="n">
        <f aca="false">IF(C22="","",SUM(AB22:AI22))</f>
        <v>12</v>
      </c>
      <c r="AK22" s="24" t="str">
        <f aca="false">IF(C22="","",IF(AJ22&gt;=14,"A",IF(AJ22&gt;=10,"B","C")))</f>
        <v>B</v>
      </c>
      <c r="AL22" s="39" t="n">
        <f aca="false">IFERROR(IF(OR(Y22="",Z22="",AA22=""),"",IF(F22="Short",IF(Z22&lt;=Y22,"",(Y22-AA22)/(Z22-Y22)),IF(Y22&lt;=Z22,"",(AA22-Y22)/(Y22-Z22)))),"")</f>
        <v>3</v>
      </c>
      <c r="AM22" s="37" t="n">
        <f aca="false">IF(OR(Y22="",Z22="",N(Y22)=N(Z22)),"",IF(OR(AND(F22="Short",Z22&lt;Y22),AND(NOT(F22="Short"),Z22&gt;Y22)),"stop on wrong side",ABS(Y22-Z22)))</f>
        <v>11.8</v>
      </c>
      <c r="AN22" s="40" t="n">
        <f aca="false">IFERROR(IF(OR(NOT(ISNUMBER(AM22)),$C$6=""),"",ROUNDDOWN($C$6*$C$7/AM22,2)),"")</f>
        <v>0.03</v>
      </c>
      <c r="AO22" s="37" t="n">
        <f aca="false">IFERROR(IF(AN22="","",AN22*Y22),"")</f>
        <v>6.6789</v>
      </c>
      <c r="AP22" s="35" t="s">
        <v>192</v>
      </c>
      <c r="AQ22" s="19"/>
      <c r="AR22" s="26"/>
      <c r="AS22" s="41" t="str">
        <f aca="false">IFERROR(IF(OR(AR22="",Y22="",AQ22=""),"",IF(F22="Short",1-AR22/Y22,AR22/Y22-1)),"")</f>
        <v/>
      </c>
      <c r="AT22" s="42" t="str">
        <f aca="true">IF(AQ22="","",IF(ISNUMBER($C$4),$C$4,TODAY())-AQ22)</f>
        <v/>
      </c>
      <c r="AU22" s="14" t="str">
        <f aca="false">IF(C22="","",IF(AP22="Open position",IF(IF(F22="Short",AND(ISNUMBER(AR22),ISNUMBER(Z22),AR22&gt;=Z22),AND(ISNUMBER(AR22),ISNUMBER(Z22),AR22&lt;=Z22)),IF(F22="Short","COVER — stop hit (buy back)","SELL — stop hit"),IF(IF(F22="Short",AND(ISNUMBER(AR22),ISNUMBER(AA22),AR22&lt;=AA22),AND(ISNUMBER(AR22),ISNUMBER(AA22),AR22&gt;=AA22)),"TAKE PROFIT — target hit",IF(AND(ISNUMBER(AT22),AT22&gt;182),IF(F22="Short","COVER — 6-month time limit","SELL — 6-month time limit"),IF(AND(ISNUMBER(AT22),AT22&gt;42,ISNUMBER(AS22),AS22&lt;0.02),"REVIEW — no progress after 6 weeks",IF(IF(F22="Short",AND(L22&lt;&gt;"",N(L22)&gt;0),AND(L22&lt;&gt;"",N(L22)&lt;0)),IF(F22="Short","REVIEW — back above 50-day avg","REVIEW — below 50-day avg"),"HOLD"))))),IF(OR(AP22="Closed",AP22="Dropped"),"Closed",IF(AK22="A",IF(F22="Short","Run Technical Review — SHORT entry","Run Technical Review — LONG entry"),IF(AK22="B","Watch — wait for setup","Drop or re-check next week")))))</f>
        <v>Watch — wait for setup</v>
      </c>
      <c r="AV22" s="35" t="s">
        <v>225</v>
      </c>
      <c r="AX22" s="43" t="n">
        <f aca="false">IF(AND(C22&lt;&gt;"",A22=$C$4,ISNUMBER(AJ22)),AJ22+ROW()/100000,"")</f>
        <v>12.00022</v>
      </c>
    </row>
    <row r="23" customFormat="false" ht="15" hidden="false" customHeight="false" outlineLevel="0" collapsed="false">
      <c r="A23" s="19" t="n">
        <v>46316</v>
      </c>
      <c r="B23" s="35" t="s">
        <v>179</v>
      </c>
      <c r="C23" s="35" t="s">
        <v>201</v>
      </c>
      <c r="D23" s="35" t="s">
        <v>226</v>
      </c>
      <c r="E23" s="35" t="s">
        <v>182</v>
      </c>
      <c r="F23" s="35" t="s">
        <v>183</v>
      </c>
      <c r="G23" s="26" t="n">
        <v>335.61</v>
      </c>
      <c r="H23" s="26"/>
      <c r="I23" s="36" t="n">
        <v>3793417</v>
      </c>
      <c r="J23" s="37" t="n">
        <f aca="false">IF(OR(G23="",I23=""),"",G23*I23/1000000)</f>
        <v>1273.10867937</v>
      </c>
      <c r="K23" s="21" t="n">
        <v>0.1228</v>
      </c>
      <c r="L23" s="21" t="n">
        <v>0.0454</v>
      </c>
      <c r="M23" s="21" t="n">
        <v>-0.0948</v>
      </c>
      <c r="N23" s="25" t="n">
        <v>65.3</v>
      </c>
      <c r="O23" s="21" t="n">
        <v>0.1921</v>
      </c>
      <c r="P23" s="21" t="n">
        <v>-0.1788</v>
      </c>
      <c r="Q23" s="21" t="n">
        <v>-0.513</v>
      </c>
      <c r="R23" s="21" t="n">
        <v>0.3274</v>
      </c>
      <c r="S23" s="38" t="n">
        <v>0.48</v>
      </c>
      <c r="T23" s="21" t="n">
        <v>-0.0133</v>
      </c>
      <c r="U23" s="21" t="n">
        <v>0.0279</v>
      </c>
      <c r="V23" s="19" t="n">
        <v>46345</v>
      </c>
      <c r="W23" s="26" t="n">
        <v>12.13</v>
      </c>
      <c r="X23" s="35" t="s">
        <v>184</v>
      </c>
      <c r="Y23" s="26" t="n">
        <v>342.47</v>
      </c>
      <c r="Z23" s="26" t="n">
        <v>318.21</v>
      </c>
      <c r="AA23" s="26" t="n">
        <v>415.25</v>
      </c>
      <c r="AB23" s="16" t="n">
        <f aca="false">IF(C23="","",IF(F23="Short",(AND(M23&lt;&gt;"",N(M23)&lt;0))+(AND(L23&lt;&gt;"",N(L23)&lt;0))+(AND(K23&lt;&gt;"",N(K23)&lt;0))+AND(L23&lt;&gt;"",M23&lt;&gt;"",N(M23)&lt;N(L23)),(N(M23)&gt;0)+(N(L23)&gt;0)+(N(K23)&gt;0)+AND(L23&lt;&gt;"",M23&lt;&gt;"",N(M23)&gt;N(L23))))</f>
        <v>2</v>
      </c>
      <c r="AC23" s="16" t="n">
        <f aca="false">IF(C23="","",IF(F23="Short",IF(N23="",0,IF(AND(N23&gt;=30,N23&lt;=50),2,IF(OR(AND(N23&gt;=25,N23&lt;30),AND(N23&gt;50,N23&lt;=60)),1,0)))+IF(P23="",0,IF(AND(IF(B23="JSE",$L$5,$L$4)&lt;&gt;"",P23&lt;IF(B23="JSE",$L$5,$L$4)),2,IF(P23&lt;0,1,0))),IF(N23="",0,IF(AND(N23&gt;=50,N23&lt;=70),2,IF(OR(AND(N23&gt;=40,N23&lt;50),AND(N23&gt;70,N23&lt;=75)),1,0)))+IF(P23="",0,IF(AND(IF(B23="JSE",$L$5,$L$4)&lt;&gt;"",P23&gt;IF(B23="JSE",$L$5,$L$4)),2,IF(P23&gt;0,1,0)))))</f>
        <v>2</v>
      </c>
      <c r="AD23" s="16" t="n">
        <f aca="false">IF(C23="","",IF(F23="Short",IF(R23="",0,IF(R23&lt;=0.1,2,IF(R23&lt;=0.25,1,0))),IF(Q23="",0,IF(Q23&gt;=-0.1,2,IF(Q23&gt;=-0.25,1,0)))))</f>
        <v>0</v>
      </c>
      <c r="AE23" s="16" t="n">
        <f aca="false">IF(C23="","",IF(J23="",0,IF(J23&gt;=IF(B23="JSE",$L$7,$L$6),2,IF(J23&gt;=IF(B23="JSE",$L$7,$L$6)/4,1,0))))</f>
        <v>2</v>
      </c>
      <c r="AF23" s="16" t="n">
        <f aca="false">IF(C23="","",IF(F23="Short",AND(T23&lt;&gt;"",N(T23)&lt;0),N(T23)&gt;0)+(N(S23)&gt;=1.5))</f>
        <v>0</v>
      </c>
      <c r="AG23" s="16" t="n">
        <f aca="false">IF(C23="","",IF(AL23="",0,IF(AL23&gt;=3,4,IF(AL23&gt;=2,2,0))))</f>
        <v>4</v>
      </c>
      <c r="AH23" s="16" t="n">
        <f aca="false">IF(C23="","",IF(AND(ISNUMBER(V23),ISNUMBER(A23),V23&gt;=A23,V23-A23&lt;=14),-2,0))</f>
        <v>0</v>
      </c>
      <c r="AI23" s="16" t="n">
        <f aca="false">IF(C23="","",IF(AND(F23="Short",N(U23)&gt;=0.2),-1,0))</f>
        <v>0</v>
      </c>
      <c r="AJ23" s="23" t="n">
        <f aca="false">IF(C23="","",SUM(AB23:AI23))</f>
        <v>10</v>
      </c>
      <c r="AK23" s="24" t="str">
        <f aca="false">IF(C23="","",IF(AJ23&gt;=14,"A",IF(AJ23&gt;=10,"B","C")))</f>
        <v>B</v>
      </c>
      <c r="AL23" s="39" t="n">
        <f aca="false">IFERROR(IF(OR(Y23="",Z23="",AA23=""),"",IF(F23="Short",IF(Z23&lt;=Y23,"",(Y23-AA23)/(Z23-Y23)),IF(Y23&lt;=Z23,"",(AA23-Y23)/(Y23-Z23)))),"")</f>
        <v>2.99999999999999</v>
      </c>
      <c r="AM23" s="37" t="n">
        <f aca="false">IF(OR(Y23="",Z23="",N(Y23)=N(Z23)),"",IF(OR(AND(F23="Short",Z23&lt;Y23),AND(NOT(F23="Short"),Z23&gt;Y23)),"stop on wrong side",ABS(Y23-Z23)))</f>
        <v>24.26</v>
      </c>
      <c r="AN23" s="40" t="n">
        <f aca="false">IFERROR(IF(OR(NOT(ISNUMBER(AM23)),$C$6=""),"",ROUNDDOWN($C$6*$C$7/AM23,2)),"")</f>
        <v>0.01</v>
      </c>
      <c r="AO23" s="37" t="n">
        <f aca="false">IFERROR(IF(AN23="","",AN23*Y23),"")</f>
        <v>3.4247</v>
      </c>
      <c r="AP23" s="35" t="s">
        <v>192</v>
      </c>
      <c r="AQ23" s="19"/>
      <c r="AR23" s="26"/>
      <c r="AS23" s="41" t="str">
        <f aca="false">IFERROR(IF(OR(AR23="",Y23="",AQ23=""),"",IF(F23="Short",1-AR23/Y23,AR23/Y23-1)),"")</f>
        <v/>
      </c>
      <c r="AT23" s="42" t="str">
        <f aca="true">IF(AQ23="","",IF(ISNUMBER($C$4),$C$4,TODAY())-AQ23)</f>
        <v/>
      </c>
      <c r="AU23" s="14" t="str">
        <f aca="false">IF(C23="","",IF(AP23="Open position",IF(IF(F23="Short",AND(ISNUMBER(AR23),ISNUMBER(Z23),AR23&gt;=Z23),AND(ISNUMBER(AR23),ISNUMBER(Z23),AR23&lt;=Z23)),IF(F23="Short","COVER — stop hit (buy back)","SELL — stop hit"),IF(IF(F23="Short",AND(ISNUMBER(AR23),ISNUMBER(AA23),AR23&lt;=AA23),AND(ISNUMBER(AR23),ISNUMBER(AA23),AR23&gt;=AA23)),"TAKE PROFIT — target hit",IF(AND(ISNUMBER(AT23),AT23&gt;182),IF(F23="Short","COVER — 6-month time limit","SELL — 6-month time limit"),IF(AND(ISNUMBER(AT23),AT23&gt;42,ISNUMBER(AS23),AS23&lt;0.02),"REVIEW — no progress after 6 weeks",IF(IF(F23="Short",AND(L23&lt;&gt;"",N(L23)&gt;0),AND(L23&lt;&gt;"",N(L23)&lt;0)),IF(F23="Short","REVIEW — back above 50-day avg","REVIEW — below 50-day avg"),"HOLD"))))),IF(OR(AP23="Closed",AP23="Dropped"),"Closed",IF(AK23="A",IF(F23="Short","Run Technical Review — SHORT entry","Run Technical Review — LONG entry"),IF(AK23="B","Watch — wait for setup","Drop or re-check next week")))))</f>
        <v>Watch — wait for setup</v>
      </c>
      <c r="AV23" s="35" t="s">
        <v>227</v>
      </c>
      <c r="AX23" s="43" t="n">
        <f aca="false">IF(AND(C23&lt;&gt;"",A23=$C$4,ISNUMBER(AJ23)),AJ23+ROW()/100000,"")</f>
        <v>10.00023</v>
      </c>
    </row>
    <row r="24" customFormat="false" ht="15" hidden="false" customHeight="false" outlineLevel="0" collapsed="false">
      <c r="A24" s="19" t="n">
        <v>46316</v>
      </c>
      <c r="B24" s="35" t="s">
        <v>179</v>
      </c>
      <c r="C24" s="35" t="s">
        <v>205</v>
      </c>
      <c r="D24" s="35" t="s">
        <v>228</v>
      </c>
      <c r="E24" s="35" t="s">
        <v>182</v>
      </c>
      <c r="F24" s="35" t="s">
        <v>183</v>
      </c>
      <c r="G24" s="26" t="n">
        <v>85.49</v>
      </c>
      <c r="H24" s="26"/>
      <c r="I24" s="36" t="n">
        <v>2911073</v>
      </c>
      <c r="J24" s="37" t="n">
        <f aca="false">IF(OR(G24="",I24=""),"",G24*I24/1000000)</f>
        <v>248.86763077</v>
      </c>
      <c r="K24" s="21" t="n">
        <v>0.0417</v>
      </c>
      <c r="L24" s="21" t="n">
        <v>0.0183</v>
      </c>
      <c r="M24" s="21" t="n">
        <v>-0.1454</v>
      </c>
      <c r="N24" s="25" t="n">
        <v>55.85</v>
      </c>
      <c r="O24" s="21" t="n">
        <v>-0.1116</v>
      </c>
      <c r="P24" s="21" t="n">
        <v>-0.2061</v>
      </c>
      <c r="Q24" s="21" t="n">
        <v>-0.3009</v>
      </c>
      <c r="R24" s="21" t="n">
        <v>0.1074</v>
      </c>
      <c r="S24" s="38" t="n">
        <v>1.01</v>
      </c>
      <c r="T24" s="21"/>
      <c r="U24" s="21" t="n">
        <v>0.0877</v>
      </c>
      <c r="V24" s="19" t="n">
        <v>46317</v>
      </c>
      <c r="W24" s="26" t="n">
        <v>2.49</v>
      </c>
      <c r="X24" s="35" t="s">
        <v>184</v>
      </c>
      <c r="Y24" s="26" t="n">
        <v>88.16</v>
      </c>
      <c r="Z24" s="26" t="n">
        <v>83.18</v>
      </c>
      <c r="AA24" s="26" t="n">
        <v>103.1</v>
      </c>
      <c r="AB24" s="16" t="n">
        <f aca="false">IF(C24="","",IF(F24="Short",(AND(M24&lt;&gt;"",N(M24)&lt;0))+(AND(L24&lt;&gt;"",N(L24)&lt;0))+(AND(K24&lt;&gt;"",N(K24)&lt;0))+AND(L24&lt;&gt;"",M24&lt;&gt;"",N(M24)&lt;N(L24)),(N(M24)&gt;0)+(N(L24)&gt;0)+(N(K24)&gt;0)+AND(L24&lt;&gt;"",M24&lt;&gt;"",N(M24)&gt;N(L24))))</f>
        <v>2</v>
      </c>
      <c r="AC24" s="16" t="n">
        <f aca="false">IF(C24="","",IF(F24="Short",IF(N24="",0,IF(AND(N24&gt;=30,N24&lt;=50),2,IF(OR(AND(N24&gt;=25,N24&lt;30),AND(N24&gt;50,N24&lt;=60)),1,0)))+IF(P24="",0,IF(AND(IF(B24="JSE",$L$5,$L$4)&lt;&gt;"",P24&lt;IF(B24="JSE",$L$5,$L$4)),2,IF(P24&lt;0,1,0))),IF(N24="",0,IF(AND(N24&gt;=50,N24&lt;=70),2,IF(OR(AND(N24&gt;=40,N24&lt;50),AND(N24&gt;70,N24&lt;=75)),1,0)))+IF(P24="",0,IF(AND(IF(B24="JSE",$L$5,$L$4)&lt;&gt;"",P24&gt;IF(B24="JSE",$L$5,$L$4)),2,IF(P24&gt;0,1,0)))))</f>
        <v>2</v>
      </c>
      <c r="AD24" s="16" t="n">
        <f aca="false">IF(C24="","",IF(F24="Short",IF(R24="",0,IF(R24&lt;=0.1,2,IF(R24&lt;=0.25,1,0))),IF(Q24="",0,IF(Q24&gt;=-0.1,2,IF(Q24&gt;=-0.25,1,0)))))</f>
        <v>0</v>
      </c>
      <c r="AE24" s="16" t="n">
        <f aca="false">IF(C24="","",IF(J24="",0,IF(J24&gt;=IF(B24="JSE",$L$7,$L$6),2,IF(J24&gt;=IF(B24="JSE",$L$7,$L$6)/4,1,0))))</f>
        <v>2</v>
      </c>
      <c r="AF24" s="16" t="n">
        <f aca="false">IF(C24="","",IF(F24="Short",AND(T24&lt;&gt;"",N(T24)&lt;0),N(T24)&gt;0)+(N(S24)&gt;=1.5))</f>
        <v>0</v>
      </c>
      <c r="AG24" s="16" t="n">
        <f aca="false">IF(C24="","",IF(AL24="",0,IF(AL24&gt;=3,4,IF(AL24&gt;=2,2,0))))</f>
        <v>4</v>
      </c>
      <c r="AH24" s="16" t="n">
        <f aca="false">IF(C24="","",IF(AND(ISNUMBER(V24),ISNUMBER(A24),V24&gt;=A24,V24-A24&lt;=14),-2,0))</f>
        <v>-2</v>
      </c>
      <c r="AI24" s="16" t="n">
        <f aca="false">IF(C24="","",IF(AND(F24="Short",N(U24)&gt;=0.2),-1,0))</f>
        <v>0</v>
      </c>
      <c r="AJ24" s="23" t="n">
        <f aca="false">IF(C24="","",SUM(AB24:AI24))</f>
        <v>8</v>
      </c>
      <c r="AK24" s="24" t="str">
        <f aca="false">IF(C24="","",IF(AJ24&gt;=14,"A",IF(AJ24&gt;=10,"B","C")))</f>
        <v>C</v>
      </c>
      <c r="AL24" s="39" t="n">
        <f aca="false">IFERROR(IF(OR(Y24="",Z24="",AA24=""),"",IF(F24="Short",IF(Z24&lt;=Y24,"",(Y24-AA24)/(Z24-Y24)),IF(Y24&lt;=Z24,"",(AA24-Y24)/(Y24-Z24)))),"")</f>
        <v>3.00000000000001</v>
      </c>
      <c r="AM24" s="37" t="n">
        <f aca="false">IF(OR(Y24="",Z24="",N(Y24)=N(Z24)),"",IF(OR(AND(F24="Short",Z24&lt;Y24),AND(NOT(F24="Short"),Z24&gt;Y24)),"stop on wrong side",ABS(Y24-Z24)))</f>
        <v>4.97999999999999</v>
      </c>
      <c r="AN24" s="40" t="n">
        <f aca="false">IFERROR(IF(OR(NOT(ISNUMBER(AM24)),$C$6=""),"",ROUNDDOWN($C$6*$C$7/AM24,2)),"")</f>
        <v>0.09</v>
      </c>
      <c r="AO24" s="37" t="n">
        <f aca="false">IFERROR(IF(AN24="","",AN24*Y24),"")</f>
        <v>7.9344</v>
      </c>
      <c r="AP24" s="35" t="s">
        <v>192</v>
      </c>
      <c r="AQ24" s="19"/>
      <c r="AR24" s="26"/>
      <c r="AS24" s="41" t="str">
        <f aca="false">IFERROR(IF(OR(AR24="",Y24="",AQ24=""),"",IF(F24="Short",1-AR24/Y24,AR24/Y24-1)),"")</f>
        <v/>
      </c>
      <c r="AT24" s="42" t="str">
        <f aca="true">IF(AQ24="","",IF(ISNUMBER($C$4),$C$4,TODAY())-AQ24)</f>
        <v/>
      </c>
      <c r="AU24" s="14" t="str">
        <f aca="false">IF(C24="","",IF(AP24="Open position",IF(IF(F24="Short",AND(ISNUMBER(AR24),ISNUMBER(Z24),AR24&gt;=Z24),AND(ISNUMBER(AR24),ISNUMBER(Z24),AR24&lt;=Z24)),IF(F24="Short","COVER — stop hit (buy back)","SELL — stop hit"),IF(IF(F24="Short",AND(ISNUMBER(AR24),ISNUMBER(AA24),AR24&lt;=AA24),AND(ISNUMBER(AR24),ISNUMBER(AA24),AR24&gt;=AA24)),"TAKE PROFIT — target hit",IF(AND(ISNUMBER(AT24),AT24&gt;182),IF(F24="Short","COVER — 6-month time limit","SELL — 6-month time limit"),IF(AND(ISNUMBER(AT24),AT24&gt;42,ISNUMBER(AS24),AS24&lt;0.02),"REVIEW — no progress after 6 weeks",IF(IF(F24="Short",AND(L24&lt;&gt;"",N(L24)&gt;0),AND(L24&lt;&gt;"",N(L24)&lt;0)),IF(F24="Short","REVIEW — back above 50-day avg","REVIEW — below 50-day avg"),"HOLD"))))),IF(OR(AP24="Closed",AP24="Dropped"),"Closed",IF(AK24="A",IF(F24="Short","Run Technical Review — SHORT entry","Run Technical Review — LONG entry"),IF(AK24="B","Watch — wait for setup","Drop or re-check next week")))))</f>
        <v>Drop or re-check next week</v>
      </c>
      <c r="AV24" s="35" t="s">
        <v>229</v>
      </c>
      <c r="AX24" s="43" t="n">
        <f aca="false">IF(AND(C24&lt;&gt;"",A24=$C$4,ISNUMBER(AJ24)),AJ24+ROW()/100000,"")</f>
        <v>8.00024</v>
      </c>
    </row>
    <row r="25" customFormat="false" ht="15" hidden="false" customHeight="false" outlineLevel="0" collapsed="false">
      <c r="A25" s="19" t="n">
        <v>46316</v>
      </c>
      <c r="B25" s="35" t="s">
        <v>179</v>
      </c>
      <c r="C25" s="35" t="s">
        <v>230</v>
      </c>
      <c r="D25" s="35" t="s">
        <v>231</v>
      </c>
      <c r="E25" s="35" t="s">
        <v>182</v>
      </c>
      <c r="F25" s="35" t="s">
        <v>190</v>
      </c>
      <c r="G25" s="26" t="n">
        <v>334.76</v>
      </c>
      <c r="H25" s="26"/>
      <c r="I25" s="36" t="n">
        <v>25764278</v>
      </c>
      <c r="J25" s="37" t="n">
        <f aca="false">IF(OR(G25="",I25=""),"",G25*I25/1000000)</f>
        <v>8624.84970328</v>
      </c>
      <c r="K25" s="21" t="n">
        <v>-0.0302</v>
      </c>
      <c r="L25" s="21" t="n">
        <v>-0.0264</v>
      </c>
      <c r="M25" s="21" t="n">
        <v>-0.0191</v>
      </c>
      <c r="N25" s="25" t="n">
        <v>40.25</v>
      </c>
      <c r="O25" s="21" t="n">
        <v>0.0537</v>
      </c>
      <c r="P25" s="21" t="n">
        <v>-0.0134</v>
      </c>
      <c r="Q25" s="21" t="n">
        <v>-0.1807</v>
      </c>
      <c r="R25" s="21" t="n">
        <v>0.3711</v>
      </c>
      <c r="S25" s="38" t="n">
        <v>1.13</v>
      </c>
      <c r="T25" s="21"/>
      <c r="U25" s="21" t="n">
        <v>0.0074</v>
      </c>
      <c r="V25" s="19" t="n">
        <v>46323</v>
      </c>
      <c r="W25" s="26" t="n">
        <v>8.63</v>
      </c>
      <c r="X25" s="35" t="s">
        <v>211</v>
      </c>
      <c r="Y25" s="26" t="n">
        <v>329.72</v>
      </c>
      <c r="Z25" s="26" t="n">
        <v>346.98</v>
      </c>
      <c r="AA25" s="26" t="n">
        <v>277.94</v>
      </c>
      <c r="AB25" s="16" t="n">
        <f aca="false">IF(C25="","",IF(F25="Short",(AND(M25&lt;&gt;"",N(M25)&lt;0))+(AND(L25&lt;&gt;"",N(L25)&lt;0))+(AND(K25&lt;&gt;"",N(K25)&lt;0))+AND(L25&lt;&gt;"",M25&lt;&gt;"",N(M25)&lt;N(L25)),(N(M25)&gt;0)+(N(L25)&gt;0)+(N(K25)&gt;0)+AND(L25&lt;&gt;"",M25&lt;&gt;"",N(M25)&gt;N(L25))))</f>
        <v>3</v>
      </c>
      <c r="AC25" s="16" t="n">
        <f aca="false">IF(C25="","",IF(F25="Short",IF(N25="",0,IF(AND(N25&gt;=30,N25&lt;=50),2,IF(OR(AND(N25&gt;=25,N25&lt;30),AND(N25&gt;50,N25&lt;=60)),1,0)))+IF(P25="",0,IF(AND(IF(B25="JSE",$L$5,$L$4)&lt;&gt;"",P25&lt;IF(B25="JSE",$L$5,$L$4)),2,IF(P25&lt;0,1,0))),IF(N25="",0,IF(AND(N25&gt;=50,N25&lt;=70),2,IF(OR(AND(N25&gt;=40,N25&lt;50),AND(N25&gt;70,N25&lt;=75)),1,0)))+IF(P25="",0,IF(AND(IF(B25="JSE",$L$5,$L$4)&lt;&gt;"",P25&gt;IF(B25="JSE",$L$5,$L$4)),2,IF(P25&gt;0,1,0)))))</f>
        <v>4</v>
      </c>
      <c r="AD25" s="16" t="n">
        <f aca="false">IF(C25="","",IF(F25="Short",IF(R25="",0,IF(R25&lt;=0.1,2,IF(R25&lt;=0.25,1,0))),IF(Q25="",0,IF(Q25&gt;=-0.1,2,IF(Q25&gt;=-0.25,1,0)))))</f>
        <v>0</v>
      </c>
      <c r="AE25" s="16" t="n">
        <f aca="false">IF(C25="","",IF(J25="",0,IF(J25&gt;=IF(B25="JSE",$L$7,$L$6),2,IF(J25&gt;=IF(B25="JSE",$L$7,$L$6)/4,1,0))))</f>
        <v>2</v>
      </c>
      <c r="AF25" s="16" t="n">
        <f aca="false">IF(C25="","",IF(F25="Short",AND(T25&lt;&gt;"",N(T25)&lt;0),N(T25)&gt;0)+(N(S25)&gt;=1.5))</f>
        <v>0</v>
      </c>
      <c r="AG25" s="16" t="n">
        <f aca="false">IF(C25="","",IF(AL25="",0,IF(AL25&gt;=3,4,IF(AL25&gt;=2,2,0))))</f>
        <v>4</v>
      </c>
      <c r="AH25" s="16" t="n">
        <f aca="false">IF(C25="","",IF(AND(ISNUMBER(V25),ISNUMBER(A25),V25&gt;=A25,V25-A25&lt;=14),-2,0))</f>
        <v>-2</v>
      </c>
      <c r="AI25" s="16" t="n">
        <f aca="false">IF(C25="","",IF(AND(F25="Short",N(U25)&gt;=0.2),-1,0))</f>
        <v>0</v>
      </c>
      <c r="AJ25" s="23" t="n">
        <f aca="false">IF(C25="","",SUM(AB25:AI25))</f>
        <v>11</v>
      </c>
      <c r="AK25" s="24" t="str">
        <f aca="false">IF(C25="","",IF(AJ25&gt;=14,"A",IF(AJ25&gt;=10,"B","C")))</f>
        <v>B</v>
      </c>
      <c r="AL25" s="39" t="n">
        <f aca="false">IFERROR(IF(OR(Y25="",Z25="",AA25=""),"",IF(F25="Short",IF(Z25&lt;=Y25,"",(Y25-AA25)/(Z25-Y25)),IF(Y25&lt;=Z25,"",(AA25-Y25)/(Y25-Z25)))),"")</f>
        <v>3</v>
      </c>
      <c r="AM25" s="37" t="n">
        <f aca="false">IF(OR(Y25="",Z25="",N(Y25)=N(Z25)),"",IF(OR(AND(F25="Short",Z25&lt;Y25),AND(NOT(F25="Short"),Z25&gt;Y25)),"stop on wrong side",ABS(Y25-Z25)))</f>
        <v>17.26</v>
      </c>
      <c r="AN25" s="40" t="n">
        <f aca="false">IFERROR(IF(OR(NOT(ISNUMBER(AM25)),$C$6=""),"",ROUNDDOWN($C$6*$C$7/AM25,2)),"")</f>
        <v>0.02</v>
      </c>
      <c r="AO25" s="37" t="n">
        <f aca="false">IFERROR(IF(AN25="","",AN25*Y25),"")</f>
        <v>6.5944</v>
      </c>
      <c r="AP25" s="35" t="s">
        <v>192</v>
      </c>
      <c r="AQ25" s="19"/>
      <c r="AR25" s="26"/>
      <c r="AS25" s="41" t="str">
        <f aca="false">IFERROR(IF(OR(AR25="",Y25="",AQ25=""),"",IF(F25="Short",1-AR25/Y25,AR25/Y25-1)),"")</f>
        <v/>
      </c>
      <c r="AT25" s="42" t="str">
        <f aca="true">IF(AQ25="","",IF(ISNUMBER($C$4),$C$4,TODAY())-AQ25)</f>
        <v/>
      </c>
      <c r="AU25" s="14" t="str">
        <f aca="false">IF(C25="","",IF(AP25="Open position",IF(IF(F25="Short",AND(ISNUMBER(AR25),ISNUMBER(Z25),AR25&gt;=Z25),AND(ISNUMBER(AR25),ISNUMBER(Z25),AR25&lt;=Z25)),IF(F25="Short","COVER — stop hit (buy back)","SELL — stop hit"),IF(IF(F25="Short",AND(ISNUMBER(AR25),ISNUMBER(AA25),AR25&lt;=AA25),AND(ISNUMBER(AR25),ISNUMBER(AA25),AR25&gt;=AA25)),"TAKE PROFIT — target hit",IF(AND(ISNUMBER(AT25),AT25&gt;182),IF(F25="Short","COVER — 6-month time limit","SELL — 6-month time limit"),IF(AND(ISNUMBER(AT25),AT25&gt;42,ISNUMBER(AS25),AS25&lt;0.02),"REVIEW — no progress after 6 weeks",IF(IF(F25="Short",AND(L25&lt;&gt;"",N(L25)&gt;0),AND(L25&lt;&gt;"",N(L25)&lt;0)),IF(F25="Short","REVIEW — back above 50-day avg","REVIEW — below 50-day avg"),"HOLD"))))),IF(OR(AP25="Closed",AP25="Dropped"),"Closed",IF(AK25="A",IF(F25="Short","Run Technical Review — SHORT entry","Run Technical Review — LONG entry"),IF(AK25="B","Watch — wait for setup","Drop or re-check next week")))))</f>
        <v>Watch — wait for setup</v>
      </c>
      <c r="AV25" s="35" t="s">
        <v>232</v>
      </c>
      <c r="AX25" s="43" t="n">
        <f aca="false">IF(AND(C25&lt;&gt;"",A25=$C$4,ISNUMBER(AJ25)),AJ25+ROW()/100000,"")</f>
        <v>11.00025</v>
      </c>
    </row>
    <row r="26" customFormat="false" ht="15" hidden="false" customHeight="false" outlineLevel="0" collapsed="false">
      <c r="A26" s="19" t="n">
        <v>46316</v>
      </c>
      <c r="B26" s="35" t="s">
        <v>179</v>
      </c>
      <c r="C26" s="35" t="s">
        <v>218</v>
      </c>
      <c r="D26" s="35" t="s">
        <v>233</v>
      </c>
      <c r="E26" s="35" t="s">
        <v>182</v>
      </c>
      <c r="F26" s="35" t="s">
        <v>190</v>
      </c>
      <c r="G26" s="26" t="n">
        <v>485.88</v>
      </c>
      <c r="H26" s="26"/>
      <c r="I26" s="36" t="n">
        <v>7680617</v>
      </c>
      <c r="J26" s="37" t="n">
        <f aca="false">IF(OR(G26="",I26=""),"",G26*I26/1000000)</f>
        <v>3731.85818796</v>
      </c>
      <c r="K26" s="21" t="n">
        <v>-0.0897</v>
      </c>
      <c r="L26" s="21" t="n">
        <v>-0.0552</v>
      </c>
      <c r="M26" s="21" t="n">
        <v>0.5226</v>
      </c>
      <c r="N26" s="25" t="n">
        <v>42.44</v>
      </c>
      <c r="O26" s="21" t="n">
        <v>0.1059</v>
      </c>
      <c r="P26" s="21" t="n">
        <v>1.2636</v>
      </c>
      <c r="Q26" s="21" t="n">
        <v>-0.1841</v>
      </c>
      <c r="R26" s="21" t="n">
        <v>3.4083</v>
      </c>
      <c r="S26" s="38" t="n">
        <v>0.89</v>
      </c>
      <c r="T26" s="21" t="n">
        <v>1.514</v>
      </c>
      <c r="U26" s="21" t="n">
        <v>0.0469</v>
      </c>
      <c r="V26" s="19" t="n">
        <v>46350</v>
      </c>
      <c r="W26" s="26" t="n">
        <v>31.67</v>
      </c>
      <c r="X26" s="35" t="s">
        <v>191</v>
      </c>
      <c r="Y26" s="26" t="n">
        <v>438.62</v>
      </c>
      <c r="Z26" s="26" t="n">
        <v>501.96</v>
      </c>
      <c r="AA26" s="26" t="n">
        <v>248.6</v>
      </c>
      <c r="AB26" s="16" t="n">
        <f aca="false">IF(C26="","",IF(F26="Short",(AND(M26&lt;&gt;"",N(M26)&lt;0))+(AND(L26&lt;&gt;"",N(L26)&lt;0))+(AND(K26&lt;&gt;"",N(K26)&lt;0))+AND(L26&lt;&gt;"",M26&lt;&gt;"",N(M26)&lt;N(L26)),(N(M26)&gt;0)+(N(L26)&gt;0)+(N(K26)&gt;0)+AND(L26&lt;&gt;"",M26&lt;&gt;"",N(M26)&gt;N(L26))))</f>
        <v>2</v>
      </c>
      <c r="AC26" s="16" t="n">
        <f aca="false">IF(C26="","",IF(F26="Short",IF(N26="",0,IF(AND(N26&gt;=30,N26&lt;=50),2,IF(OR(AND(N26&gt;=25,N26&lt;30),AND(N26&gt;50,N26&lt;=60)),1,0)))+IF(P26="",0,IF(AND(IF(B26="JSE",$L$5,$L$4)&lt;&gt;"",P26&lt;IF(B26="JSE",$L$5,$L$4)),2,IF(P26&lt;0,1,0))),IF(N26="",0,IF(AND(N26&gt;=50,N26&lt;=70),2,IF(OR(AND(N26&gt;=40,N26&lt;50),AND(N26&gt;70,N26&lt;=75)),1,0)))+IF(P26="",0,IF(AND(IF(B26="JSE",$L$5,$L$4)&lt;&gt;"",P26&gt;IF(B26="JSE",$L$5,$L$4)),2,IF(P26&gt;0,1,0)))))</f>
        <v>2</v>
      </c>
      <c r="AD26" s="16" t="n">
        <f aca="false">IF(C26="","",IF(F26="Short",IF(R26="",0,IF(R26&lt;=0.1,2,IF(R26&lt;=0.25,1,0))),IF(Q26="",0,IF(Q26&gt;=-0.1,2,IF(Q26&gt;=-0.25,1,0)))))</f>
        <v>0</v>
      </c>
      <c r="AE26" s="16" t="n">
        <f aca="false">IF(C26="","",IF(J26="",0,IF(J26&gt;=IF(B26="JSE",$L$7,$L$6),2,IF(J26&gt;=IF(B26="JSE",$L$7,$L$6)/4,1,0))))</f>
        <v>2</v>
      </c>
      <c r="AF26" s="16" t="n">
        <f aca="false">IF(C26="","",IF(F26="Short",AND(T26&lt;&gt;"",N(T26)&lt;0),N(T26)&gt;0)+(N(S26)&gt;=1.5))</f>
        <v>0</v>
      </c>
      <c r="AG26" s="16" t="n">
        <f aca="false">IF(C26="","",IF(AL26="",0,IF(AL26&gt;=3,4,IF(AL26&gt;=2,2,0))))</f>
        <v>4</v>
      </c>
      <c r="AH26" s="16" t="n">
        <f aca="false">IF(C26="","",IF(AND(ISNUMBER(V26),ISNUMBER(A26),V26&gt;=A26,V26-A26&lt;=14),-2,0))</f>
        <v>0</v>
      </c>
      <c r="AI26" s="16" t="n">
        <f aca="false">IF(C26="","",IF(AND(F26="Short",N(U26)&gt;=0.2),-1,0))</f>
        <v>0</v>
      </c>
      <c r="AJ26" s="23" t="n">
        <f aca="false">IF(C26="","",SUM(AB26:AI26))</f>
        <v>10</v>
      </c>
      <c r="AK26" s="24" t="str">
        <f aca="false">IF(C26="","",IF(AJ26&gt;=14,"A",IF(AJ26&gt;=10,"B","C")))</f>
        <v>B</v>
      </c>
      <c r="AL26" s="39" t="n">
        <f aca="false">IFERROR(IF(OR(Y26="",Z26="",AA26=""),"",IF(F26="Short",IF(Z26&lt;=Y26,"",(Y26-AA26)/(Z26-Y26)),IF(Y26&lt;=Z26,"",(AA26-Y26)/(Y26-Z26)))),"")</f>
        <v>3</v>
      </c>
      <c r="AM26" s="37" t="n">
        <f aca="false">IF(OR(Y26="",Z26="",N(Y26)=N(Z26)),"",IF(OR(AND(F26="Short",Z26&lt;Y26),AND(NOT(F26="Short"),Z26&gt;Y26)),"stop on wrong side",ABS(Y26-Z26)))</f>
        <v>63.34</v>
      </c>
      <c r="AN26" s="40" t="n">
        <f aca="false">IFERROR(IF(OR(NOT(ISNUMBER(AM26)),$C$6=""),"",ROUNDDOWN($C$6*$C$7/AM26,2)),"")</f>
        <v>0</v>
      </c>
      <c r="AO26" s="37" t="n">
        <f aca="false">IFERROR(IF(AN26="","",AN26*Y26),"")</f>
        <v>0</v>
      </c>
      <c r="AP26" s="35" t="s">
        <v>192</v>
      </c>
      <c r="AQ26" s="19"/>
      <c r="AR26" s="26"/>
      <c r="AS26" s="41" t="str">
        <f aca="false">IFERROR(IF(OR(AR26="",Y26="",AQ26=""),"",IF(F26="Short",1-AR26/Y26,AR26/Y26-1)),"")</f>
        <v/>
      </c>
      <c r="AT26" s="42" t="str">
        <f aca="true">IF(AQ26="","",IF(ISNUMBER($C$4),$C$4,TODAY())-AQ26)</f>
        <v/>
      </c>
      <c r="AU26" s="14" t="str">
        <f aca="false">IF(C26="","",IF(AP26="Open position",IF(IF(F26="Short",AND(ISNUMBER(AR26),ISNUMBER(Z26),AR26&gt;=Z26),AND(ISNUMBER(AR26),ISNUMBER(Z26),AR26&lt;=Z26)),IF(F26="Short","COVER — stop hit (buy back)","SELL — stop hit"),IF(IF(F26="Short",AND(ISNUMBER(AR26),ISNUMBER(AA26),AR26&lt;=AA26),AND(ISNUMBER(AR26),ISNUMBER(AA26),AR26&gt;=AA26)),"TAKE PROFIT — target hit",IF(AND(ISNUMBER(AT26),AT26&gt;182),IF(F26="Short","COVER — 6-month time limit","SELL — 6-month time limit"),IF(AND(ISNUMBER(AT26),AT26&gt;42,ISNUMBER(AS26),AS26&lt;0.02),"REVIEW — no progress after 6 weeks",IF(IF(F26="Short",AND(L26&lt;&gt;"",N(L26)&gt;0),AND(L26&lt;&gt;"",N(L26)&lt;0)),IF(F26="Short","REVIEW — back above 50-day avg","REVIEW — below 50-day avg"),"HOLD"))))),IF(OR(AP26="Closed",AP26="Dropped"),"Closed",IF(AK26="A",IF(F26="Short","Run Technical Review — SHORT entry","Run Technical Review — LONG entry"),IF(AK26="B","Watch — wait for setup","Drop or re-check next week")))))</f>
        <v>Watch — wait for setup</v>
      </c>
      <c r="AV26" s="35" t="s">
        <v>234</v>
      </c>
      <c r="AX26" s="43" t="n">
        <f aca="false">IF(AND(C26&lt;&gt;"",A26=$C$4,ISNUMBER(AJ26)),AJ26+ROW()/100000,"")</f>
        <v>10.00026</v>
      </c>
    </row>
    <row r="27" customFormat="false" ht="15" hidden="false" customHeight="false" outlineLevel="0" collapsed="false">
      <c r="A27" s="19" t="n">
        <v>46316</v>
      </c>
      <c r="B27" s="35" t="s">
        <v>179</v>
      </c>
      <c r="C27" s="35" t="s">
        <v>235</v>
      </c>
      <c r="D27" s="35" t="s">
        <v>236</v>
      </c>
      <c r="E27" s="35" t="s">
        <v>182</v>
      </c>
      <c r="F27" s="35" t="s">
        <v>190</v>
      </c>
      <c r="G27" s="26" t="n">
        <v>341.35</v>
      </c>
      <c r="H27" s="26"/>
      <c r="I27" s="36" t="n">
        <v>1226576</v>
      </c>
      <c r="J27" s="37" t="n">
        <f aca="false">IF(OR(G27="",I27=""),"",G27*I27/1000000)</f>
        <v>418.6917176</v>
      </c>
      <c r="K27" s="21" t="n">
        <v>-0.0601</v>
      </c>
      <c r="L27" s="21" t="n">
        <v>-0.0068</v>
      </c>
      <c r="M27" s="21" t="n">
        <v>0.0914</v>
      </c>
      <c r="N27" s="25" t="n">
        <v>43.84</v>
      </c>
      <c r="O27" s="21" t="n">
        <v>0.0499</v>
      </c>
      <c r="P27" s="21" t="n">
        <v>0.007</v>
      </c>
      <c r="Q27" s="21" t="n">
        <v>-0.1246</v>
      </c>
      <c r="R27" s="21" t="n">
        <v>1.0901</v>
      </c>
      <c r="S27" s="38" t="n">
        <v>0.85</v>
      </c>
      <c r="T27" s="21" t="n">
        <v>0.6025</v>
      </c>
      <c r="U27" s="21" t="n">
        <v>0.0144</v>
      </c>
      <c r="V27" s="19" t="n">
        <v>46349</v>
      </c>
      <c r="W27" s="26" t="n">
        <v>12.4</v>
      </c>
      <c r="X27" s="35" t="s">
        <v>191</v>
      </c>
      <c r="Y27" s="26" t="n">
        <v>322.42</v>
      </c>
      <c r="Z27" s="26" t="n">
        <v>347.22</v>
      </c>
      <c r="AA27" s="26" t="n">
        <v>248.02</v>
      </c>
      <c r="AB27" s="16" t="n">
        <f aca="false">IF(C27="","",IF(F27="Short",(AND(M27&lt;&gt;"",N(M27)&lt;0))+(AND(L27&lt;&gt;"",N(L27)&lt;0))+(AND(K27&lt;&gt;"",N(K27)&lt;0))+AND(L27&lt;&gt;"",M27&lt;&gt;"",N(M27)&lt;N(L27)),(N(M27)&gt;0)+(N(L27)&gt;0)+(N(K27)&gt;0)+AND(L27&lt;&gt;"",M27&lt;&gt;"",N(M27)&gt;N(L27))))</f>
        <v>2</v>
      </c>
      <c r="AC27" s="16" t="n">
        <f aca="false">IF(C27="","",IF(F27="Short",IF(N27="",0,IF(AND(N27&gt;=30,N27&lt;=50),2,IF(OR(AND(N27&gt;=25,N27&lt;30),AND(N27&gt;50,N27&lt;=60)),1,0)))+IF(P27="",0,IF(AND(IF(B27="JSE",$L$5,$L$4)&lt;&gt;"",P27&lt;IF(B27="JSE",$L$5,$L$4)),2,IF(P27&lt;0,1,0))),IF(N27="",0,IF(AND(N27&gt;=50,N27&lt;=70),2,IF(OR(AND(N27&gt;=40,N27&lt;50),AND(N27&gt;70,N27&lt;=75)),1,0)))+IF(P27="",0,IF(AND(IF(B27="JSE",$L$5,$L$4)&lt;&gt;"",P27&gt;IF(B27="JSE",$L$5,$L$4)),2,IF(P27&gt;0,1,0)))))</f>
        <v>4</v>
      </c>
      <c r="AD27" s="16" t="n">
        <f aca="false">IF(C27="","",IF(F27="Short",IF(R27="",0,IF(R27&lt;=0.1,2,IF(R27&lt;=0.25,1,0))),IF(Q27="",0,IF(Q27&gt;=-0.1,2,IF(Q27&gt;=-0.25,1,0)))))</f>
        <v>0</v>
      </c>
      <c r="AE27" s="16" t="n">
        <f aca="false">IF(C27="","",IF(J27="",0,IF(J27&gt;=IF(B27="JSE",$L$7,$L$6),2,IF(J27&gt;=IF(B27="JSE",$L$7,$L$6)/4,1,0))))</f>
        <v>2</v>
      </c>
      <c r="AF27" s="16" t="n">
        <f aca="false">IF(C27="","",IF(F27="Short",AND(T27&lt;&gt;"",N(T27)&lt;0),N(T27)&gt;0)+(N(S27)&gt;=1.5))</f>
        <v>0</v>
      </c>
      <c r="AG27" s="16" t="n">
        <f aca="false">IF(C27="","",IF(AL27="",0,IF(AL27&gt;=3,4,IF(AL27&gt;=2,2,0))))</f>
        <v>4</v>
      </c>
      <c r="AH27" s="16" t="n">
        <f aca="false">IF(C27="","",IF(AND(ISNUMBER(V27),ISNUMBER(A27),V27&gt;=A27,V27-A27&lt;=14),-2,0))</f>
        <v>0</v>
      </c>
      <c r="AI27" s="16" t="n">
        <f aca="false">IF(C27="","",IF(AND(F27="Short",N(U27)&gt;=0.2),-1,0))</f>
        <v>0</v>
      </c>
      <c r="AJ27" s="23" t="n">
        <f aca="false">IF(C27="","",SUM(AB27:AI27))</f>
        <v>12</v>
      </c>
      <c r="AK27" s="24" t="str">
        <f aca="false">IF(C27="","",IF(AJ27&gt;=14,"A",IF(AJ27&gt;=10,"B","C")))</f>
        <v>B</v>
      </c>
      <c r="AL27" s="39" t="n">
        <f aca="false">IFERROR(IF(OR(Y27="",Z27="",AA27=""),"",IF(F27="Short",IF(Z27&lt;=Y27,"",(Y27-AA27)/(Z27-Y27)),IF(Y27&lt;=Z27,"",(AA27-Y27)/(Y27-Z27)))),"")</f>
        <v>3</v>
      </c>
      <c r="AM27" s="37" t="n">
        <f aca="false">IF(OR(Y27="",Z27="",N(Y27)=N(Z27)),"",IF(OR(AND(F27="Short",Z27&lt;Y27),AND(NOT(F27="Short"),Z27&gt;Y27)),"stop on wrong side",ABS(Y27-Z27)))</f>
        <v>24.8</v>
      </c>
      <c r="AN27" s="40" t="n">
        <f aca="false">IFERROR(IF(OR(NOT(ISNUMBER(AM27)),$C$6=""),"",ROUNDDOWN($C$6*$C$7/AM27,2)),"")</f>
        <v>0.01</v>
      </c>
      <c r="AO27" s="37" t="n">
        <f aca="false">IFERROR(IF(AN27="","",AN27*Y27),"")</f>
        <v>3.2242</v>
      </c>
      <c r="AP27" s="35" t="s">
        <v>192</v>
      </c>
      <c r="AQ27" s="19"/>
      <c r="AR27" s="26"/>
      <c r="AS27" s="41" t="str">
        <f aca="false">IFERROR(IF(OR(AR27="",Y27="",AQ27=""),"",IF(F27="Short",1-AR27/Y27,AR27/Y27-1)),"")</f>
        <v/>
      </c>
      <c r="AT27" s="42" t="str">
        <f aca="true">IF(AQ27="","",IF(ISNUMBER($C$4),$C$4,TODAY())-AQ27)</f>
        <v/>
      </c>
      <c r="AU27" s="14" t="str">
        <f aca="false">IF(C27="","",IF(AP27="Open position",IF(IF(F27="Short",AND(ISNUMBER(AR27),ISNUMBER(Z27),AR27&gt;=Z27),AND(ISNUMBER(AR27),ISNUMBER(Z27),AR27&lt;=Z27)),IF(F27="Short","COVER — stop hit (buy back)","SELL — stop hit"),IF(IF(F27="Short",AND(ISNUMBER(AR27),ISNUMBER(AA27),AR27&lt;=AA27),AND(ISNUMBER(AR27),ISNUMBER(AA27),AR27&gt;=AA27)),"TAKE PROFIT — target hit",IF(AND(ISNUMBER(AT27),AT27&gt;182),IF(F27="Short","COVER — 6-month time limit","SELL — 6-month time limit"),IF(AND(ISNUMBER(AT27),AT27&gt;42,ISNUMBER(AS27),AS27&lt;0.02),"REVIEW — no progress after 6 weeks",IF(IF(F27="Short",AND(L27&lt;&gt;"",N(L27)&gt;0),AND(L27&lt;&gt;"",N(L27)&lt;0)),IF(F27="Short","REVIEW — back above 50-day avg","REVIEW — below 50-day avg"),"HOLD"))))),IF(OR(AP27="Closed",AP27="Dropped"),"Closed",IF(AK27="A",IF(F27="Short","Run Technical Review — SHORT entry","Run Technical Review — LONG entry"),IF(AK27="B","Watch — wait for setup","Drop or re-check next week")))))</f>
        <v>Watch — wait for setup</v>
      </c>
      <c r="AV27" s="35" t="s">
        <v>237</v>
      </c>
      <c r="AX27" s="43" t="n">
        <f aca="false">IF(AND(C27&lt;&gt;"",A27=$C$4,ISNUMBER(AJ27)),AJ27+ROW()/100000,"")</f>
        <v>12.00027</v>
      </c>
    </row>
    <row r="28" customFormat="false" ht="15" hidden="false" customHeight="false" outlineLevel="0" collapsed="false">
      <c r="A28" s="19" t="n">
        <v>46316</v>
      </c>
      <c r="B28" s="35" t="s">
        <v>179</v>
      </c>
      <c r="C28" s="35" t="s">
        <v>238</v>
      </c>
      <c r="D28" s="35" t="s">
        <v>239</v>
      </c>
      <c r="E28" s="35" t="s">
        <v>182</v>
      </c>
      <c r="F28" s="35" t="s">
        <v>190</v>
      </c>
      <c r="G28" s="26" t="n">
        <v>79.2</v>
      </c>
      <c r="H28" s="26"/>
      <c r="I28" s="36" t="n">
        <v>12129273</v>
      </c>
      <c r="J28" s="37" t="n">
        <f aca="false">IF(OR(G28="",I28=""),"",G28*I28/1000000)</f>
        <v>960.6384216</v>
      </c>
      <c r="K28" s="21" t="n">
        <v>-0.059</v>
      </c>
      <c r="L28" s="21" t="n">
        <v>-0.0338</v>
      </c>
      <c r="M28" s="21" t="n">
        <v>0.0532</v>
      </c>
      <c r="N28" s="25" t="n">
        <v>39.48</v>
      </c>
      <c r="O28" s="21" t="n">
        <v>0.0062</v>
      </c>
      <c r="P28" s="21" t="n">
        <v>0.0693</v>
      </c>
      <c r="Q28" s="21" t="n">
        <v>-0.1193</v>
      </c>
      <c r="R28" s="21" t="n">
        <v>0.3421</v>
      </c>
      <c r="S28" s="38" t="n">
        <v>1</v>
      </c>
      <c r="T28" s="21" t="n">
        <v>0.6088</v>
      </c>
      <c r="U28" s="21" t="n">
        <v>0.0125</v>
      </c>
      <c r="V28" s="19" t="n">
        <v>46323</v>
      </c>
      <c r="W28" s="26" t="n">
        <v>2.68</v>
      </c>
      <c r="X28" s="35" t="s">
        <v>191</v>
      </c>
      <c r="Y28" s="26" t="n">
        <v>77.72</v>
      </c>
      <c r="Z28" s="26" t="n">
        <v>83.08</v>
      </c>
      <c r="AA28" s="26" t="n">
        <v>61.64</v>
      </c>
      <c r="AB28" s="16" t="n">
        <f aca="false">IF(C28="","",IF(F28="Short",(AND(M28&lt;&gt;"",N(M28)&lt;0))+(AND(L28&lt;&gt;"",N(L28)&lt;0))+(AND(K28&lt;&gt;"",N(K28)&lt;0))+AND(L28&lt;&gt;"",M28&lt;&gt;"",N(M28)&lt;N(L28)),(N(M28)&gt;0)+(N(L28)&gt;0)+(N(K28)&gt;0)+AND(L28&lt;&gt;"",M28&lt;&gt;"",N(M28)&gt;N(L28))))</f>
        <v>2</v>
      </c>
      <c r="AC28" s="16" t="n">
        <f aca="false">IF(C28="","",IF(F28="Short",IF(N28="",0,IF(AND(N28&gt;=30,N28&lt;=50),2,IF(OR(AND(N28&gt;=25,N28&lt;30),AND(N28&gt;50,N28&lt;=60)),1,0)))+IF(P28="",0,IF(AND(IF(B28="JSE",$L$5,$L$4)&lt;&gt;"",P28&lt;IF(B28="JSE",$L$5,$L$4)),2,IF(P28&lt;0,1,0))),IF(N28="",0,IF(AND(N28&gt;=50,N28&lt;=70),2,IF(OR(AND(N28&gt;=40,N28&lt;50),AND(N28&gt;70,N28&lt;=75)),1,0)))+IF(P28="",0,IF(AND(IF(B28="JSE",$L$5,$L$4)&lt;&gt;"",P28&gt;IF(B28="JSE",$L$5,$L$4)),2,IF(P28&gt;0,1,0)))))</f>
        <v>4</v>
      </c>
      <c r="AD28" s="16" t="n">
        <f aca="false">IF(C28="","",IF(F28="Short",IF(R28="",0,IF(R28&lt;=0.1,2,IF(R28&lt;=0.25,1,0))),IF(Q28="",0,IF(Q28&gt;=-0.1,2,IF(Q28&gt;=-0.25,1,0)))))</f>
        <v>0</v>
      </c>
      <c r="AE28" s="16" t="n">
        <f aca="false">IF(C28="","",IF(J28="",0,IF(J28&gt;=IF(B28="JSE",$L$7,$L$6),2,IF(J28&gt;=IF(B28="JSE",$L$7,$L$6)/4,1,0))))</f>
        <v>2</v>
      </c>
      <c r="AF28" s="16" t="n">
        <f aca="false">IF(C28="","",IF(F28="Short",AND(T28&lt;&gt;"",N(T28)&lt;0),N(T28)&gt;0)+(N(S28)&gt;=1.5))</f>
        <v>0</v>
      </c>
      <c r="AG28" s="16" t="n">
        <f aca="false">IF(C28="","",IF(AL28="",0,IF(AL28&gt;=3,4,IF(AL28&gt;=2,2,0))))</f>
        <v>4</v>
      </c>
      <c r="AH28" s="16" t="n">
        <f aca="false">IF(C28="","",IF(AND(ISNUMBER(V28),ISNUMBER(A28),V28&gt;=A28,V28-A28&lt;=14),-2,0))</f>
        <v>-2</v>
      </c>
      <c r="AI28" s="16" t="n">
        <f aca="false">IF(C28="","",IF(AND(F28="Short",N(U28)&gt;=0.2),-1,0))</f>
        <v>0</v>
      </c>
      <c r="AJ28" s="23" t="n">
        <f aca="false">IF(C28="","",SUM(AB28:AI28))</f>
        <v>10</v>
      </c>
      <c r="AK28" s="24" t="str">
        <f aca="false">IF(C28="","",IF(AJ28&gt;=14,"A",IF(AJ28&gt;=10,"B","C")))</f>
        <v>B</v>
      </c>
      <c r="AL28" s="39" t="n">
        <f aca="false">IFERROR(IF(OR(Y28="",Z28="",AA28=""),"",IF(F28="Short",IF(Z28&lt;=Y28,"",(Y28-AA28)/(Z28-Y28)),IF(Y28&lt;=Z28,"",(AA28-Y28)/(Y28-Z28)))),"")</f>
        <v>3</v>
      </c>
      <c r="AM28" s="37" t="n">
        <f aca="false">IF(OR(Y28="",Z28="",N(Y28)=N(Z28)),"",IF(OR(AND(F28="Short",Z28&lt;Y28),AND(NOT(F28="Short"),Z28&gt;Y28)),"stop on wrong side",ABS(Y28-Z28)))</f>
        <v>5.36</v>
      </c>
      <c r="AN28" s="40" t="n">
        <f aca="false">IFERROR(IF(OR(NOT(ISNUMBER(AM28)),$C$6=""),"",ROUNDDOWN($C$6*$C$7/AM28,2)),"")</f>
        <v>0.08</v>
      </c>
      <c r="AO28" s="37" t="n">
        <f aca="false">IFERROR(IF(AN28="","",AN28*Y28),"")</f>
        <v>6.2176</v>
      </c>
      <c r="AP28" s="35" t="s">
        <v>192</v>
      </c>
      <c r="AQ28" s="19"/>
      <c r="AR28" s="26"/>
      <c r="AS28" s="41" t="str">
        <f aca="false">IFERROR(IF(OR(AR28="",Y28="",AQ28=""),"",IF(F28="Short",1-AR28/Y28,AR28/Y28-1)),"")</f>
        <v/>
      </c>
      <c r="AT28" s="42" t="str">
        <f aca="true">IF(AQ28="","",IF(ISNUMBER($C$4),$C$4,TODAY())-AQ28)</f>
        <v/>
      </c>
      <c r="AU28" s="14" t="str">
        <f aca="false">IF(C28="","",IF(AP28="Open position",IF(IF(F28="Short",AND(ISNUMBER(AR28),ISNUMBER(Z28),AR28&gt;=Z28),AND(ISNUMBER(AR28),ISNUMBER(Z28),AR28&lt;=Z28)),IF(F28="Short","COVER — stop hit (buy back)","SELL — stop hit"),IF(IF(F28="Short",AND(ISNUMBER(AR28),ISNUMBER(AA28),AR28&lt;=AA28),AND(ISNUMBER(AR28),ISNUMBER(AA28),AR28&gt;=AA28)),"TAKE PROFIT — target hit",IF(AND(ISNUMBER(AT28),AT28&gt;182),IF(F28="Short","COVER — 6-month time limit","SELL — 6-month time limit"),IF(AND(ISNUMBER(AT28),AT28&gt;42,ISNUMBER(AS28),AS28&lt;0.02),"REVIEW — no progress after 6 weeks",IF(IF(F28="Short",AND(L28&lt;&gt;"",N(L28)&gt;0),AND(L28&lt;&gt;"",N(L28)&lt;0)),IF(F28="Short","REVIEW — back above 50-day avg","REVIEW — below 50-day avg"),"HOLD"))))),IF(OR(AP28="Closed",AP28="Dropped"),"Closed",IF(AK28="A",IF(F28="Short","Run Technical Review — SHORT entry","Run Technical Review — LONG entry"),IF(AK28="B","Watch — wait for setup","Drop or re-check next week")))))</f>
        <v>Watch — wait for setup</v>
      </c>
      <c r="AV28" s="35" t="s">
        <v>240</v>
      </c>
      <c r="AX28" s="43" t="n">
        <f aca="false">IF(AND(C28&lt;&gt;"",A28=$C$4,ISNUMBER(AJ28)),AJ28+ROW()/100000,"")</f>
        <v>10.00028</v>
      </c>
    </row>
    <row r="29" customFormat="false" ht="15" hidden="false" customHeight="false" outlineLevel="0" collapsed="false">
      <c r="A29" s="19" t="n">
        <v>46316</v>
      </c>
      <c r="B29" s="35" t="s">
        <v>179</v>
      </c>
      <c r="C29" s="35" t="s">
        <v>209</v>
      </c>
      <c r="D29" s="35" t="s">
        <v>241</v>
      </c>
      <c r="E29" s="35" t="s">
        <v>182</v>
      </c>
      <c r="F29" s="35" t="s">
        <v>190</v>
      </c>
      <c r="G29" s="26" t="n">
        <v>37.53</v>
      </c>
      <c r="H29" s="26"/>
      <c r="I29" s="36" t="n">
        <v>33149133</v>
      </c>
      <c r="J29" s="37" t="n">
        <f aca="false">IF(OR(G29="",I29=""),"",G29*I29/1000000)</f>
        <v>1244.08696149</v>
      </c>
      <c r="K29" s="21" t="n">
        <v>0.0518</v>
      </c>
      <c r="L29" s="21" t="n">
        <v>0.0062</v>
      </c>
      <c r="M29" s="21" t="n">
        <v>-0.2017</v>
      </c>
      <c r="N29" s="25" t="n">
        <v>59.37</v>
      </c>
      <c r="O29" s="21" t="n">
        <v>-0.0844</v>
      </c>
      <c r="P29" s="21" t="n">
        <v>-0.1784</v>
      </c>
      <c r="Q29" s="21" t="n">
        <v>-0.4672</v>
      </c>
      <c r="R29" s="21" t="n">
        <v>0.1739</v>
      </c>
      <c r="S29" s="38" t="n">
        <v>0.55</v>
      </c>
      <c r="T29" s="21" t="n">
        <v>-0.1642</v>
      </c>
      <c r="U29" s="21" t="n">
        <v>0.0842</v>
      </c>
      <c r="V29" s="19"/>
      <c r="W29" s="26" t="n">
        <v>1.06</v>
      </c>
      <c r="X29" s="35" t="s">
        <v>211</v>
      </c>
      <c r="Y29" s="26" t="n">
        <v>31.91</v>
      </c>
      <c r="Z29" s="26" t="n">
        <v>34.03</v>
      </c>
      <c r="AA29" s="26" t="n">
        <v>25.55</v>
      </c>
      <c r="AB29" s="16" t="n">
        <f aca="false">IF(C29="","",IF(F29="Short",(AND(M29&lt;&gt;"",N(M29)&lt;0))+(AND(L29&lt;&gt;"",N(L29)&lt;0))+(AND(K29&lt;&gt;"",N(K29)&lt;0))+AND(L29&lt;&gt;"",M29&lt;&gt;"",N(M29)&lt;N(L29)),(N(M29)&gt;0)+(N(L29)&gt;0)+(N(K29)&gt;0)+AND(L29&lt;&gt;"",M29&lt;&gt;"",N(M29)&gt;N(L29))))</f>
        <v>2</v>
      </c>
      <c r="AC29" s="16" t="n">
        <f aca="false">IF(C29="","",IF(F29="Short",IF(N29="",0,IF(AND(N29&gt;=30,N29&lt;=50),2,IF(OR(AND(N29&gt;=25,N29&lt;30),AND(N29&gt;50,N29&lt;=60)),1,0)))+IF(P29="",0,IF(AND(IF(B29="JSE",$L$5,$L$4)&lt;&gt;"",P29&lt;IF(B29="JSE",$L$5,$L$4)),2,IF(P29&lt;0,1,0))),IF(N29="",0,IF(AND(N29&gt;=50,N29&lt;=70),2,IF(OR(AND(N29&gt;=40,N29&lt;50),AND(N29&gt;70,N29&lt;=75)),1,0)))+IF(P29="",0,IF(AND(IF(B29="JSE",$L$5,$L$4)&lt;&gt;"",P29&gt;IF(B29="JSE",$L$5,$L$4)),2,IF(P29&gt;0,1,0)))))</f>
        <v>3</v>
      </c>
      <c r="AD29" s="16" t="n">
        <f aca="false">IF(C29="","",IF(F29="Short",IF(R29="",0,IF(R29&lt;=0.1,2,IF(R29&lt;=0.25,1,0))),IF(Q29="",0,IF(Q29&gt;=-0.1,2,IF(Q29&gt;=-0.25,1,0)))))</f>
        <v>1</v>
      </c>
      <c r="AE29" s="16" t="n">
        <f aca="false">IF(C29="","",IF(J29="",0,IF(J29&gt;=IF(B29="JSE",$L$7,$L$6),2,IF(J29&gt;=IF(B29="JSE",$L$7,$L$6)/4,1,0))))</f>
        <v>2</v>
      </c>
      <c r="AF29" s="16" t="n">
        <f aca="false">IF(C29="","",IF(F29="Short",AND(T29&lt;&gt;"",N(T29)&lt;0),N(T29)&gt;0)+(N(S29)&gt;=1.5))</f>
        <v>1</v>
      </c>
      <c r="AG29" s="16" t="n">
        <f aca="false">IF(C29="","",IF(AL29="",0,IF(AL29&gt;=3,4,IF(AL29&gt;=2,2,0))))</f>
        <v>4</v>
      </c>
      <c r="AH29" s="16" t="n">
        <f aca="false">IF(C29="","",IF(AND(ISNUMBER(V29),ISNUMBER(A29),V29&gt;=A29,V29-A29&lt;=14),-2,0))</f>
        <v>0</v>
      </c>
      <c r="AI29" s="16" t="n">
        <f aca="false">IF(C29="","",IF(AND(F29="Short",N(U29)&gt;=0.2),-1,0))</f>
        <v>0</v>
      </c>
      <c r="AJ29" s="23" t="n">
        <f aca="false">IF(C29="","",SUM(AB29:AI29))</f>
        <v>13</v>
      </c>
      <c r="AK29" s="24" t="str">
        <f aca="false">IF(C29="","",IF(AJ29&gt;=14,"A",IF(AJ29&gt;=10,"B","C")))</f>
        <v>B</v>
      </c>
      <c r="AL29" s="39" t="n">
        <f aca="false">IFERROR(IF(OR(Y29="",Z29="",AA29=""),"",IF(F29="Short",IF(Z29&lt;=Y29,"",(Y29-AA29)/(Z29-Y29)),IF(Y29&lt;=Z29,"",(AA29-Y29)/(Y29-Z29)))),"")</f>
        <v>3</v>
      </c>
      <c r="AM29" s="37" t="n">
        <f aca="false">IF(OR(Y29="",Z29="",N(Y29)=N(Z29)),"",IF(OR(AND(F29="Short",Z29&lt;Y29),AND(NOT(F29="Short"),Z29&gt;Y29)),"stop on wrong side",ABS(Y29-Z29)))</f>
        <v>2.12</v>
      </c>
      <c r="AN29" s="40" t="n">
        <f aca="false">IFERROR(IF(OR(NOT(ISNUMBER(AM29)),$C$6=""),"",ROUNDDOWN($C$6*$C$7/AM29,2)),"")</f>
        <v>0.21</v>
      </c>
      <c r="AO29" s="37" t="n">
        <f aca="false">IFERROR(IF(AN29="","",AN29*Y29),"")</f>
        <v>6.7011</v>
      </c>
      <c r="AP29" s="35" t="s">
        <v>192</v>
      </c>
      <c r="AQ29" s="19"/>
      <c r="AR29" s="26"/>
      <c r="AS29" s="41" t="str">
        <f aca="false">IFERROR(IF(OR(AR29="",Y29="",AQ29=""),"",IF(F29="Short",1-AR29/Y29,AR29/Y29-1)),"")</f>
        <v/>
      </c>
      <c r="AT29" s="42" t="str">
        <f aca="true">IF(AQ29="","",IF(ISNUMBER($C$4),$C$4,TODAY())-AQ29)</f>
        <v/>
      </c>
      <c r="AU29" s="14" t="str">
        <f aca="false">IF(C29="","",IF(AP29="Open position",IF(IF(F29="Short",AND(ISNUMBER(AR29),ISNUMBER(Z29),AR29&gt;=Z29),AND(ISNUMBER(AR29),ISNUMBER(Z29),AR29&lt;=Z29)),IF(F29="Short","COVER — stop hit (buy back)","SELL — stop hit"),IF(IF(F29="Short",AND(ISNUMBER(AR29),ISNUMBER(AA29),AR29&lt;=AA29),AND(ISNUMBER(AR29),ISNUMBER(AA29),AR29&gt;=AA29)),"TAKE PROFIT — target hit",IF(AND(ISNUMBER(AT29),AT29&gt;182),IF(F29="Short","COVER — 6-month time limit","SELL — 6-month time limit"),IF(AND(ISNUMBER(AT29),AT29&gt;42,ISNUMBER(AS29),AS29&lt;0.02),"REVIEW — no progress after 6 weeks",IF(IF(F29="Short",AND(L29&lt;&gt;"",N(L29)&gt;0),AND(L29&lt;&gt;"",N(L29)&lt;0)),IF(F29="Short","REVIEW — back above 50-day avg","REVIEW — below 50-day avg"),"HOLD"))))),IF(OR(AP29="Closed",AP29="Dropped"),"Closed",IF(AK29="A",IF(F29="Short","Run Technical Review — SHORT entry","Run Technical Review — LONG entry"),IF(AK29="B","Watch — wait for setup","Drop or re-check next week")))))</f>
        <v>Watch — wait for setup</v>
      </c>
      <c r="AV29" s="35" t="s">
        <v>242</v>
      </c>
      <c r="AX29" s="43" t="n">
        <f aca="false">IF(AND(C29&lt;&gt;"",A29=$C$4,ISNUMBER(AJ29)),AJ29+ROW()/100000,"")</f>
        <v>13.00029</v>
      </c>
    </row>
    <row r="30" customFormat="false" ht="15" hidden="false" customHeight="false" outlineLevel="0" collapsed="false">
      <c r="A30" s="19" t="n">
        <v>46316</v>
      </c>
      <c r="B30" s="35" t="s">
        <v>179</v>
      </c>
      <c r="C30" s="35" t="s">
        <v>243</v>
      </c>
      <c r="D30" s="35" t="s">
        <v>244</v>
      </c>
      <c r="E30" s="35" t="s">
        <v>182</v>
      </c>
      <c r="F30" s="35" t="s">
        <v>190</v>
      </c>
      <c r="G30" s="26" t="n">
        <v>697.52</v>
      </c>
      <c r="H30" s="26"/>
      <c r="I30" s="36" t="n">
        <v>19309160</v>
      </c>
      <c r="J30" s="37" t="n">
        <f aca="false">IF(OR(G30="",I30=""),"",G30*I30/1000000)</f>
        <v>13468.5252832</v>
      </c>
      <c r="K30" s="21" t="n">
        <v>-0.0439</v>
      </c>
      <c r="L30" s="21" t="n">
        <v>0.0545</v>
      </c>
      <c r="M30" s="21" t="n">
        <v>0.1026</v>
      </c>
      <c r="N30" s="25" t="n">
        <v>47.35</v>
      </c>
      <c r="O30" s="21" t="n">
        <v>0.1508</v>
      </c>
      <c r="P30" s="21" t="n">
        <v>0.0338</v>
      </c>
      <c r="Q30" s="21" t="n">
        <v>-0.1055</v>
      </c>
      <c r="R30" s="21" t="n">
        <v>0.3407</v>
      </c>
      <c r="S30" s="38" t="n">
        <v>1.51</v>
      </c>
      <c r="T30" s="21"/>
      <c r="U30" s="21" t="n">
        <v>0.0152</v>
      </c>
      <c r="V30" s="19" t="n">
        <v>46316</v>
      </c>
      <c r="W30" s="26" t="n">
        <v>24.5</v>
      </c>
      <c r="X30" s="35" t="s">
        <v>191</v>
      </c>
      <c r="Y30" s="26" t="n">
        <v>679.69</v>
      </c>
      <c r="Z30" s="26" t="n">
        <v>728.69</v>
      </c>
      <c r="AA30" s="26" t="n">
        <v>532.69</v>
      </c>
      <c r="AB30" s="16" t="n">
        <f aca="false">IF(C30="","",IF(F30="Short",(AND(M30&lt;&gt;"",N(M30)&lt;0))+(AND(L30&lt;&gt;"",N(L30)&lt;0))+(AND(K30&lt;&gt;"",N(K30)&lt;0))+AND(L30&lt;&gt;"",M30&lt;&gt;"",N(M30)&lt;N(L30)),(N(M30)&gt;0)+(N(L30)&gt;0)+(N(K30)&gt;0)+AND(L30&lt;&gt;"",M30&lt;&gt;"",N(M30)&gt;N(L30))))</f>
        <v>1</v>
      </c>
      <c r="AC30" s="16" t="n">
        <f aca="false">IF(C30="","",IF(F30="Short",IF(N30="",0,IF(AND(N30&gt;=30,N30&lt;=50),2,IF(OR(AND(N30&gt;=25,N30&lt;30),AND(N30&gt;50,N30&lt;=60)),1,0)))+IF(P30="",0,IF(AND(IF(B30="JSE",$L$5,$L$4)&lt;&gt;"",P30&lt;IF(B30="JSE",$L$5,$L$4)),2,IF(P30&lt;0,1,0))),IF(N30="",0,IF(AND(N30&gt;=50,N30&lt;=70),2,IF(OR(AND(N30&gt;=40,N30&lt;50),AND(N30&gt;70,N30&lt;=75)),1,0)))+IF(P30="",0,IF(AND(IF(B30="JSE",$L$5,$L$4)&lt;&gt;"",P30&gt;IF(B30="JSE",$L$5,$L$4)),2,IF(P30&gt;0,1,0)))))</f>
        <v>4</v>
      </c>
      <c r="AD30" s="16" t="n">
        <f aca="false">IF(C30="","",IF(F30="Short",IF(R30="",0,IF(R30&lt;=0.1,2,IF(R30&lt;=0.25,1,0))),IF(Q30="",0,IF(Q30&gt;=-0.1,2,IF(Q30&gt;=-0.25,1,0)))))</f>
        <v>0</v>
      </c>
      <c r="AE30" s="16" t="n">
        <f aca="false">IF(C30="","",IF(J30="",0,IF(J30&gt;=IF(B30="JSE",$L$7,$L$6),2,IF(J30&gt;=IF(B30="JSE",$L$7,$L$6)/4,1,0))))</f>
        <v>2</v>
      </c>
      <c r="AF30" s="16" t="n">
        <f aca="false">IF(C30="","",IF(F30="Short",AND(T30&lt;&gt;"",N(T30)&lt;0),N(T30)&gt;0)+(N(S30)&gt;=1.5))</f>
        <v>1</v>
      </c>
      <c r="AG30" s="16" t="n">
        <f aca="false">IF(C30="","",IF(AL30="",0,IF(AL30&gt;=3,4,IF(AL30&gt;=2,2,0))))</f>
        <v>4</v>
      </c>
      <c r="AH30" s="16" t="n">
        <f aca="false">IF(C30="","",IF(AND(ISNUMBER(V30),ISNUMBER(A30),V30&gt;=A30,V30-A30&lt;=14),-2,0))</f>
        <v>-2</v>
      </c>
      <c r="AI30" s="16" t="n">
        <f aca="false">IF(C30="","",IF(AND(F30="Short",N(U30)&gt;=0.2),-1,0))</f>
        <v>0</v>
      </c>
      <c r="AJ30" s="23" t="n">
        <f aca="false">IF(C30="","",SUM(AB30:AI30))</f>
        <v>10</v>
      </c>
      <c r="AK30" s="24" t="str">
        <f aca="false">IF(C30="","",IF(AJ30&gt;=14,"A",IF(AJ30&gt;=10,"B","C")))</f>
        <v>B</v>
      </c>
      <c r="AL30" s="39" t="n">
        <f aca="false">IFERROR(IF(OR(Y30="",Z30="",AA30=""),"",IF(F30="Short",IF(Z30&lt;=Y30,"",(Y30-AA30)/(Z30-Y30)),IF(Y30&lt;=Z30,"",(AA30-Y30)/(Y30-Z30)))),"")</f>
        <v>3</v>
      </c>
      <c r="AM30" s="37" t="n">
        <f aca="false">IF(OR(Y30="",Z30="",N(Y30)=N(Z30)),"",IF(OR(AND(F30="Short",Z30&lt;Y30),AND(NOT(F30="Short"),Z30&gt;Y30)),"stop on wrong side",ABS(Y30-Z30)))</f>
        <v>49</v>
      </c>
      <c r="AN30" s="40" t="n">
        <f aca="false">IFERROR(IF(OR(NOT(ISNUMBER(AM30)),$C$6=""),"",ROUNDDOWN($C$6*$C$7/AM30,2)),"")</f>
        <v>0</v>
      </c>
      <c r="AO30" s="37" t="n">
        <f aca="false">IFERROR(IF(AN30="","",AN30*Y30),"")</f>
        <v>0</v>
      </c>
      <c r="AP30" s="35" t="s">
        <v>192</v>
      </c>
      <c r="AQ30" s="19"/>
      <c r="AR30" s="26"/>
      <c r="AS30" s="41" t="str">
        <f aca="false">IFERROR(IF(OR(AR30="",Y30="",AQ30=""),"",IF(F30="Short",1-AR30/Y30,AR30/Y30-1)),"")</f>
        <v/>
      </c>
      <c r="AT30" s="42" t="str">
        <f aca="true">IF(AQ30="","",IF(ISNUMBER($C$4),$C$4,TODAY())-AQ30)</f>
        <v/>
      </c>
      <c r="AU30" s="14" t="str">
        <f aca="false">IF(C30="","",IF(AP30="Open position",IF(IF(F30="Short",AND(ISNUMBER(AR30),ISNUMBER(Z30),AR30&gt;=Z30),AND(ISNUMBER(AR30),ISNUMBER(Z30),AR30&lt;=Z30)),IF(F30="Short","COVER — stop hit (buy back)","SELL — stop hit"),IF(IF(F30="Short",AND(ISNUMBER(AR30),ISNUMBER(AA30),AR30&lt;=AA30),AND(ISNUMBER(AR30),ISNUMBER(AA30),AR30&gt;=AA30)),"TAKE PROFIT — target hit",IF(AND(ISNUMBER(AT30),AT30&gt;182),IF(F30="Short","COVER — 6-month time limit","SELL — 6-month time limit"),IF(AND(ISNUMBER(AT30),AT30&gt;42,ISNUMBER(AS30),AS30&lt;0.02),"REVIEW — no progress after 6 weeks",IF(IF(F30="Short",AND(L30&lt;&gt;"",N(L30)&gt;0),AND(L30&lt;&gt;"",N(L30)&lt;0)),IF(F30="Short","REVIEW — back above 50-day avg","REVIEW — below 50-day avg"),"HOLD"))))),IF(OR(AP30="Closed",AP30="Dropped"),"Closed",IF(AK30="A",IF(F30="Short","Run Technical Review — SHORT entry","Run Technical Review — LONG entry"),IF(AK30="B","Watch — wait for setup","Drop or re-check next week")))))</f>
        <v>Watch — wait for setup</v>
      </c>
      <c r="AV30" s="35" t="s">
        <v>245</v>
      </c>
      <c r="AX30" s="43" t="n">
        <f aca="false">IF(AND(C30&lt;&gt;"",A30=$C$4,ISNUMBER(AJ30)),AJ30+ROW()/100000,"")</f>
        <v>10.0003</v>
      </c>
    </row>
    <row r="31" customFormat="false" ht="15" hidden="false" customHeight="false" outlineLevel="0" collapsed="false">
      <c r="A31" s="19" t="n">
        <v>46316</v>
      </c>
      <c r="B31" s="35" t="s">
        <v>179</v>
      </c>
      <c r="C31" s="35" t="s">
        <v>194</v>
      </c>
      <c r="D31" s="35" t="s">
        <v>246</v>
      </c>
      <c r="E31" s="35" t="s">
        <v>182</v>
      </c>
      <c r="F31" s="35" t="s">
        <v>190</v>
      </c>
      <c r="G31" s="26" t="n">
        <v>184.33</v>
      </c>
      <c r="H31" s="26"/>
      <c r="I31" s="36" t="n">
        <v>6108406</v>
      </c>
      <c r="J31" s="37" t="n">
        <f aca="false">IF(OR(G31="",I31=""),"",G31*I31/1000000)</f>
        <v>1125.96247798</v>
      </c>
      <c r="K31" s="21" t="n">
        <v>-0.0837</v>
      </c>
      <c r="L31" s="21" t="n">
        <v>-0.0682</v>
      </c>
      <c r="M31" s="21" t="n">
        <v>0.1283</v>
      </c>
      <c r="N31" s="25" t="n">
        <v>39.57</v>
      </c>
      <c r="O31" s="21" t="n">
        <v>0.0437</v>
      </c>
      <c r="P31" s="21" t="n">
        <v>0.0371</v>
      </c>
      <c r="Q31" s="21" t="n">
        <v>-0.1522</v>
      </c>
      <c r="R31" s="21" t="n">
        <v>0.6096</v>
      </c>
      <c r="S31" s="38" t="n">
        <v>1.08</v>
      </c>
      <c r="T31" s="21"/>
      <c r="U31" s="21" t="n">
        <v>0.0114</v>
      </c>
      <c r="V31" s="19" t="n">
        <v>46329</v>
      </c>
      <c r="W31" s="26" t="n">
        <v>8.2</v>
      </c>
      <c r="X31" s="35" t="s">
        <v>191</v>
      </c>
      <c r="Y31" s="26" t="n">
        <v>176.42</v>
      </c>
      <c r="Z31" s="26" t="n">
        <v>192.82</v>
      </c>
      <c r="AA31" s="26" t="n">
        <v>127.22</v>
      </c>
      <c r="AB31" s="16" t="n">
        <f aca="false">IF(C31="","",IF(F31="Short",(AND(M31&lt;&gt;"",N(M31)&lt;0))+(AND(L31&lt;&gt;"",N(L31)&lt;0))+(AND(K31&lt;&gt;"",N(K31)&lt;0))+AND(L31&lt;&gt;"",M31&lt;&gt;"",N(M31)&lt;N(L31)),(N(M31)&gt;0)+(N(L31)&gt;0)+(N(K31)&gt;0)+AND(L31&lt;&gt;"",M31&lt;&gt;"",N(M31)&gt;N(L31))))</f>
        <v>2</v>
      </c>
      <c r="AC31" s="16" t="n">
        <f aca="false">IF(C31="","",IF(F31="Short",IF(N31="",0,IF(AND(N31&gt;=30,N31&lt;=50),2,IF(OR(AND(N31&gt;=25,N31&lt;30),AND(N31&gt;50,N31&lt;=60)),1,0)))+IF(P31="",0,IF(AND(IF(B31="JSE",$L$5,$L$4)&lt;&gt;"",P31&lt;IF(B31="JSE",$L$5,$L$4)),2,IF(P31&lt;0,1,0))),IF(N31="",0,IF(AND(N31&gt;=50,N31&lt;=70),2,IF(OR(AND(N31&gt;=40,N31&lt;50),AND(N31&gt;70,N31&lt;=75)),1,0)))+IF(P31="",0,IF(AND(IF(B31="JSE",$L$5,$L$4)&lt;&gt;"",P31&gt;IF(B31="JSE",$L$5,$L$4)),2,IF(P31&gt;0,1,0)))))</f>
        <v>4</v>
      </c>
      <c r="AD31" s="16" t="n">
        <f aca="false">IF(C31="","",IF(F31="Short",IF(R31="",0,IF(R31&lt;=0.1,2,IF(R31&lt;=0.25,1,0))),IF(Q31="",0,IF(Q31&gt;=-0.1,2,IF(Q31&gt;=-0.25,1,0)))))</f>
        <v>0</v>
      </c>
      <c r="AE31" s="16" t="n">
        <f aca="false">IF(C31="","",IF(J31="",0,IF(J31&gt;=IF(B31="JSE",$L$7,$L$6),2,IF(J31&gt;=IF(B31="JSE",$L$7,$L$6)/4,1,0))))</f>
        <v>2</v>
      </c>
      <c r="AF31" s="16" t="n">
        <f aca="false">IF(C31="","",IF(F31="Short",AND(T31&lt;&gt;"",N(T31)&lt;0),N(T31)&gt;0)+(N(S31)&gt;=1.5))</f>
        <v>0</v>
      </c>
      <c r="AG31" s="16" t="n">
        <f aca="false">IF(C31="","",IF(AL31="",0,IF(AL31&gt;=3,4,IF(AL31&gt;=2,2,0))))</f>
        <v>4</v>
      </c>
      <c r="AH31" s="16" t="n">
        <f aca="false">IF(C31="","",IF(AND(ISNUMBER(V31),ISNUMBER(A31),V31&gt;=A31,V31-A31&lt;=14),-2,0))</f>
        <v>-2</v>
      </c>
      <c r="AI31" s="16" t="n">
        <f aca="false">IF(C31="","",IF(AND(F31="Short",N(U31)&gt;=0.2),-1,0))</f>
        <v>0</v>
      </c>
      <c r="AJ31" s="23" t="n">
        <f aca="false">IF(C31="","",SUM(AB31:AI31))</f>
        <v>10</v>
      </c>
      <c r="AK31" s="24" t="str">
        <f aca="false">IF(C31="","",IF(AJ31&gt;=14,"A",IF(AJ31&gt;=10,"B","C")))</f>
        <v>B</v>
      </c>
      <c r="AL31" s="39" t="n">
        <f aca="false">IFERROR(IF(OR(Y31="",Z31="",AA31=""),"",IF(F31="Short",IF(Z31&lt;=Y31,"",(Y31-AA31)/(Z31-Y31)),IF(Y31&lt;=Z31,"",(AA31-Y31)/(Y31-Z31)))),"")</f>
        <v>3</v>
      </c>
      <c r="AM31" s="37" t="n">
        <f aca="false">IF(OR(Y31="",Z31="",N(Y31)=N(Z31)),"",IF(OR(AND(F31="Short",Z31&lt;Y31),AND(NOT(F31="Short"),Z31&gt;Y31)),"stop on wrong side",ABS(Y31-Z31)))</f>
        <v>16.4</v>
      </c>
      <c r="AN31" s="40" t="n">
        <f aca="false">IFERROR(IF(OR(NOT(ISNUMBER(AM31)),$C$6=""),"",ROUNDDOWN($C$6*$C$7/AM31,2)),"")</f>
        <v>0.02</v>
      </c>
      <c r="AO31" s="37" t="n">
        <f aca="false">IFERROR(IF(AN31="","",AN31*Y31),"")</f>
        <v>3.5284</v>
      </c>
      <c r="AP31" s="35" t="s">
        <v>192</v>
      </c>
      <c r="AQ31" s="19"/>
      <c r="AR31" s="26"/>
      <c r="AS31" s="41" t="str">
        <f aca="false">IFERROR(IF(OR(AR31="",Y31="",AQ31=""),"",IF(F31="Short",1-AR31/Y31,AR31/Y31-1)),"")</f>
        <v/>
      </c>
      <c r="AT31" s="42" t="str">
        <f aca="true">IF(AQ31="","",IF(ISNUMBER($C$4),$C$4,TODAY())-AQ31)</f>
        <v/>
      </c>
      <c r="AU31" s="14" t="str">
        <f aca="false">IF(C31="","",IF(AP31="Open position",IF(IF(F31="Short",AND(ISNUMBER(AR31),ISNUMBER(Z31),AR31&gt;=Z31),AND(ISNUMBER(AR31),ISNUMBER(Z31),AR31&lt;=Z31)),IF(F31="Short","COVER — stop hit (buy back)","SELL — stop hit"),IF(IF(F31="Short",AND(ISNUMBER(AR31),ISNUMBER(AA31),AR31&lt;=AA31),AND(ISNUMBER(AR31),ISNUMBER(AA31),AR31&gt;=AA31)),"TAKE PROFIT — target hit",IF(AND(ISNUMBER(AT31),AT31&gt;182),IF(F31="Short","COVER — 6-month time limit","SELL — 6-month time limit"),IF(AND(ISNUMBER(AT31),AT31&gt;42,ISNUMBER(AS31),AS31&lt;0.02),"REVIEW — no progress after 6 weeks",IF(IF(F31="Short",AND(L31&lt;&gt;"",N(L31)&gt;0),AND(L31&lt;&gt;"",N(L31)&lt;0)),IF(F31="Short","REVIEW — back above 50-day avg","REVIEW — below 50-day avg"),"HOLD"))))),IF(OR(AP31="Closed",AP31="Dropped"),"Closed",IF(AK31="A",IF(F31="Short","Run Technical Review — SHORT entry","Run Technical Review — LONG entry"),IF(AK31="B","Watch — wait for setup","Drop or re-check next week")))))</f>
        <v>Watch — wait for setup</v>
      </c>
      <c r="AV31" s="35" t="s">
        <v>247</v>
      </c>
      <c r="AX31" s="43" t="n">
        <f aca="false">IF(AND(C31&lt;&gt;"",A31=$C$4,ISNUMBER(AJ31)),AJ31+ROW()/100000,"")</f>
        <v>10.00031</v>
      </c>
    </row>
    <row r="32" customFormat="false" ht="15" hidden="false" customHeight="false" outlineLevel="0" collapsed="false">
      <c r="A32" s="19" t="n">
        <v>46316</v>
      </c>
      <c r="B32" s="35" t="s">
        <v>179</v>
      </c>
      <c r="C32" s="35" t="s">
        <v>221</v>
      </c>
      <c r="D32" s="35" t="s">
        <v>248</v>
      </c>
      <c r="E32" s="35" t="s">
        <v>182</v>
      </c>
      <c r="F32" s="35" t="s">
        <v>190</v>
      </c>
      <c r="G32" s="26" t="n">
        <v>52.49</v>
      </c>
      <c r="H32" s="26"/>
      <c r="I32" s="36" t="n">
        <v>7468324</v>
      </c>
      <c r="J32" s="37" t="n">
        <f aca="false">IF(OR(G32="",I32=""),"",G32*I32/1000000)</f>
        <v>392.01232676</v>
      </c>
      <c r="K32" s="21" t="n">
        <v>0.0331</v>
      </c>
      <c r="L32" s="21" t="n">
        <v>0.0421</v>
      </c>
      <c r="M32" s="21" t="n">
        <v>0.1204</v>
      </c>
      <c r="N32" s="25" t="n">
        <v>62.92</v>
      </c>
      <c r="O32" s="21" t="n">
        <v>0.1374</v>
      </c>
      <c r="P32" s="21" t="n">
        <v>0.1714</v>
      </c>
      <c r="Q32" s="21" t="n">
        <v>-0.0081</v>
      </c>
      <c r="R32" s="21" t="n">
        <v>0.3469</v>
      </c>
      <c r="S32" s="38" t="n">
        <v>0.85</v>
      </c>
      <c r="T32" s="21"/>
      <c r="U32" s="21" t="n">
        <v>0.0302</v>
      </c>
      <c r="V32" s="19" t="n">
        <v>46309</v>
      </c>
      <c r="W32" s="26" t="n">
        <v>1.32</v>
      </c>
      <c r="X32" s="35" t="s">
        <v>191</v>
      </c>
      <c r="Y32" s="26" t="n">
        <v>47.21</v>
      </c>
      <c r="Z32" s="26" t="n">
        <v>49.85</v>
      </c>
      <c r="AA32" s="26" t="n">
        <v>39.29</v>
      </c>
      <c r="AB32" s="16" t="n">
        <f aca="false">IF(C32="","",IF(F32="Short",(AND(M32&lt;&gt;"",N(M32)&lt;0))+(AND(L32&lt;&gt;"",N(L32)&lt;0))+(AND(K32&lt;&gt;"",N(K32)&lt;0))+AND(L32&lt;&gt;"",M32&lt;&gt;"",N(M32)&lt;N(L32)),(N(M32)&gt;0)+(N(L32)&gt;0)+(N(K32)&gt;0)+AND(L32&lt;&gt;"",M32&lt;&gt;"",N(M32)&gt;N(L32))))</f>
        <v>0</v>
      </c>
      <c r="AC32" s="16" t="n">
        <f aca="false">IF(C32="","",IF(F32="Short",IF(N32="",0,IF(AND(N32&gt;=30,N32&lt;=50),2,IF(OR(AND(N32&gt;=25,N32&lt;30),AND(N32&gt;50,N32&lt;=60)),1,0)))+IF(P32="",0,IF(AND(IF(B32="JSE",$L$5,$L$4)&lt;&gt;"",P32&lt;IF(B32="JSE",$L$5,$L$4)),2,IF(P32&lt;0,1,0))),IF(N32="",0,IF(AND(N32&gt;=50,N32&lt;=70),2,IF(OR(AND(N32&gt;=40,N32&lt;50),AND(N32&gt;70,N32&lt;=75)),1,0)))+IF(P32="",0,IF(AND(IF(B32="JSE",$L$5,$L$4)&lt;&gt;"",P32&gt;IF(B32="JSE",$L$5,$L$4)),2,IF(P32&gt;0,1,0)))))</f>
        <v>0</v>
      </c>
      <c r="AD32" s="16" t="n">
        <f aca="false">IF(C32="","",IF(F32="Short",IF(R32="",0,IF(R32&lt;=0.1,2,IF(R32&lt;=0.25,1,0))),IF(Q32="",0,IF(Q32&gt;=-0.1,2,IF(Q32&gt;=-0.25,1,0)))))</f>
        <v>0</v>
      </c>
      <c r="AE32" s="16" t="n">
        <f aca="false">IF(C32="","",IF(J32="",0,IF(J32&gt;=IF(B32="JSE",$L$7,$L$6),2,IF(J32&gt;=IF(B32="JSE",$L$7,$L$6)/4,1,0))))</f>
        <v>2</v>
      </c>
      <c r="AF32" s="16" t="n">
        <f aca="false">IF(C32="","",IF(F32="Short",AND(T32&lt;&gt;"",N(T32)&lt;0),N(T32)&gt;0)+(N(S32)&gt;=1.5))</f>
        <v>0</v>
      </c>
      <c r="AG32" s="16" t="n">
        <f aca="false">IF(C32="","",IF(AL32="",0,IF(AL32&gt;=3,4,IF(AL32&gt;=2,2,0))))</f>
        <v>4</v>
      </c>
      <c r="AH32" s="16" t="n">
        <f aca="false">IF(C32="","",IF(AND(ISNUMBER(V32),ISNUMBER(A32),V32&gt;=A32,V32-A32&lt;=14),-2,0))</f>
        <v>0</v>
      </c>
      <c r="AI32" s="16" t="n">
        <f aca="false">IF(C32="","",IF(AND(F32="Short",N(U32)&gt;=0.2),-1,0))</f>
        <v>0</v>
      </c>
      <c r="AJ32" s="23" t="n">
        <f aca="false">IF(C32="","",SUM(AB32:AI32))</f>
        <v>6</v>
      </c>
      <c r="AK32" s="24" t="str">
        <f aca="false">IF(C32="","",IF(AJ32&gt;=14,"A",IF(AJ32&gt;=10,"B","C")))</f>
        <v>C</v>
      </c>
      <c r="AL32" s="39" t="n">
        <f aca="false">IFERROR(IF(OR(Y32="",Z32="",AA32=""),"",IF(F32="Short",IF(Z32&lt;=Y32,"",(Y32-AA32)/(Z32-Y32)),IF(Y32&lt;=Z32,"",(AA32-Y32)/(Y32-Z32)))),"")</f>
        <v>3</v>
      </c>
      <c r="AM32" s="37" t="n">
        <f aca="false">IF(OR(Y32="",Z32="",N(Y32)=N(Z32)),"",IF(OR(AND(F32="Short",Z32&lt;Y32),AND(NOT(F32="Short"),Z32&gt;Y32)),"stop on wrong side",ABS(Y32-Z32)))</f>
        <v>2.64</v>
      </c>
      <c r="AN32" s="40" t="n">
        <f aca="false">IFERROR(IF(OR(NOT(ISNUMBER(AM32)),$C$6=""),"",ROUNDDOWN($C$6*$C$7/AM32,2)),"")</f>
        <v>0.17</v>
      </c>
      <c r="AO32" s="37" t="n">
        <f aca="false">IFERROR(IF(AN32="","",AN32*Y32),"")</f>
        <v>8.0257</v>
      </c>
      <c r="AP32" s="35" t="s">
        <v>192</v>
      </c>
      <c r="AQ32" s="19"/>
      <c r="AR32" s="26"/>
      <c r="AS32" s="41" t="str">
        <f aca="false">IFERROR(IF(OR(AR32="",Y32="",AQ32=""),"",IF(F32="Short",1-AR32/Y32,AR32/Y32-1)),"")</f>
        <v/>
      </c>
      <c r="AT32" s="42" t="str">
        <f aca="true">IF(AQ32="","",IF(ISNUMBER($C$4),$C$4,TODAY())-AQ32)</f>
        <v/>
      </c>
      <c r="AU32" s="14" t="str">
        <f aca="false">IF(C32="","",IF(AP32="Open position",IF(IF(F32="Short",AND(ISNUMBER(AR32),ISNUMBER(Z32),AR32&gt;=Z32),AND(ISNUMBER(AR32),ISNUMBER(Z32),AR32&lt;=Z32)),IF(F32="Short","COVER — stop hit (buy back)","SELL — stop hit"),IF(IF(F32="Short",AND(ISNUMBER(AR32),ISNUMBER(AA32),AR32&lt;=AA32),AND(ISNUMBER(AR32),ISNUMBER(AA32),AR32&gt;=AA32)),"TAKE PROFIT — target hit",IF(AND(ISNUMBER(AT32),AT32&gt;182),IF(F32="Short","COVER — 6-month time limit","SELL — 6-month time limit"),IF(AND(ISNUMBER(AT32),AT32&gt;42,ISNUMBER(AS32),AS32&lt;0.02),"REVIEW — no progress after 6 weeks",IF(IF(F32="Short",AND(L32&lt;&gt;"",N(L32)&gt;0),AND(L32&lt;&gt;"",N(L32)&lt;0)),IF(F32="Short","REVIEW — back above 50-day avg","REVIEW — below 50-day avg"),"HOLD"))))),IF(OR(AP32="Closed",AP32="Dropped"),"Closed",IF(AK32="A",IF(F32="Short","Run Technical Review — SHORT entry","Run Technical Review — LONG entry"),IF(AK32="B","Watch — wait for setup","Drop or re-check next week")))))</f>
        <v>Drop or re-check next week</v>
      </c>
      <c r="AV32" s="35" t="s">
        <v>249</v>
      </c>
      <c r="AX32" s="43" t="n">
        <f aca="false">IF(AND(C32&lt;&gt;"",A32=$C$4,ISNUMBER(AJ32)),AJ32+ROW()/100000,"")</f>
        <v>6.00032</v>
      </c>
    </row>
    <row r="33" customFormat="false" ht="15" hidden="false" customHeight="false" outlineLevel="0" collapsed="false">
      <c r="A33" s="19" t="n">
        <v>46316</v>
      </c>
      <c r="B33" s="35" t="s">
        <v>179</v>
      </c>
      <c r="C33" s="35" t="s">
        <v>215</v>
      </c>
      <c r="D33" s="35" t="s">
        <v>250</v>
      </c>
      <c r="E33" s="35" t="s">
        <v>182</v>
      </c>
      <c r="F33" s="35" t="s">
        <v>190</v>
      </c>
      <c r="G33" s="26" t="n">
        <v>552.72</v>
      </c>
      <c r="H33" s="26"/>
      <c r="I33" s="36" t="n">
        <v>22280195</v>
      </c>
      <c r="J33" s="37" t="n">
        <f aca="false">IF(OR(G33="",I33=""),"",G33*I33/1000000)</f>
        <v>12314.7093804</v>
      </c>
      <c r="K33" s="21" t="n">
        <v>-0.0772</v>
      </c>
      <c r="L33" s="21" t="n">
        <v>0.0215</v>
      </c>
      <c r="M33" s="21" t="n">
        <v>0.385</v>
      </c>
      <c r="N33" s="25" t="n">
        <v>45.07</v>
      </c>
      <c r="O33" s="21" t="n">
        <v>0.0241</v>
      </c>
      <c r="P33" s="21" t="n">
        <v>0.8214</v>
      </c>
      <c r="Q33" s="21" t="n">
        <v>-0.1607</v>
      </c>
      <c r="R33" s="21" t="n">
        <v>1.9366</v>
      </c>
      <c r="S33" s="38" t="n">
        <v>0.81</v>
      </c>
      <c r="T33" s="21" t="n">
        <v>0.819</v>
      </c>
      <c r="U33" s="21" t="n">
        <v>0.0242</v>
      </c>
      <c r="V33" s="19" t="n">
        <v>46329</v>
      </c>
      <c r="W33" s="26" t="n">
        <v>26.55</v>
      </c>
      <c r="X33" s="35" t="s">
        <v>191</v>
      </c>
      <c r="Y33" s="26" t="n">
        <v>523.55</v>
      </c>
      <c r="Z33" s="26" t="n">
        <v>576.65</v>
      </c>
      <c r="AA33" s="26" t="n">
        <v>364.25</v>
      </c>
      <c r="AB33" s="16" t="n">
        <f aca="false">IF(C33="","",IF(F33="Short",(AND(M33&lt;&gt;"",N(M33)&lt;0))+(AND(L33&lt;&gt;"",N(L33)&lt;0))+(AND(K33&lt;&gt;"",N(K33)&lt;0))+AND(L33&lt;&gt;"",M33&lt;&gt;"",N(M33)&lt;N(L33)),(N(M33)&gt;0)+(N(L33)&gt;0)+(N(K33)&gt;0)+AND(L33&lt;&gt;"",M33&lt;&gt;"",N(M33)&gt;N(L33))))</f>
        <v>1</v>
      </c>
      <c r="AC33" s="16" t="n">
        <f aca="false">IF(C33="","",IF(F33="Short",IF(N33="",0,IF(AND(N33&gt;=30,N33&lt;=50),2,IF(OR(AND(N33&gt;=25,N33&lt;30),AND(N33&gt;50,N33&lt;=60)),1,0)))+IF(P33="",0,IF(AND(IF(B33="JSE",$L$5,$L$4)&lt;&gt;"",P33&lt;IF(B33="JSE",$L$5,$L$4)),2,IF(P33&lt;0,1,0))),IF(N33="",0,IF(AND(N33&gt;=50,N33&lt;=70),2,IF(OR(AND(N33&gt;=40,N33&lt;50),AND(N33&gt;70,N33&lt;=75)),1,0)))+IF(P33="",0,IF(AND(IF(B33="JSE",$L$5,$L$4)&lt;&gt;"",P33&gt;IF(B33="JSE",$L$5,$L$4)),2,IF(P33&gt;0,1,0)))))</f>
        <v>2</v>
      </c>
      <c r="AD33" s="16" t="n">
        <f aca="false">IF(C33="","",IF(F33="Short",IF(R33="",0,IF(R33&lt;=0.1,2,IF(R33&lt;=0.25,1,0))),IF(Q33="",0,IF(Q33&gt;=-0.1,2,IF(Q33&gt;=-0.25,1,0)))))</f>
        <v>0</v>
      </c>
      <c r="AE33" s="16" t="n">
        <f aca="false">IF(C33="","",IF(J33="",0,IF(J33&gt;=IF(B33="JSE",$L$7,$L$6),2,IF(J33&gt;=IF(B33="JSE",$L$7,$L$6)/4,1,0))))</f>
        <v>2</v>
      </c>
      <c r="AF33" s="16" t="n">
        <f aca="false">IF(C33="","",IF(F33="Short",AND(T33&lt;&gt;"",N(T33)&lt;0),N(T33)&gt;0)+(N(S33)&gt;=1.5))</f>
        <v>0</v>
      </c>
      <c r="AG33" s="16" t="n">
        <f aca="false">IF(C33="","",IF(AL33="",0,IF(AL33&gt;=3,4,IF(AL33&gt;=2,2,0))))</f>
        <v>4</v>
      </c>
      <c r="AH33" s="16" t="n">
        <f aca="false">IF(C33="","",IF(AND(ISNUMBER(V33),ISNUMBER(A33),V33&gt;=A33,V33-A33&lt;=14),-2,0))</f>
        <v>-2</v>
      </c>
      <c r="AI33" s="16" t="n">
        <f aca="false">IF(C33="","",IF(AND(F33="Short",N(U33)&gt;=0.2),-1,0))</f>
        <v>0</v>
      </c>
      <c r="AJ33" s="23" t="n">
        <f aca="false">IF(C33="","",SUM(AB33:AI33))</f>
        <v>7</v>
      </c>
      <c r="AK33" s="24" t="str">
        <f aca="false">IF(C33="","",IF(AJ33&gt;=14,"A",IF(AJ33&gt;=10,"B","C")))</f>
        <v>C</v>
      </c>
      <c r="AL33" s="39" t="n">
        <f aca="false">IFERROR(IF(OR(Y33="",Z33="",AA33=""),"",IF(F33="Short",IF(Z33&lt;=Y33,"",(Y33-AA33)/(Z33-Y33)),IF(Y33&lt;=Z33,"",(AA33-Y33)/(Y33-Z33)))),"")</f>
        <v>3</v>
      </c>
      <c r="AM33" s="37" t="n">
        <f aca="false">IF(OR(Y33="",Z33="",N(Y33)=N(Z33)),"",IF(OR(AND(F33="Short",Z33&lt;Y33),AND(NOT(F33="Short"),Z33&gt;Y33)),"stop on wrong side",ABS(Y33-Z33)))</f>
        <v>53.1</v>
      </c>
      <c r="AN33" s="40" t="n">
        <f aca="false">IFERROR(IF(OR(NOT(ISNUMBER(AM33)),$C$6=""),"",ROUNDDOWN($C$6*$C$7/AM33,2)),"")</f>
        <v>0</v>
      </c>
      <c r="AO33" s="37" t="n">
        <f aca="false">IFERROR(IF(AN33="","",AN33*Y33),"")</f>
        <v>0</v>
      </c>
      <c r="AP33" s="35" t="s">
        <v>192</v>
      </c>
      <c r="AQ33" s="19"/>
      <c r="AR33" s="26"/>
      <c r="AS33" s="41" t="str">
        <f aca="false">IFERROR(IF(OR(AR33="",Y33="",AQ33=""),"",IF(F33="Short",1-AR33/Y33,AR33/Y33-1)),"")</f>
        <v/>
      </c>
      <c r="AT33" s="42" t="str">
        <f aca="true">IF(AQ33="","",IF(ISNUMBER($C$4),$C$4,TODAY())-AQ33)</f>
        <v/>
      </c>
      <c r="AU33" s="14" t="str">
        <f aca="false">IF(C33="","",IF(AP33="Open position",IF(IF(F33="Short",AND(ISNUMBER(AR33),ISNUMBER(Z33),AR33&gt;=Z33),AND(ISNUMBER(AR33),ISNUMBER(Z33),AR33&lt;=Z33)),IF(F33="Short","COVER — stop hit (buy back)","SELL — stop hit"),IF(IF(F33="Short",AND(ISNUMBER(AR33),ISNUMBER(AA33),AR33&lt;=AA33),AND(ISNUMBER(AR33),ISNUMBER(AA33),AR33&gt;=AA33)),"TAKE PROFIT — target hit",IF(AND(ISNUMBER(AT33),AT33&gt;182),IF(F33="Short","COVER — 6-month time limit","SELL — 6-month time limit"),IF(AND(ISNUMBER(AT33),AT33&gt;42,ISNUMBER(AS33),AS33&lt;0.02),"REVIEW — no progress after 6 weeks",IF(IF(F33="Short",AND(L33&lt;&gt;"",N(L33)&gt;0),AND(L33&lt;&gt;"",N(L33)&lt;0)),IF(F33="Short","REVIEW — back above 50-day avg","REVIEW — below 50-day avg"),"HOLD"))))),IF(OR(AP33="Closed",AP33="Dropped"),"Closed",IF(AK33="A",IF(F33="Short","Run Technical Review — SHORT entry","Run Technical Review — LONG entry"),IF(AK33="B","Watch — wait for setup","Drop or re-check next week")))))</f>
        <v>Drop or re-check next week</v>
      </c>
      <c r="AV33" s="35" t="s">
        <v>251</v>
      </c>
      <c r="AX33" s="43" t="n">
        <f aca="false">IF(AND(C33&lt;&gt;"",A33=$C$4,ISNUMBER(AJ33)),AJ33+ROW()/100000,"")</f>
        <v>7.00033</v>
      </c>
    </row>
    <row r="34" customFormat="false" ht="15" hidden="false" customHeight="false" outlineLevel="0" collapsed="false">
      <c r="A34" s="19" t="n">
        <v>46316</v>
      </c>
      <c r="B34" s="35" t="s">
        <v>179</v>
      </c>
      <c r="C34" s="35" t="s">
        <v>187</v>
      </c>
      <c r="D34" s="35" t="s">
        <v>252</v>
      </c>
      <c r="E34" s="35" t="s">
        <v>182</v>
      </c>
      <c r="F34" s="35" t="s">
        <v>190</v>
      </c>
      <c r="G34" s="26" t="n">
        <v>288.96</v>
      </c>
      <c r="H34" s="26"/>
      <c r="I34" s="36" t="n">
        <v>891537</v>
      </c>
      <c r="J34" s="37" t="n">
        <f aca="false">IF(OR(G34="",I34=""),"",G34*I34/1000000)</f>
        <v>257.61853152</v>
      </c>
      <c r="K34" s="21" t="n">
        <v>0.0053</v>
      </c>
      <c r="L34" s="21" t="n">
        <v>0.0035</v>
      </c>
      <c r="M34" s="21" t="n">
        <v>0.0862</v>
      </c>
      <c r="N34" s="25" t="n">
        <v>53.74</v>
      </c>
      <c r="O34" s="21" t="n">
        <v>-0.0303</v>
      </c>
      <c r="P34" s="21" t="n">
        <v>0.1049</v>
      </c>
      <c r="Q34" s="21" t="n">
        <v>-0.0577</v>
      </c>
      <c r="R34" s="21" t="n">
        <v>0.553</v>
      </c>
      <c r="S34" s="38" t="n">
        <v>2.87</v>
      </c>
      <c r="T34" s="21"/>
      <c r="U34" s="21" t="n">
        <v>0.0212</v>
      </c>
      <c r="V34" s="19" t="n">
        <v>46316</v>
      </c>
      <c r="W34" s="26" t="n">
        <v>7</v>
      </c>
      <c r="X34" s="35" t="s">
        <v>191</v>
      </c>
      <c r="Y34" s="26" t="n">
        <v>274.58</v>
      </c>
      <c r="Z34" s="26" t="n">
        <v>288.58</v>
      </c>
      <c r="AA34" s="26" t="n">
        <v>232.58</v>
      </c>
      <c r="AB34" s="16" t="n">
        <f aca="false">IF(C34="","",IF(F34="Short",(AND(M34&lt;&gt;"",N(M34)&lt;0))+(AND(L34&lt;&gt;"",N(L34)&lt;0))+(AND(K34&lt;&gt;"",N(K34)&lt;0))+AND(L34&lt;&gt;"",M34&lt;&gt;"",N(M34)&lt;N(L34)),(N(M34)&gt;0)+(N(L34)&gt;0)+(N(K34)&gt;0)+AND(L34&lt;&gt;"",M34&lt;&gt;"",N(M34)&gt;N(L34))))</f>
        <v>0</v>
      </c>
      <c r="AC34" s="16" t="n">
        <f aca="false">IF(C34="","",IF(F34="Short",IF(N34="",0,IF(AND(N34&gt;=30,N34&lt;=50),2,IF(OR(AND(N34&gt;=25,N34&lt;30),AND(N34&gt;50,N34&lt;=60)),1,0)))+IF(P34="",0,IF(AND(IF(B34="JSE",$L$5,$L$4)&lt;&gt;"",P34&lt;IF(B34="JSE",$L$5,$L$4)),2,IF(P34&lt;0,1,0))),IF(N34="",0,IF(AND(N34&gt;=50,N34&lt;=70),2,IF(OR(AND(N34&gt;=40,N34&lt;50),AND(N34&gt;70,N34&lt;=75)),1,0)))+IF(P34="",0,IF(AND(IF(B34="JSE",$L$5,$L$4)&lt;&gt;"",P34&gt;IF(B34="JSE",$L$5,$L$4)),2,IF(P34&gt;0,1,0)))))</f>
        <v>3</v>
      </c>
      <c r="AD34" s="16" t="n">
        <f aca="false">IF(C34="","",IF(F34="Short",IF(R34="",0,IF(R34&lt;=0.1,2,IF(R34&lt;=0.25,1,0))),IF(Q34="",0,IF(Q34&gt;=-0.1,2,IF(Q34&gt;=-0.25,1,0)))))</f>
        <v>0</v>
      </c>
      <c r="AE34" s="16" t="n">
        <f aca="false">IF(C34="","",IF(J34="",0,IF(J34&gt;=IF(B34="JSE",$L$7,$L$6),2,IF(J34&gt;=IF(B34="JSE",$L$7,$L$6)/4,1,0))))</f>
        <v>2</v>
      </c>
      <c r="AF34" s="16" t="n">
        <f aca="false">IF(C34="","",IF(F34="Short",AND(T34&lt;&gt;"",N(T34)&lt;0),N(T34)&gt;0)+(N(S34)&gt;=1.5))</f>
        <v>1</v>
      </c>
      <c r="AG34" s="16" t="n">
        <f aca="false">IF(C34="","",IF(AL34="",0,IF(AL34&gt;=3,4,IF(AL34&gt;=2,2,0))))</f>
        <v>4</v>
      </c>
      <c r="AH34" s="16" t="n">
        <f aca="false">IF(C34="","",IF(AND(ISNUMBER(V34),ISNUMBER(A34),V34&gt;=A34,V34-A34&lt;=14),-2,0))</f>
        <v>-2</v>
      </c>
      <c r="AI34" s="16" t="n">
        <f aca="false">IF(C34="","",IF(AND(F34="Short",N(U34)&gt;=0.2),-1,0))</f>
        <v>0</v>
      </c>
      <c r="AJ34" s="23" t="n">
        <f aca="false">IF(C34="","",SUM(AB34:AI34))</f>
        <v>8</v>
      </c>
      <c r="AK34" s="24" t="str">
        <f aca="false">IF(C34="","",IF(AJ34&gt;=14,"A",IF(AJ34&gt;=10,"B","C")))</f>
        <v>C</v>
      </c>
      <c r="AL34" s="39" t="n">
        <f aca="false">IFERROR(IF(OR(Y34="",Z34="",AA34=""),"",IF(F34="Short",IF(Z34&lt;=Y34,"",(Y34-AA34)/(Z34-Y34)),IF(Y34&lt;=Z34,"",(AA34-Y34)/(Y34-Z34)))),"")</f>
        <v>3</v>
      </c>
      <c r="AM34" s="37" t="n">
        <f aca="false">IF(OR(Y34="",Z34="",N(Y34)=N(Z34)),"",IF(OR(AND(F34="Short",Z34&lt;Y34),AND(NOT(F34="Short"),Z34&gt;Y34)),"stop on wrong side",ABS(Y34-Z34)))</f>
        <v>14</v>
      </c>
      <c r="AN34" s="40" t="n">
        <f aca="false">IFERROR(IF(OR(NOT(ISNUMBER(AM34)),$C$6=""),"",ROUNDDOWN($C$6*$C$7/AM34,2)),"")</f>
        <v>0.03</v>
      </c>
      <c r="AO34" s="37" t="n">
        <f aca="false">IFERROR(IF(AN34="","",AN34*Y34),"")</f>
        <v>8.2374</v>
      </c>
      <c r="AP34" s="35" t="s">
        <v>192</v>
      </c>
      <c r="AQ34" s="19"/>
      <c r="AR34" s="26"/>
      <c r="AS34" s="41" t="str">
        <f aca="false">IFERROR(IF(OR(AR34="",Y34="",AQ34=""),"",IF(F34="Short",1-AR34/Y34,AR34/Y34-1)),"")</f>
        <v/>
      </c>
      <c r="AT34" s="42" t="str">
        <f aca="true">IF(AQ34="","",IF(ISNUMBER($C$4),$C$4,TODAY())-AQ34)</f>
        <v/>
      </c>
      <c r="AU34" s="14" t="str">
        <f aca="false">IF(C34="","",IF(AP34="Open position",IF(IF(F34="Short",AND(ISNUMBER(AR34),ISNUMBER(Z34),AR34&gt;=Z34),AND(ISNUMBER(AR34),ISNUMBER(Z34),AR34&lt;=Z34)),IF(F34="Short","COVER — stop hit (buy back)","SELL — stop hit"),IF(IF(F34="Short",AND(ISNUMBER(AR34),ISNUMBER(AA34),AR34&lt;=AA34),AND(ISNUMBER(AR34),ISNUMBER(AA34),AR34&gt;=AA34)),"TAKE PROFIT — target hit",IF(AND(ISNUMBER(AT34),AT34&gt;182),IF(F34="Short","COVER — 6-month time limit","SELL — 6-month time limit"),IF(AND(ISNUMBER(AT34),AT34&gt;42,ISNUMBER(AS34),AS34&lt;0.02),"REVIEW — no progress after 6 weeks",IF(IF(F34="Short",AND(L34&lt;&gt;"",N(L34)&gt;0),AND(L34&lt;&gt;"",N(L34)&lt;0)),IF(F34="Short","REVIEW — back above 50-day avg","REVIEW — below 50-day avg"),"HOLD"))))),IF(OR(AP34="Closed",AP34="Dropped"),"Closed",IF(AK34="A",IF(F34="Short","Run Technical Review — SHORT entry","Run Technical Review — LONG entry"),IF(AK34="B","Watch — wait for setup","Drop or re-check next week")))))</f>
        <v>Drop or re-check next week</v>
      </c>
      <c r="AV34" s="35" t="s">
        <v>253</v>
      </c>
      <c r="AX34" s="43" t="n">
        <f aca="false">IF(AND(C34&lt;&gt;"",A34=$C$4,ISNUMBER(AJ34)),AJ34+ROW()/100000,"")</f>
        <v>8.00034</v>
      </c>
    </row>
    <row r="35" customFormat="false" ht="15" hidden="false" customHeight="false" outlineLevel="0" collapsed="false">
      <c r="A35" s="19"/>
      <c r="B35" s="35"/>
      <c r="C35" s="35"/>
      <c r="D35" s="35"/>
      <c r="E35" s="35"/>
      <c r="F35" s="35"/>
      <c r="G35" s="26"/>
      <c r="H35" s="26"/>
      <c r="I35" s="36"/>
      <c r="J35" s="37" t="str">
        <f aca="false">IF(OR(G35="",I35=""),"",G35*I35/1000000)</f>
        <v/>
      </c>
      <c r="K35" s="21"/>
      <c r="L35" s="21"/>
      <c r="M35" s="21"/>
      <c r="N35" s="25"/>
      <c r="O35" s="21"/>
      <c r="P35" s="21"/>
      <c r="Q35" s="21"/>
      <c r="R35" s="21"/>
      <c r="S35" s="38"/>
      <c r="T35" s="21"/>
      <c r="U35" s="21"/>
      <c r="V35" s="19"/>
      <c r="W35" s="26"/>
      <c r="X35" s="35"/>
      <c r="Y35" s="26"/>
      <c r="Z35" s="26"/>
      <c r="AA35" s="26"/>
      <c r="AB35" s="16" t="str">
        <f aca="false">IF(C35="","",IF(F35="Short",(AND(M35&lt;&gt;"",N(M35)&lt;0))+(AND(L35&lt;&gt;"",N(L35)&lt;0))+(AND(K35&lt;&gt;"",N(K35)&lt;0))+AND(L35&lt;&gt;"",M35&lt;&gt;"",N(M35)&lt;N(L35)),(N(M35)&gt;0)+(N(L35)&gt;0)+(N(K35)&gt;0)+AND(L35&lt;&gt;"",M35&lt;&gt;"",N(M35)&gt;N(L35))))</f>
        <v/>
      </c>
      <c r="AC35" s="16" t="str">
        <f aca="false">IF(C35="","",IF(F35="Short",IF(N35="",0,IF(AND(N35&gt;=30,N35&lt;=50),2,IF(OR(AND(N35&gt;=25,N35&lt;30),AND(N35&gt;50,N35&lt;=60)),1,0)))+IF(P35="",0,IF(AND(IF(B35="JSE",$L$5,$L$4)&lt;&gt;"",P35&lt;IF(B35="JSE",$L$5,$L$4)),2,IF(P35&lt;0,1,0))),IF(N35="",0,IF(AND(N35&gt;=50,N35&lt;=70),2,IF(OR(AND(N35&gt;=40,N35&lt;50),AND(N35&gt;70,N35&lt;=75)),1,0)))+IF(P35="",0,IF(AND(IF(B35="JSE",$L$5,$L$4)&lt;&gt;"",P35&gt;IF(B35="JSE",$L$5,$L$4)),2,IF(P35&gt;0,1,0)))))</f>
        <v/>
      </c>
      <c r="AD35" s="16" t="str">
        <f aca="false">IF(C35="","",IF(F35="Short",IF(R35="",0,IF(R35&lt;=0.1,2,IF(R35&lt;=0.25,1,0))),IF(Q35="",0,IF(Q35&gt;=-0.1,2,IF(Q35&gt;=-0.25,1,0)))))</f>
        <v/>
      </c>
      <c r="AE35" s="16" t="str">
        <f aca="false">IF(C35="","",IF(J35="",0,IF(J35&gt;=IF(B35="JSE",$L$7,$L$6),2,IF(J35&gt;=IF(B35="JSE",$L$7,$L$6)/4,1,0))))</f>
        <v/>
      </c>
      <c r="AF35" s="16" t="str">
        <f aca="false">IF(C35="","",IF(F35="Short",AND(T35&lt;&gt;"",N(T35)&lt;0),N(T35)&gt;0)+(N(S35)&gt;=1.5))</f>
        <v/>
      </c>
      <c r="AG35" s="16" t="str">
        <f aca="false">IF(C35="","",IF(AL35="",0,IF(AL35&gt;=3,4,IF(AL35&gt;=2,2,0))))</f>
        <v/>
      </c>
      <c r="AH35" s="16" t="str">
        <f aca="false">IF(C35="","",IF(AND(ISNUMBER(V35),ISNUMBER(A35),V35&gt;=A35,V35-A35&lt;=14),-2,0))</f>
        <v/>
      </c>
      <c r="AI35" s="16" t="str">
        <f aca="false">IF(C35="","",IF(AND(F35="Short",N(U35)&gt;=0.2),-1,0))</f>
        <v/>
      </c>
      <c r="AJ35" s="23" t="str">
        <f aca="false">IF(C35="","",SUM(AB35:AI35))</f>
        <v/>
      </c>
      <c r="AK35" s="24" t="str">
        <f aca="false">IF(C35="","",IF(AJ35&gt;=14,"A",IF(AJ35&gt;=10,"B","C")))</f>
        <v/>
      </c>
      <c r="AL35" s="39" t="str">
        <f aca="false">IFERROR(IF(OR(Y35="",Z35="",AA35=""),"",IF(F35="Short",IF(Z35&lt;=Y35,"",(Y35-AA35)/(Z35-Y35)),IF(Y35&lt;=Z35,"",(AA35-Y35)/(Y35-Z35)))),"")</f>
        <v/>
      </c>
      <c r="AM35" s="37" t="str">
        <f aca="false">IF(OR(Y35="",Z35="",N(Y35)=N(Z35)),"",IF(OR(AND(F35="Short",Z35&lt;Y35),AND(NOT(F35="Short"),Z35&gt;Y35)),"stop on wrong side",ABS(Y35-Z35)))</f>
        <v/>
      </c>
      <c r="AN35" s="40" t="str">
        <f aca="false">IFERROR(IF(OR(NOT(ISNUMBER(AM35)),$C$6=""),"",ROUNDDOWN($C$6*$C$7/AM35,2)),"")</f>
        <v/>
      </c>
      <c r="AO35" s="37" t="str">
        <f aca="false">IFERROR(IF(AN35="","",AN35*Y35),"")</f>
        <v/>
      </c>
      <c r="AP35" s="35"/>
      <c r="AQ35" s="19"/>
      <c r="AR35" s="26"/>
      <c r="AS35" s="41" t="str">
        <f aca="false">IFERROR(IF(OR(AR35="",Y35="",AQ35=""),"",IF(F35="Short",1-AR35/Y35,AR35/Y35-1)),"")</f>
        <v/>
      </c>
      <c r="AT35" s="42" t="str">
        <f aca="true">IF(AQ35="","",IF(ISNUMBER($C$4),$C$4,TODAY())-AQ35)</f>
        <v/>
      </c>
      <c r="AU35" s="14" t="str">
        <f aca="false">IF(C35="","",IF(AP35="Open position",IF(IF(F35="Short",AND(ISNUMBER(AR35),ISNUMBER(Z35),AR35&gt;=Z35),AND(ISNUMBER(AR35),ISNUMBER(Z35),AR35&lt;=Z35)),IF(F35="Short","COVER — stop hit (buy back)","SELL — stop hit"),IF(IF(F35="Short",AND(ISNUMBER(AR35),ISNUMBER(AA35),AR35&lt;=AA35),AND(ISNUMBER(AR35),ISNUMBER(AA35),AR35&gt;=AA35)),"TAKE PROFIT — target hit",IF(AND(ISNUMBER(AT35),AT35&gt;182),IF(F35="Short","COVER — 6-month time limit","SELL — 6-month time limit"),IF(AND(ISNUMBER(AT35),AT35&gt;42,ISNUMBER(AS35),AS35&lt;0.02),"REVIEW — no progress after 6 weeks",IF(IF(F35="Short",AND(L35&lt;&gt;"",N(L35)&gt;0),AND(L35&lt;&gt;"",N(L35)&lt;0)),IF(F35="Short","REVIEW — back above 50-day avg","REVIEW — below 50-day avg"),"HOLD"))))),IF(OR(AP35="Closed",AP35="Dropped"),"Closed",IF(AK35="A",IF(F35="Short","Run Technical Review — SHORT entry","Run Technical Review — LONG entry"),IF(AK35="B","Watch — wait for setup","Drop or re-check next week")))))</f>
        <v/>
      </c>
      <c r="AV35" s="35"/>
      <c r="AX35" s="43" t="str">
        <f aca="false">IF(AND(C35&lt;&gt;"",A35=$C$4,ISNUMBER(AJ35)),AJ35+ROW()/100000,"")</f>
        <v/>
      </c>
    </row>
    <row r="36" customFormat="false" ht="15" hidden="false" customHeight="false" outlineLevel="0" collapsed="false">
      <c r="A36" s="19"/>
      <c r="B36" s="35"/>
      <c r="C36" s="35"/>
      <c r="D36" s="35"/>
      <c r="E36" s="35"/>
      <c r="F36" s="35"/>
      <c r="G36" s="26"/>
      <c r="H36" s="26"/>
      <c r="I36" s="36"/>
      <c r="J36" s="37" t="str">
        <f aca="false">IF(OR(G36="",I36=""),"",G36*I36/1000000)</f>
        <v/>
      </c>
      <c r="K36" s="21"/>
      <c r="L36" s="21"/>
      <c r="M36" s="21"/>
      <c r="N36" s="25"/>
      <c r="O36" s="21"/>
      <c r="P36" s="21"/>
      <c r="Q36" s="21"/>
      <c r="R36" s="21"/>
      <c r="S36" s="38"/>
      <c r="T36" s="21"/>
      <c r="U36" s="21"/>
      <c r="V36" s="19"/>
      <c r="W36" s="26"/>
      <c r="X36" s="35"/>
      <c r="Y36" s="26"/>
      <c r="Z36" s="26"/>
      <c r="AA36" s="26"/>
      <c r="AB36" s="16" t="str">
        <f aca="false">IF(C36="","",IF(F36="Short",(AND(M36&lt;&gt;"",N(M36)&lt;0))+(AND(L36&lt;&gt;"",N(L36)&lt;0))+(AND(K36&lt;&gt;"",N(K36)&lt;0))+AND(L36&lt;&gt;"",M36&lt;&gt;"",N(M36)&lt;N(L36)),(N(M36)&gt;0)+(N(L36)&gt;0)+(N(K36)&gt;0)+AND(L36&lt;&gt;"",M36&lt;&gt;"",N(M36)&gt;N(L36))))</f>
        <v/>
      </c>
      <c r="AC36" s="16" t="str">
        <f aca="false">IF(C36="","",IF(F36="Short",IF(N36="",0,IF(AND(N36&gt;=30,N36&lt;=50),2,IF(OR(AND(N36&gt;=25,N36&lt;30),AND(N36&gt;50,N36&lt;=60)),1,0)))+IF(P36="",0,IF(AND(IF(B36="JSE",$L$5,$L$4)&lt;&gt;"",P36&lt;IF(B36="JSE",$L$5,$L$4)),2,IF(P36&lt;0,1,0))),IF(N36="",0,IF(AND(N36&gt;=50,N36&lt;=70),2,IF(OR(AND(N36&gt;=40,N36&lt;50),AND(N36&gt;70,N36&lt;=75)),1,0)))+IF(P36="",0,IF(AND(IF(B36="JSE",$L$5,$L$4)&lt;&gt;"",P36&gt;IF(B36="JSE",$L$5,$L$4)),2,IF(P36&gt;0,1,0)))))</f>
        <v/>
      </c>
      <c r="AD36" s="16" t="str">
        <f aca="false">IF(C36="","",IF(F36="Short",IF(R36="",0,IF(R36&lt;=0.1,2,IF(R36&lt;=0.25,1,0))),IF(Q36="",0,IF(Q36&gt;=-0.1,2,IF(Q36&gt;=-0.25,1,0)))))</f>
        <v/>
      </c>
      <c r="AE36" s="16" t="str">
        <f aca="false">IF(C36="","",IF(J36="",0,IF(J36&gt;=IF(B36="JSE",$L$7,$L$6),2,IF(J36&gt;=IF(B36="JSE",$L$7,$L$6)/4,1,0))))</f>
        <v/>
      </c>
      <c r="AF36" s="16" t="str">
        <f aca="false">IF(C36="","",IF(F36="Short",AND(T36&lt;&gt;"",N(T36)&lt;0),N(T36)&gt;0)+(N(S36)&gt;=1.5))</f>
        <v/>
      </c>
      <c r="AG36" s="16" t="str">
        <f aca="false">IF(C36="","",IF(AL36="",0,IF(AL36&gt;=3,4,IF(AL36&gt;=2,2,0))))</f>
        <v/>
      </c>
      <c r="AH36" s="16" t="str">
        <f aca="false">IF(C36="","",IF(AND(ISNUMBER(V36),ISNUMBER(A36),V36&gt;=A36,V36-A36&lt;=14),-2,0))</f>
        <v/>
      </c>
      <c r="AI36" s="16" t="str">
        <f aca="false">IF(C36="","",IF(AND(F36="Short",N(U36)&gt;=0.2),-1,0))</f>
        <v/>
      </c>
      <c r="AJ36" s="23" t="str">
        <f aca="false">IF(C36="","",SUM(AB36:AI36))</f>
        <v/>
      </c>
      <c r="AK36" s="24" t="str">
        <f aca="false">IF(C36="","",IF(AJ36&gt;=14,"A",IF(AJ36&gt;=10,"B","C")))</f>
        <v/>
      </c>
      <c r="AL36" s="39" t="str">
        <f aca="false">IFERROR(IF(OR(Y36="",Z36="",AA36=""),"",IF(F36="Short",IF(Z36&lt;=Y36,"",(Y36-AA36)/(Z36-Y36)),IF(Y36&lt;=Z36,"",(AA36-Y36)/(Y36-Z36)))),"")</f>
        <v/>
      </c>
      <c r="AM36" s="37" t="str">
        <f aca="false">IF(OR(Y36="",Z36="",N(Y36)=N(Z36)),"",IF(OR(AND(F36="Short",Z36&lt;Y36),AND(NOT(F36="Short"),Z36&gt;Y36)),"stop on wrong side",ABS(Y36-Z36)))</f>
        <v/>
      </c>
      <c r="AN36" s="40" t="str">
        <f aca="false">IFERROR(IF(OR(NOT(ISNUMBER(AM36)),$C$6=""),"",ROUNDDOWN($C$6*$C$7/AM36,2)),"")</f>
        <v/>
      </c>
      <c r="AO36" s="37" t="str">
        <f aca="false">IFERROR(IF(AN36="","",AN36*Y36),"")</f>
        <v/>
      </c>
      <c r="AP36" s="35"/>
      <c r="AQ36" s="19"/>
      <c r="AR36" s="26"/>
      <c r="AS36" s="41" t="str">
        <f aca="false">IFERROR(IF(OR(AR36="",Y36="",AQ36=""),"",IF(F36="Short",1-AR36/Y36,AR36/Y36-1)),"")</f>
        <v/>
      </c>
      <c r="AT36" s="42" t="str">
        <f aca="true">IF(AQ36="","",IF(ISNUMBER($C$4),$C$4,TODAY())-AQ36)</f>
        <v/>
      </c>
      <c r="AU36" s="14" t="str">
        <f aca="false">IF(C36="","",IF(AP36="Open position",IF(IF(F36="Short",AND(ISNUMBER(AR36),ISNUMBER(Z36),AR36&gt;=Z36),AND(ISNUMBER(AR36),ISNUMBER(Z36),AR36&lt;=Z36)),IF(F36="Short","COVER — stop hit (buy back)","SELL — stop hit"),IF(IF(F36="Short",AND(ISNUMBER(AR36),ISNUMBER(AA36),AR36&lt;=AA36),AND(ISNUMBER(AR36),ISNUMBER(AA36),AR36&gt;=AA36)),"TAKE PROFIT — target hit",IF(AND(ISNUMBER(AT36),AT36&gt;182),IF(F36="Short","COVER — 6-month time limit","SELL — 6-month time limit"),IF(AND(ISNUMBER(AT36),AT36&gt;42,ISNUMBER(AS36),AS36&lt;0.02),"REVIEW — no progress after 6 weeks",IF(IF(F36="Short",AND(L36&lt;&gt;"",N(L36)&gt;0),AND(L36&lt;&gt;"",N(L36)&lt;0)),IF(F36="Short","REVIEW — back above 50-day avg","REVIEW — below 50-day avg"),"HOLD"))))),IF(OR(AP36="Closed",AP36="Dropped"),"Closed",IF(AK36="A",IF(F36="Short","Run Technical Review — SHORT entry","Run Technical Review — LONG entry"),IF(AK36="B","Watch — wait for setup","Drop or re-check next week")))))</f>
        <v/>
      </c>
      <c r="AV36" s="35"/>
      <c r="AX36" s="43" t="str">
        <f aca="false">IF(AND(C36&lt;&gt;"",A36=$C$4,ISNUMBER(AJ36)),AJ36+ROW()/100000,"")</f>
        <v/>
      </c>
    </row>
    <row r="37" customFormat="false" ht="15" hidden="false" customHeight="false" outlineLevel="0" collapsed="false">
      <c r="A37" s="19"/>
      <c r="B37" s="35"/>
      <c r="C37" s="35"/>
      <c r="D37" s="35"/>
      <c r="E37" s="35"/>
      <c r="F37" s="35"/>
      <c r="G37" s="26"/>
      <c r="H37" s="26"/>
      <c r="I37" s="36"/>
      <c r="J37" s="37" t="str">
        <f aca="false">IF(OR(G37="",I37=""),"",G37*I37/1000000)</f>
        <v/>
      </c>
      <c r="K37" s="21"/>
      <c r="L37" s="21"/>
      <c r="M37" s="21"/>
      <c r="N37" s="25"/>
      <c r="O37" s="21"/>
      <c r="P37" s="21"/>
      <c r="Q37" s="21"/>
      <c r="R37" s="21"/>
      <c r="S37" s="38"/>
      <c r="T37" s="21"/>
      <c r="U37" s="21"/>
      <c r="V37" s="19"/>
      <c r="W37" s="26"/>
      <c r="X37" s="35"/>
      <c r="Y37" s="26"/>
      <c r="Z37" s="26"/>
      <c r="AA37" s="26"/>
      <c r="AB37" s="16" t="str">
        <f aca="false">IF(C37="","",IF(F37="Short",(AND(M37&lt;&gt;"",N(M37)&lt;0))+(AND(L37&lt;&gt;"",N(L37)&lt;0))+(AND(K37&lt;&gt;"",N(K37)&lt;0))+AND(L37&lt;&gt;"",M37&lt;&gt;"",N(M37)&lt;N(L37)),(N(M37)&gt;0)+(N(L37)&gt;0)+(N(K37)&gt;0)+AND(L37&lt;&gt;"",M37&lt;&gt;"",N(M37)&gt;N(L37))))</f>
        <v/>
      </c>
      <c r="AC37" s="16" t="str">
        <f aca="false">IF(C37="","",IF(F37="Short",IF(N37="",0,IF(AND(N37&gt;=30,N37&lt;=50),2,IF(OR(AND(N37&gt;=25,N37&lt;30),AND(N37&gt;50,N37&lt;=60)),1,0)))+IF(P37="",0,IF(AND(IF(B37="JSE",$L$5,$L$4)&lt;&gt;"",P37&lt;IF(B37="JSE",$L$5,$L$4)),2,IF(P37&lt;0,1,0))),IF(N37="",0,IF(AND(N37&gt;=50,N37&lt;=70),2,IF(OR(AND(N37&gt;=40,N37&lt;50),AND(N37&gt;70,N37&lt;=75)),1,0)))+IF(P37="",0,IF(AND(IF(B37="JSE",$L$5,$L$4)&lt;&gt;"",P37&gt;IF(B37="JSE",$L$5,$L$4)),2,IF(P37&gt;0,1,0)))))</f>
        <v/>
      </c>
      <c r="AD37" s="16" t="str">
        <f aca="false">IF(C37="","",IF(F37="Short",IF(R37="",0,IF(R37&lt;=0.1,2,IF(R37&lt;=0.25,1,0))),IF(Q37="",0,IF(Q37&gt;=-0.1,2,IF(Q37&gt;=-0.25,1,0)))))</f>
        <v/>
      </c>
      <c r="AE37" s="16" t="str">
        <f aca="false">IF(C37="","",IF(J37="",0,IF(J37&gt;=IF(B37="JSE",$L$7,$L$6),2,IF(J37&gt;=IF(B37="JSE",$L$7,$L$6)/4,1,0))))</f>
        <v/>
      </c>
      <c r="AF37" s="16" t="str">
        <f aca="false">IF(C37="","",IF(F37="Short",AND(T37&lt;&gt;"",N(T37)&lt;0),N(T37)&gt;0)+(N(S37)&gt;=1.5))</f>
        <v/>
      </c>
      <c r="AG37" s="16" t="str">
        <f aca="false">IF(C37="","",IF(AL37="",0,IF(AL37&gt;=3,4,IF(AL37&gt;=2,2,0))))</f>
        <v/>
      </c>
      <c r="AH37" s="16" t="str">
        <f aca="false">IF(C37="","",IF(AND(ISNUMBER(V37),ISNUMBER(A37),V37&gt;=A37,V37-A37&lt;=14),-2,0))</f>
        <v/>
      </c>
      <c r="AI37" s="16" t="str">
        <f aca="false">IF(C37="","",IF(AND(F37="Short",N(U37)&gt;=0.2),-1,0))</f>
        <v/>
      </c>
      <c r="AJ37" s="23" t="str">
        <f aca="false">IF(C37="","",SUM(AB37:AI37))</f>
        <v/>
      </c>
      <c r="AK37" s="24" t="str">
        <f aca="false">IF(C37="","",IF(AJ37&gt;=14,"A",IF(AJ37&gt;=10,"B","C")))</f>
        <v/>
      </c>
      <c r="AL37" s="39" t="str">
        <f aca="false">IFERROR(IF(OR(Y37="",Z37="",AA37=""),"",IF(F37="Short",IF(Z37&lt;=Y37,"",(Y37-AA37)/(Z37-Y37)),IF(Y37&lt;=Z37,"",(AA37-Y37)/(Y37-Z37)))),"")</f>
        <v/>
      </c>
      <c r="AM37" s="37" t="str">
        <f aca="false">IF(OR(Y37="",Z37="",N(Y37)=N(Z37)),"",IF(OR(AND(F37="Short",Z37&lt;Y37),AND(NOT(F37="Short"),Z37&gt;Y37)),"stop on wrong side",ABS(Y37-Z37)))</f>
        <v/>
      </c>
      <c r="AN37" s="40" t="str">
        <f aca="false">IFERROR(IF(OR(NOT(ISNUMBER(AM37)),$C$6=""),"",ROUNDDOWN($C$6*$C$7/AM37,2)),"")</f>
        <v/>
      </c>
      <c r="AO37" s="37" t="str">
        <f aca="false">IFERROR(IF(AN37="","",AN37*Y37),"")</f>
        <v/>
      </c>
      <c r="AP37" s="35"/>
      <c r="AQ37" s="19"/>
      <c r="AR37" s="26"/>
      <c r="AS37" s="41" t="str">
        <f aca="false">IFERROR(IF(OR(AR37="",Y37="",AQ37=""),"",IF(F37="Short",1-AR37/Y37,AR37/Y37-1)),"")</f>
        <v/>
      </c>
      <c r="AT37" s="42" t="str">
        <f aca="true">IF(AQ37="","",IF(ISNUMBER($C$4),$C$4,TODAY())-AQ37)</f>
        <v/>
      </c>
      <c r="AU37" s="14" t="str">
        <f aca="false">IF(C37="","",IF(AP37="Open position",IF(IF(F37="Short",AND(ISNUMBER(AR37),ISNUMBER(Z37),AR37&gt;=Z37),AND(ISNUMBER(AR37),ISNUMBER(Z37),AR37&lt;=Z37)),IF(F37="Short","COVER — stop hit (buy back)","SELL — stop hit"),IF(IF(F37="Short",AND(ISNUMBER(AR37),ISNUMBER(AA37),AR37&lt;=AA37),AND(ISNUMBER(AR37),ISNUMBER(AA37),AR37&gt;=AA37)),"TAKE PROFIT — target hit",IF(AND(ISNUMBER(AT37),AT37&gt;182),IF(F37="Short","COVER — 6-month time limit","SELL — 6-month time limit"),IF(AND(ISNUMBER(AT37),AT37&gt;42,ISNUMBER(AS37),AS37&lt;0.02),"REVIEW — no progress after 6 weeks",IF(IF(F37="Short",AND(L37&lt;&gt;"",N(L37)&gt;0),AND(L37&lt;&gt;"",N(L37)&lt;0)),IF(F37="Short","REVIEW — back above 50-day avg","REVIEW — below 50-day avg"),"HOLD"))))),IF(OR(AP37="Closed",AP37="Dropped"),"Closed",IF(AK37="A",IF(F37="Short","Run Technical Review — SHORT entry","Run Technical Review — LONG entry"),IF(AK37="B","Watch — wait for setup","Drop or re-check next week")))))</f>
        <v/>
      </c>
      <c r="AV37" s="35"/>
      <c r="AX37" s="43" t="str">
        <f aca="false">IF(AND(C37&lt;&gt;"",A37=$C$4,ISNUMBER(AJ37)),AJ37+ROW()/100000,"")</f>
        <v/>
      </c>
    </row>
    <row r="38" customFormat="false" ht="15" hidden="false" customHeight="false" outlineLevel="0" collapsed="false">
      <c r="A38" s="19"/>
      <c r="B38" s="35"/>
      <c r="C38" s="35"/>
      <c r="D38" s="35"/>
      <c r="E38" s="35"/>
      <c r="F38" s="35"/>
      <c r="G38" s="26"/>
      <c r="H38" s="26"/>
      <c r="I38" s="36"/>
      <c r="J38" s="37" t="str">
        <f aca="false">IF(OR(G38="",I38=""),"",G38*I38/1000000)</f>
        <v/>
      </c>
      <c r="K38" s="21"/>
      <c r="L38" s="21"/>
      <c r="M38" s="21"/>
      <c r="N38" s="25"/>
      <c r="O38" s="21"/>
      <c r="P38" s="21"/>
      <c r="Q38" s="21"/>
      <c r="R38" s="21"/>
      <c r="S38" s="38"/>
      <c r="T38" s="21"/>
      <c r="U38" s="21"/>
      <c r="V38" s="19"/>
      <c r="W38" s="26"/>
      <c r="X38" s="35"/>
      <c r="Y38" s="26"/>
      <c r="Z38" s="26"/>
      <c r="AA38" s="26"/>
      <c r="AB38" s="16" t="str">
        <f aca="false">IF(C38="","",IF(F38="Short",(AND(M38&lt;&gt;"",N(M38)&lt;0))+(AND(L38&lt;&gt;"",N(L38)&lt;0))+(AND(K38&lt;&gt;"",N(K38)&lt;0))+AND(L38&lt;&gt;"",M38&lt;&gt;"",N(M38)&lt;N(L38)),(N(M38)&gt;0)+(N(L38)&gt;0)+(N(K38)&gt;0)+AND(L38&lt;&gt;"",M38&lt;&gt;"",N(M38)&gt;N(L38))))</f>
        <v/>
      </c>
      <c r="AC38" s="16" t="str">
        <f aca="false">IF(C38="","",IF(F38="Short",IF(N38="",0,IF(AND(N38&gt;=30,N38&lt;=50),2,IF(OR(AND(N38&gt;=25,N38&lt;30),AND(N38&gt;50,N38&lt;=60)),1,0)))+IF(P38="",0,IF(AND(IF(B38="JSE",$L$5,$L$4)&lt;&gt;"",P38&lt;IF(B38="JSE",$L$5,$L$4)),2,IF(P38&lt;0,1,0))),IF(N38="",0,IF(AND(N38&gt;=50,N38&lt;=70),2,IF(OR(AND(N38&gt;=40,N38&lt;50),AND(N38&gt;70,N38&lt;=75)),1,0)))+IF(P38="",0,IF(AND(IF(B38="JSE",$L$5,$L$4)&lt;&gt;"",P38&gt;IF(B38="JSE",$L$5,$L$4)),2,IF(P38&gt;0,1,0)))))</f>
        <v/>
      </c>
      <c r="AD38" s="16" t="str">
        <f aca="false">IF(C38="","",IF(F38="Short",IF(R38="",0,IF(R38&lt;=0.1,2,IF(R38&lt;=0.25,1,0))),IF(Q38="",0,IF(Q38&gt;=-0.1,2,IF(Q38&gt;=-0.25,1,0)))))</f>
        <v/>
      </c>
      <c r="AE38" s="16" t="str">
        <f aca="false">IF(C38="","",IF(J38="",0,IF(J38&gt;=IF(B38="JSE",$L$7,$L$6),2,IF(J38&gt;=IF(B38="JSE",$L$7,$L$6)/4,1,0))))</f>
        <v/>
      </c>
      <c r="AF38" s="16" t="str">
        <f aca="false">IF(C38="","",IF(F38="Short",AND(T38&lt;&gt;"",N(T38)&lt;0),N(T38)&gt;0)+(N(S38)&gt;=1.5))</f>
        <v/>
      </c>
      <c r="AG38" s="16" t="str">
        <f aca="false">IF(C38="","",IF(AL38="",0,IF(AL38&gt;=3,4,IF(AL38&gt;=2,2,0))))</f>
        <v/>
      </c>
      <c r="AH38" s="16" t="str">
        <f aca="false">IF(C38="","",IF(AND(ISNUMBER(V38),ISNUMBER(A38),V38&gt;=A38,V38-A38&lt;=14),-2,0))</f>
        <v/>
      </c>
      <c r="AI38" s="16" t="str">
        <f aca="false">IF(C38="","",IF(AND(F38="Short",N(U38)&gt;=0.2),-1,0))</f>
        <v/>
      </c>
      <c r="AJ38" s="23" t="str">
        <f aca="false">IF(C38="","",SUM(AB38:AI38))</f>
        <v/>
      </c>
      <c r="AK38" s="24" t="str">
        <f aca="false">IF(C38="","",IF(AJ38&gt;=14,"A",IF(AJ38&gt;=10,"B","C")))</f>
        <v/>
      </c>
      <c r="AL38" s="39" t="str">
        <f aca="false">IFERROR(IF(OR(Y38="",Z38="",AA38=""),"",IF(F38="Short",IF(Z38&lt;=Y38,"",(Y38-AA38)/(Z38-Y38)),IF(Y38&lt;=Z38,"",(AA38-Y38)/(Y38-Z38)))),"")</f>
        <v/>
      </c>
      <c r="AM38" s="37" t="str">
        <f aca="false">IF(OR(Y38="",Z38="",N(Y38)=N(Z38)),"",IF(OR(AND(F38="Short",Z38&lt;Y38),AND(NOT(F38="Short"),Z38&gt;Y38)),"stop on wrong side",ABS(Y38-Z38)))</f>
        <v/>
      </c>
      <c r="AN38" s="40" t="str">
        <f aca="false">IFERROR(IF(OR(NOT(ISNUMBER(AM38)),$C$6=""),"",ROUNDDOWN($C$6*$C$7/AM38,2)),"")</f>
        <v/>
      </c>
      <c r="AO38" s="37" t="str">
        <f aca="false">IFERROR(IF(AN38="","",AN38*Y38),"")</f>
        <v/>
      </c>
      <c r="AP38" s="35"/>
      <c r="AQ38" s="19"/>
      <c r="AR38" s="26"/>
      <c r="AS38" s="41" t="str">
        <f aca="false">IFERROR(IF(OR(AR38="",Y38="",AQ38=""),"",IF(F38="Short",1-AR38/Y38,AR38/Y38-1)),"")</f>
        <v/>
      </c>
      <c r="AT38" s="42" t="str">
        <f aca="true">IF(AQ38="","",IF(ISNUMBER($C$4),$C$4,TODAY())-AQ38)</f>
        <v/>
      </c>
      <c r="AU38" s="14" t="str">
        <f aca="false">IF(C38="","",IF(AP38="Open position",IF(IF(F38="Short",AND(ISNUMBER(AR38),ISNUMBER(Z38),AR38&gt;=Z38),AND(ISNUMBER(AR38),ISNUMBER(Z38),AR38&lt;=Z38)),IF(F38="Short","COVER — stop hit (buy back)","SELL — stop hit"),IF(IF(F38="Short",AND(ISNUMBER(AR38),ISNUMBER(AA38),AR38&lt;=AA38),AND(ISNUMBER(AR38),ISNUMBER(AA38),AR38&gt;=AA38)),"TAKE PROFIT — target hit",IF(AND(ISNUMBER(AT38),AT38&gt;182),IF(F38="Short","COVER — 6-month time limit","SELL — 6-month time limit"),IF(AND(ISNUMBER(AT38),AT38&gt;42,ISNUMBER(AS38),AS38&lt;0.02),"REVIEW — no progress after 6 weeks",IF(IF(F38="Short",AND(L38&lt;&gt;"",N(L38)&gt;0),AND(L38&lt;&gt;"",N(L38)&lt;0)),IF(F38="Short","REVIEW — back above 50-day avg","REVIEW — below 50-day avg"),"HOLD"))))),IF(OR(AP38="Closed",AP38="Dropped"),"Closed",IF(AK38="A",IF(F38="Short","Run Technical Review — SHORT entry","Run Technical Review — LONG entry"),IF(AK38="B","Watch — wait for setup","Drop or re-check next week")))))</f>
        <v/>
      </c>
      <c r="AV38" s="35"/>
      <c r="AX38" s="43" t="str">
        <f aca="false">IF(AND(C38&lt;&gt;"",A38=$C$4,ISNUMBER(AJ38)),AJ38+ROW()/100000,"")</f>
        <v/>
      </c>
    </row>
    <row r="39" customFormat="false" ht="15" hidden="false" customHeight="false" outlineLevel="0" collapsed="false">
      <c r="A39" s="19"/>
      <c r="B39" s="35"/>
      <c r="C39" s="35"/>
      <c r="D39" s="35"/>
      <c r="E39" s="35"/>
      <c r="F39" s="35"/>
      <c r="G39" s="26"/>
      <c r="H39" s="26"/>
      <c r="I39" s="36"/>
      <c r="J39" s="37" t="str">
        <f aca="false">IF(OR(G39="",I39=""),"",G39*I39/1000000)</f>
        <v/>
      </c>
      <c r="K39" s="21"/>
      <c r="L39" s="21"/>
      <c r="M39" s="21"/>
      <c r="N39" s="25"/>
      <c r="O39" s="21"/>
      <c r="P39" s="21"/>
      <c r="Q39" s="21"/>
      <c r="R39" s="21"/>
      <c r="S39" s="38"/>
      <c r="T39" s="21"/>
      <c r="U39" s="21"/>
      <c r="V39" s="19"/>
      <c r="W39" s="26"/>
      <c r="X39" s="35"/>
      <c r="Y39" s="26"/>
      <c r="Z39" s="26"/>
      <c r="AA39" s="26"/>
      <c r="AB39" s="16" t="str">
        <f aca="false">IF(C39="","",IF(F39="Short",(AND(M39&lt;&gt;"",N(M39)&lt;0))+(AND(L39&lt;&gt;"",N(L39)&lt;0))+(AND(K39&lt;&gt;"",N(K39)&lt;0))+AND(L39&lt;&gt;"",M39&lt;&gt;"",N(M39)&lt;N(L39)),(N(M39)&gt;0)+(N(L39)&gt;0)+(N(K39)&gt;0)+AND(L39&lt;&gt;"",M39&lt;&gt;"",N(M39)&gt;N(L39))))</f>
        <v/>
      </c>
      <c r="AC39" s="16" t="str">
        <f aca="false">IF(C39="","",IF(F39="Short",IF(N39="",0,IF(AND(N39&gt;=30,N39&lt;=50),2,IF(OR(AND(N39&gt;=25,N39&lt;30),AND(N39&gt;50,N39&lt;=60)),1,0)))+IF(P39="",0,IF(AND(IF(B39="JSE",$L$5,$L$4)&lt;&gt;"",P39&lt;IF(B39="JSE",$L$5,$L$4)),2,IF(P39&lt;0,1,0))),IF(N39="",0,IF(AND(N39&gt;=50,N39&lt;=70),2,IF(OR(AND(N39&gt;=40,N39&lt;50),AND(N39&gt;70,N39&lt;=75)),1,0)))+IF(P39="",0,IF(AND(IF(B39="JSE",$L$5,$L$4)&lt;&gt;"",P39&gt;IF(B39="JSE",$L$5,$L$4)),2,IF(P39&gt;0,1,0)))))</f>
        <v/>
      </c>
      <c r="AD39" s="16" t="str">
        <f aca="false">IF(C39="","",IF(F39="Short",IF(R39="",0,IF(R39&lt;=0.1,2,IF(R39&lt;=0.25,1,0))),IF(Q39="",0,IF(Q39&gt;=-0.1,2,IF(Q39&gt;=-0.25,1,0)))))</f>
        <v/>
      </c>
      <c r="AE39" s="16" t="str">
        <f aca="false">IF(C39="","",IF(J39="",0,IF(J39&gt;=IF(B39="JSE",$L$7,$L$6),2,IF(J39&gt;=IF(B39="JSE",$L$7,$L$6)/4,1,0))))</f>
        <v/>
      </c>
      <c r="AF39" s="16" t="str">
        <f aca="false">IF(C39="","",IF(F39="Short",AND(T39&lt;&gt;"",N(T39)&lt;0),N(T39)&gt;0)+(N(S39)&gt;=1.5))</f>
        <v/>
      </c>
      <c r="AG39" s="16" t="str">
        <f aca="false">IF(C39="","",IF(AL39="",0,IF(AL39&gt;=3,4,IF(AL39&gt;=2,2,0))))</f>
        <v/>
      </c>
      <c r="AH39" s="16" t="str">
        <f aca="false">IF(C39="","",IF(AND(ISNUMBER(V39),ISNUMBER(A39),V39&gt;=A39,V39-A39&lt;=14),-2,0))</f>
        <v/>
      </c>
      <c r="AI39" s="16" t="str">
        <f aca="false">IF(C39="","",IF(AND(F39="Short",N(U39)&gt;=0.2),-1,0))</f>
        <v/>
      </c>
      <c r="AJ39" s="23" t="str">
        <f aca="false">IF(C39="","",SUM(AB39:AI39))</f>
        <v/>
      </c>
      <c r="AK39" s="24" t="str">
        <f aca="false">IF(C39="","",IF(AJ39&gt;=14,"A",IF(AJ39&gt;=10,"B","C")))</f>
        <v/>
      </c>
      <c r="AL39" s="39" t="str">
        <f aca="false">IFERROR(IF(OR(Y39="",Z39="",AA39=""),"",IF(F39="Short",IF(Z39&lt;=Y39,"",(Y39-AA39)/(Z39-Y39)),IF(Y39&lt;=Z39,"",(AA39-Y39)/(Y39-Z39)))),"")</f>
        <v/>
      </c>
      <c r="AM39" s="37" t="str">
        <f aca="false">IF(OR(Y39="",Z39="",N(Y39)=N(Z39)),"",IF(OR(AND(F39="Short",Z39&lt;Y39),AND(NOT(F39="Short"),Z39&gt;Y39)),"stop on wrong side",ABS(Y39-Z39)))</f>
        <v/>
      </c>
      <c r="AN39" s="40" t="str">
        <f aca="false">IFERROR(IF(OR(NOT(ISNUMBER(AM39)),$C$6=""),"",ROUNDDOWN($C$6*$C$7/AM39,2)),"")</f>
        <v/>
      </c>
      <c r="AO39" s="37" t="str">
        <f aca="false">IFERROR(IF(AN39="","",AN39*Y39),"")</f>
        <v/>
      </c>
      <c r="AP39" s="35"/>
      <c r="AQ39" s="19"/>
      <c r="AR39" s="26"/>
      <c r="AS39" s="41" t="str">
        <f aca="false">IFERROR(IF(OR(AR39="",Y39="",AQ39=""),"",IF(F39="Short",1-AR39/Y39,AR39/Y39-1)),"")</f>
        <v/>
      </c>
      <c r="AT39" s="42" t="str">
        <f aca="true">IF(AQ39="","",IF(ISNUMBER($C$4),$C$4,TODAY())-AQ39)</f>
        <v/>
      </c>
      <c r="AU39" s="14" t="str">
        <f aca="false">IF(C39="","",IF(AP39="Open position",IF(IF(F39="Short",AND(ISNUMBER(AR39),ISNUMBER(Z39),AR39&gt;=Z39),AND(ISNUMBER(AR39),ISNUMBER(Z39),AR39&lt;=Z39)),IF(F39="Short","COVER — stop hit (buy back)","SELL — stop hit"),IF(IF(F39="Short",AND(ISNUMBER(AR39),ISNUMBER(AA39),AR39&lt;=AA39),AND(ISNUMBER(AR39),ISNUMBER(AA39),AR39&gt;=AA39)),"TAKE PROFIT — target hit",IF(AND(ISNUMBER(AT39),AT39&gt;182),IF(F39="Short","COVER — 6-month time limit","SELL — 6-month time limit"),IF(AND(ISNUMBER(AT39),AT39&gt;42,ISNUMBER(AS39),AS39&lt;0.02),"REVIEW — no progress after 6 weeks",IF(IF(F39="Short",AND(L39&lt;&gt;"",N(L39)&gt;0),AND(L39&lt;&gt;"",N(L39)&lt;0)),IF(F39="Short","REVIEW — back above 50-day avg","REVIEW — below 50-day avg"),"HOLD"))))),IF(OR(AP39="Closed",AP39="Dropped"),"Closed",IF(AK39="A",IF(F39="Short","Run Technical Review — SHORT entry","Run Technical Review — LONG entry"),IF(AK39="B","Watch — wait for setup","Drop or re-check next week")))))</f>
        <v/>
      </c>
      <c r="AV39" s="35"/>
      <c r="AX39" s="43" t="str">
        <f aca="false">IF(AND(C39&lt;&gt;"",A39=$C$4,ISNUMBER(AJ39)),AJ39+ROW()/100000,"")</f>
        <v/>
      </c>
    </row>
    <row r="40" customFormat="false" ht="15" hidden="false" customHeight="false" outlineLevel="0" collapsed="false">
      <c r="A40" s="19"/>
      <c r="B40" s="35"/>
      <c r="C40" s="35"/>
      <c r="D40" s="35"/>
      <c r="E40" s="35"/>
      <c r="F40" s="35"/>
      <c r="G40" s="26"/>
      <c r="H40" s="26"/>
      <c r="I40" s="36"/>
      <c r="J40" s="37" t="str">
        <f aca="false">IF(OR(G40="",I40=""),"",G40*I40/1000000)</f>
        <v/>
      </c>
      <c r="K40" s="21"/>
      <c r="L40" s="21"/>
      <c r="M40" s="21"/>
      <c r="N40" s="25"/>
      <c r="O40" s="21"/>
      <c r="P40" s="21"/>
      <c r="Q40" s="21"/>
      <c r="R40" s="21"/>
      <c r="S40" s="38"/>
      <c r="T40" s="21"/>
      <c r="U40" s="21"/>
      <c r="V40" s="19"/>
      <c r="W40" s="26"/>
      <c r="X40" s="35"/>
      <c r="Y40" s="26"/>
      <c r="Z40" s="26"/>
      <c r="AA40" s="26"/>
      <c r="AB40" s="16" t="str">
        <f aca="false">IF(C40="","",IF(F40="Short",(AND(M40&lt;&gt;"",N(M40)&lt;0))+(AND(L40&lt;&gt;"",N(L40)&lt;0))+(AND(K40&lt;&gt;"",N(K40)&lt;0))+AND(L40&lt;&gt;"",M40&lt;&gt;"",N(M40)&lt;N(L40)),(N(M40)&gt;0)+(N(L40)&gt;0)+(N(K40)&gt;0)+AND(L40&lt;&gt;"",M40&lt;&gt;"",N(M40)&gt;N(L40))))</f>
        <v/>
      </c>
      <c r="AC40" s="16" t="str">
        <f aca="false">IF(C40="","",IF(F40="Short",IF(N40="",0,IF(AND(N40&gt;=30,N40&lt;=50),2,IF(OR(AND(N40&gt;=25,N40&lt;30),AND(N40&gt;50,N40&lt;=60)),1,0)))+IF(P40="",0,IF(AND(IF(B40="JSE",$L$5,$L$4)&lt;&gt;"",P40&lt;IF(B40="JSE",$L$5,$L$4)),2,IF(P40&lt;0,1,0))),IF(N40="",0,IF(AND(N40&gt;=50,N40&lt;=70),2,IF(OR(AND(N40&gt;=40,N40&lt;50),AND(N40&gt;70,N40&lt;=75)),1,0)))+IF(P40="",0,IF(AND(IF(B40="JSE",$L$5,$L$4)&lt;&gt;"",P40&gt;IF(B40="JSE",$L$5,$L$4)),2,IF(P40&gt;0,1,0)))))</f>
        <v/>
      </c>
      <c r="AD40" s="16" t="str">
        <f aca="false">IF(C40="","",IF(F40="Short",IF(R40="",0,IF(R40&lt;=0.1,2,IF(R40&lt;=0.25,1,0))),IF(Q40="",0,IF(Q40&gt;=-0.1,2,IF(Q40&gt;=-0.25,1,0)))))</f>
        <v/>
      </c>
      <c r="AE40" s="16" t="str">
        <f aca="false">IF(C40="","",IF(J40="",0,IF(J40&gt;=IF(B40="JSE",$L$7,$L$6),2,IF(J40&gt;=IF(B40="JSE",$L$7,$L$6)/4,1,0))))</f>
        <v/>
      </c>
      <c r="AF40" s="16" t="str">
        <f aca="false">IF(C40="","",IF(F40="Short",AND(T40&lt;&gt;"",N(T40)&lt;0),N(T40)&gt;0)+(N(S40)&gt;=1.5))</f>
        <v/>
      </c>
      <c r="AG40" s="16" t="str">
        <f aca="false">IF(C40="","",IF(AL40="",0,IF(AL40&gt;=3,4,IF(AL40&gt;=2,2,0))))</f>
        <v/>
      </c>
      <c r="AH40" s="16" t="str">
        <f aca="false">IF(C40="","",IF(AND(ISNUMBER(V40),ISNUMBER(A40),V40&gt;=A40,V40-A40&lt;=14),-2,0))</f>
        <v/>
      </c>
      <c r="AI40" s="16" t="str">
        <f aca="false">IF(C40="","",IF(AND(F40="Short",N(U40)&gt;=0.2),-1,0))</f>
        <v/>
      </c>
      <c r="AJ40" s="23" t="str">
        <f aca="false">IF(C40="","",SUM(AB40:AI40))</f>
        <v/>
      </c>
      <c r="AK40" s="24" t="str">
        <f aca="false">IF(C40="","",IF(AJ40&gt;=14,"A",IF(AJ40&gt;=10,"B","C")))</f>
        <v/>
      </c>
      <c r="AL40" s="39" t="str">
        <f aca="false">IFERROR(IF(OR(Y40="",Z40="",AA40=""),"",IF(F40="Short",IF(Z40&lt;=Y40,"",(Y40-AA40)/(Z40-Y40)),IF(Y40&lt;=Z40,"",(AA40-Y40)/(Y40-Z40)))),"")</f>
        <v/>
      </c>
      <c r="AM40" s="37" t="str">
        <f aca="false">IF(OR(Y40="",Z40="",N(Y40)=N(Z40)),"",IF(OR(AND(F40="Short",Z40&lt;Y40),AND(NOT(F40="Short"),Z40&gt;Y40)),"stop on wrong side",ABS(Y40-Z40)))</f>
        <v/>
      </c>
      <c r="AN40" s="40" t="str">
        <f aca="false">IFERROR(IF(OR(NOT(ISNUMBER(AM40)),$C$6=""),"",ROUNDDOWN($C$6*$C$7/AM40,2)),"")</f>
        <v/>
      </c>
      <c r="AO40" s="37" t="str">
        <f aca="false">IFERROR(IF(AN40="","",AN40*Y40),"")</f>
        <v/>
      </c>
      <c r="AP40" s="35"/>
      <c r="AQ40" s="19"/>
      <c r="AR40" s="26"/>
      <c r="AS40" s="41" t="str">
        <f aca="false">IFERROR(IF(OR(AR40="",Y40="",AQ40=""),"",IF(F40="Short",1-AR40/Y40,AR40/Y40-1)),"")</f>
        <v/>
      </c>
      <c r="AT40" s="42" t="str">
        <f aca="true">IF(AQ40="","",IF(ISNUMBER($C$4),$C$4,TODAY())-AQ40)</f>
        <v/>
      </c>
      <c r="AU40" s="14" t="str">
        <f aca="false">IF(C40="","",IF(AP40="Open position",IF(IF(F40="Short",AND(ISNUMBER(AR40),ISNUMBER(Z40),AR40&gt;=Z40),AND(ISNUMBER(AR40),ISNUMBER(Z40),AR40&lt;=Z40)),IF(F40="Short","COVER — stop hit (buy back)","SELL — stop hit"),IF(IF(F40="Short",AND(ISNUMBER(AR40),ISNUMBER(AA40),AR40&lt;=AA40),AND(ISNUMBER(AR40),ISNUMBER(AA40),AR40&gt;=AA40)),"TAKE PROFIT — target hit",IF(AND(ISNUMBER(AT40),AT40&gt;182),IF(F40="Short","COVER — 6-month time limit","SELL — 6-month time limit"),IF(AND(ISNUMBER(AT40),AT40&gt;42,ISNUMBER(AS40),AS40&lt;0.02),"REVIEW — no progress after 6 weeks",IF(IF(F40="Short",AND(L40&lt;&gt;"",N(L40)&gt;0),AND(L40&lt;&gt;"",N(L40)&lt;0)),IF(F40="Short","REVIEW — back above 50-day avg","REVIEW — below 50-day avg"),"HOLD"))))),IF(OR(AP40="Closed",AP40="Dropped"),"Closed",IF(AK40="A",IF(F40="Short","Run Technical Review — SHORT entry","Run Technical Review — LONG entry"),IF(AK40="B","Watch — wait for setup","Drop or re-check next week")))))</f>
        <v/>
      </c>
      <c r="AV40" s="35"/>
      <c r="AX40" s="43" t="str">
        <f aca="false">IF(AND(C40&lt;&gt;"",A40=$C$4,ISNUMBER(AJ40)),AJ40+ROW()/100000,"")</f>
        <v/>
      </c>
    </row>
    <row r="41" customFormat="false" ht="15" hidden="false" customHeight="false" outlineLevel="0" collapsed="false">
      <c r="A41" s="19"/>
      <c r="B41" s="35"/>
      <c r="C41" s="35"/>
      <c r="D41" s="35"/>
      <c r="E41" s="35"/>
      <c r="F41" s="35"/>
      <c r="G41" s="26"/>
      <c r="H41" s="26"/>
      <c r="I41" s="36"/>
      <c r="J41" s="37" t="str">
        <f aca="false">IF(OR(G41="",I41=""),"",G41*I41/1000000)</f>
        <v/>
      </c>
      <c r="K41" s="21"/>
      <c r="L41" s="21"/>
      <c r="M41" s="21"/>
      <c r="N41" s="25"/>
      <c r="O41" s="21"/>
      <c r="P41" s="21"/>
      <c r="Q41" s="21"/>
      <c r="R41" s="21"/>
      <c r="S41" s="38"/>
      <c r="T41" s="21"/>
      <c r="U41" s="21"/>
      <c r="V41" s="19"/>
      <c r="W41" s="26"/>
      <c r="X41" s="35"/>
      <c r="Y41" s="26"/>
      <c r="Z41" s="26"/>
      <c r="AA41" s="26"/>
      <c r="AB41" s="16" t="str">
        <f aca="false">IF(C41="","",IF(F41="Short",(AND(M41&lt;&gt;"",N(M41)&lt;0))+(AND(L41&lt;&gt;"",N(L41)&lt;0))+(AND(K41&lt;&gt;"",N(K41)&lt;0))+AND(L41&lt;&gt;"",M41&lt;&gt;"",N(M41)&lt;N(L41)),(N(M41)&gt;0)+(N(L41)&gt;0)+(N(K41)&gt;0)+AND(L41&lt;&gt;"",M41&lt;&gt;"",N(M41)&gt;N(L41))))</f>
        <v/>
      </c>
      <c r="AC41" s="16" t="str">
        <f aca="false">IF(C41="","",IF(F41="Short",IF(N41="",0,IF(AND(N41&gt;=30,N41&lt;=50),2,IF(OR(AND(N41&gt;=25,N41&lt;30),AND(N41&gt;50,N41&lt;=60)),1,0)))+IF(P41="",0,IF(AND(IF(B41="JSE",$L$5,$L$4)&lt;&gt;"",P41&lt;IF(B41="JSE",$L$5,$L$4)),2,IF(P41&lt;0,1,0))),IF(N41="",0,IF(AND(N41&gt;=50,N41&lt;=70),2,IF(OR(AND(N41&gt;=40,N41&lt;50),AND(N41&gt;70,N41&lt;=75)),1,0)))+IF(P41="",0,IF(AND(IF(B41="JSE",$L$5,$L$4)&lt;&gt;"",P41&gt;IF(B41="JSE",$L$5,$L$4)),2,IF(P41&gt;0,1,0)))))</f>
        <v/>
      </c>
      <c r="AD41" s="16" t="str">
        <f aca="false">IF(C41="","",IF(F41="Short",IF(R41="",0,IF(R41&lt;=0.1,2,IF(R41&lt;=0.25,1,0))),IF(Q41="",0,IF(Q41&gt;=-0.1,2,IF(Q41&gt;=-0.25,1,0)))))</f>
        <v/>
      </c>
      <c r="AE41" s="16" t="str">
        <f aca="false">IF(C41="","",IF(J41="",0,IF(J41&gt;=IF(B41="JSE",$L$7,$L$6),2,IF(J41&gt;=IF(B41="JSE",$L$7,$L$6)/4,1,0))))</f>
        <v/>
      </c>
      <c r="AF41" s="16" t="str">
        <f aca="false">IF(C41="","",IF(F41="Short",AND(T41&lt;&gt;"",N(T41)&lt;0),N(T41)&gt;0)+(N(S41)&gt;=1.5))</f>
        <v/>
      </c>
      <c r="AG41" s="16" t="str">
        <f aca="false">IF(C41="","",IF(AL41="",0,IF(AL41&gt;=3,4,IF(AL41&gt;=2,2,0))))</f>
        <v/>
      </c>
      <c r="AH41" s="16" t="str">
        <f aca="false">IF(C41="","",IF(AND(ISNUMBER(V41),ISNUMBER(A41),V41&gt;=A41,V41-A41&lt;=14),-2,0))</f>
        <v/>
      </c>
      <c r="AI41" s="16" t="str">
        <f aca="false">IF(C41="","",IF(AND(F41="Short",N(U41)&gt;=0.2),-1,0))</f>
        <v/>
      </c>
      <c r="AJ41" s="23" t="str">
        <f aca="false">IF(C41="","",SUM(AB41:AI41))</f>
        <v/>
      </c>
      <c r="AK41" s="24" t="str">
        <f aca="false">IF(C41="","",IF(AJ41&gt;=14,"A",IF(AJ41&gt;=10,"B","C")))</f>
        <v/>
      </c>
      <c r="AL41" s="39" t="str">
        <f aca="false">IFERROR(IF(OR(Y41="",Z41="",AA41=""),"",IF(F41="Short",IF(Z41&lt;=Y41,"",(Y41-AA41)/(Z41-Y41)),IF(Y41&lt;=Z41,"",(AA41-Y41)/(Y41-Z41)))),"")</f>
        <v/>
      </c>
      <c r="AM41" s="37" t="str">
        <f aca="false">IF(OR(Y41="",Z41="",N(Y41)=N(Z41)),"",IF(OR(AND(F41="Short",Z41&lt;Y41),AND(NOT(F41="Short"),Z41&gt;Y41)),"stop on wrong side",ABS(Y41-Z41)))</f>
        <v/>
      </c>
      <c r="AN41" s="40" t="str">
        <f aca="false">IFERROR(IF(OR(NOT(ISNUMBER(AM41)),$C$6=""),"",ROUNDDOWN($C$6*$C$7/AM41,2)),"")</f>
        <v/>
      </c>
      <c r="AO41" s="37" t="str">
        <f aca="false">IFERROR(IF(AN41="","",AN41*Y41),"")</f>
        <v/>
      </c>
      <c r="AP41" s="35"/>
      <c r="AQ41" s="19"/>
      <c r="AR41" s="26"/>
      <c r="AS41" s="41" t="str">
        <f aca="false">IFERROR(IF(OR(AR41="",Y41="",AQ41=""),"",IF(F41="Short",1-AR41/Y41,AR41/Y41-1)),"")</f>
        <v/>
      </c>
      <c r="AT41" s="42" t="str">
        <f aca="true">IF(AQ41="","",IF(ISNUMBER($C$4),$C$4,TODAY())-AQ41)</f>
        <v/>
      </c>
      <c r="AU41" s="14" t="str">
        <f aca="false">IF(C41="","",IF(AP41="Open position",IF(IF(F41="Short",AND(ISNUMBER(AR41),ISNUMBER(Z41),AR41&gt;=Z41),AND(ISNUMBER(AR41),ISNUMBER(Z41),AR41&lt;=Z41)),IF(F41="Short","COVER — stop hit (buy back)","SELL — stop hit"),IF(IF(F41="Short",AND(ISNUMBER(AR41),ISNUMBER(AA41),AR41&lt;=AA41),AND(ISNUMBER(AR41),ISNUMBER(AA41),AR41&gt;=AA41)),"TAKE PROFIT — target hit",IF(AND(ISNUMBER(AT41),AT41&gt;182),IF(F41="Short","COVER — 6-month time limit","SELL — 6-month time limit"),IF(AND(ISNUMBER(AT41),AT41&gt;42,ISNUMBER(AS41),AS41&lt;0.02),"REVIEW — no progress after 6 weeks",IF(IF(F41="Short",AND(L41&lt;&gt;"",N(L41)&gt;0),AND(L41&lt;&gt;"",N(L41)&lt;0)),IF(F41="Short","REVIEW — back above 50-day avg","REVIEW — below 50-day avg"),"HOLD"))))),IF(OR(AP41="Closed",AP41="Dropped"),"Closed",IF(AK41="A",IF(F41="Short","Run Technical Review — SHORT entry","Run Technical Review — LONG entry"),IF(AK41="B","Watch — wait for setup","Drop or re-check next week")))))</f>
        <v/>
      </c>
      <c r="AV41" s="35"/>
      <c r="AX41" s="43" t="str">
        <f aca="false">IF(AND(C41&lt;&gt;"",A41=$C$4,ISNUMBER(AJ41)),AJ41+ROW()/100000,"")</f>
        <v/>
      </c>
    </row>
    <row r="42" customFormat="false" ht="15" hidden="false" customHeight="false" outlineLevel="0" collapsed="false">
      <c r="A42" s="19"/>
      <c r="B42" s="35"/>
      <c r="C42" s="35"/>
      <c r="D42" s="35"/>
      <c r="E42" s="35"/>
      <c r="F42" s="35"/>
      <c r="G42" s="26"/>
      <c r="H42" s="26"/>
      <c r="I42" s="36"/>
      <c r="J42" s="37" t="str">
        <f aca="false">IF(OR(G42="",I42=""),"",G42*I42/1000000)</f>
        <v/>
      </c>
      <c r="K42" s="21"/>
      <c r="L42" s="21"/>
      <c r="M42" s="21"/>
      <c r="N42" s="25"/>
      <c r="O42" s="21"/>
      <c r="P42" s="21"/>
      <c r="Q42" s="21"/>
      <c r="R42" s="21"/>
      <c r="S42" s="38"/>
      <c r="T42" s="21"/>
      <c r="U42" s="21"/>
      <c r="V42" s="19"/>
      <c r="W42" s="26"/>
      <c r="X42" s="35"/>
      <c r="Y42" s="26"/>
      <c r="Z42" s="26"/>
      <c r="AA42" s="26"/>
      <c r="AB42" s="16" t="str">
        <f aca="false">IF(C42="","",IF(F42="Short",(AND(M42&lt;&gt;"",N(M42)&lt;0))+(AND(L42&lt;&gt;"",N(L42)&lt;0))+(AND(K42&lt;&gt;"",N(K42)&lt;0))+AND(L42&lt;&gt;"",M42&lt;&gt;"",N(M42)&lt;N(L42)),(N(M42)&gt;0)+(N(L42)&gt;0)+(N(K42)&gt;0)+AND(L42&lt;&gt;"",M42&lt;&gt;"",N(M42)&gt;N(L42))))</f>
        <v/>
      </c>
      <c r="AC42" s="16" t="str">
        <f aca="false">IF(C42="","",IF(F42="Short",IF(N42="",0,IF(AND(N42&gt;=30,N42&lt;=50),2,IF(OR(AND(N42&gt;=25,N42&lt;30),AND(N42&gt;50,N42&lt;=60)),1,0)))+IF(P42="",0,IF(AND(IF(B42="JSE",$L$5,$L$4)&lt;&gt;"",P42&lt;IF(B42="JSE",$L$5,$L$4)),2,IF(P42&lt;0,1,0))),IF(N42="",0,IF(AND(N42&gt;=50,N42&lt;=70),2,IF(OR(AND(N42&gt;=40,N42&lt;50),AND(N42&gt;70,N42&lt;=75)),1,0)))+IF(P42="",0,IF(AND(IF(B42="JSE",$L$5,$L$4)&lt;&gt;"",P42&gt;IF(B42="JSE",$L$5,$L$4)),2,IF(P42&gt;0,1,0)))))</f>
        <v/>
      </c>
      <c r="AD42" s="16" t="str">
        <f aca="false">IF(C42="","",IF(F42="Short",IF(R42="",0,IF(R42&lt;=0.1,2,IF(R42&lt;=0.25,1,0))),IF(Q42="",0,IF(Q42&gt;=-0.1,2,IF(Q42&gt;=-0.25,1,0)))))</f>
        <v/>
      </c>
      <c r="AE42" s="16" t="str">
        <f aca="false">IF(C42="","",IF(J42="",0,IF(J42&gt;=IF(B42="JSE",$L$7,$L$6),2,IF(J42&gt;=IF(B42="JSE",$L$7,$L$6)/4,1,0))))</f>
        <v/>
      </c>
      <c r="AF42" s="16" t="str">
        <f aca="false">IF(C42="","",IF(F42="Short",AND(T42&lt;&gt;"",N(T42)&lt;0),N(T42)&gt;0)+(N(S42)&gt;=1.5))</f>
        <v/>
      </c>
      <c r="AG42" s="16" t="str">
        <f aca="false">IF(C42="","",IF(AL42="",0,IF(AL42&gt;=3,4,IF(AL42&gt;=2,2,0))))</f>
        <v/>
      </c>
      <c r="AH42" s="16" t="str">
        <f aca="false">IF(C42="","",IF(AND(ISNUMBER(V42),ISNUMBER(A42),V42&gt;=A42,V42-A42&lt;=14),-2,0))</f>
        <v/>
      </c>
      <c r="AI42" s="16" t="str">
        <f aca="false">IF(C42="","",IF(AND(F42="Short",N(U42)&gt;=0.2),-1,0))</f>
        <v/>
      </c>
      <c r="AJ42" s="23" t="str">
        <f aca="false">IF(C42="","",SUM(AB42:AI42))</f>
        <v/>
      </c>
      <c r="AK42" s="24" t="str">
        <f aca="false">IF(C42="","",IF(AJ42&gt;=14,"A",IF(AJ42&gt;=10,"B","C")))</f>
        <v/>
      </c>
      <c r="AL42" s="39" t="str">
        <f aca="false">IFERROR(IF(OR(Y42="",Z42="",AA42=""),"",IF(F42="Short",IF(Z42&lt;=Y42,"",(Y42-AA42)/(Z42-Y42)),IF(Y42&lt;=Z42,"",(AA42-Y42)/(Y42-Z42)))),"")</f>
        <v/>
      </c>
      <c r="AM42" s="37" t="str">
        <f aca="false">IF(OR(Y42="",Z42="",N(Y42)=N(Z42)),"",IF(OR(AND(F42="Short",Z42&lt;Y42),AND(NOT(F42="Short"),Z42&gt;Y42)),"stop on wrong side",ABS(Y42-Z42)))</f>
        <v/>
      </c>
      <c r="AN42" s="40" t="str">
        <f aca="false">IFERROR(IF(OR(NOT(ISNUMBER(AM42)),$C$6=""),"",ROUNDDOWN($C$6*$C$7/AM42,2)),"")</f>
        <v/>
      </c>
      <c r="AO42" s="37" t="str">
        <f aca="false">IFERROR(IF(AN42="","",AN42*Y42),"")</f>
        <v/>
      </c>
      <c r="AP42" s="35"/>
      <c r="AQ42" s="19"/>
      <c r="AR42" s="26"/>
      <c r="AS42" s="41" t="str">
        <f aca="false">IFERROR(IF(OR(AR42="",Y42="",AQ42=""),"",IF(F42="Short",1-AR42/Y42,AR42/Y42-1)),"")</f>
        <v/>
      </c>
      <c r="AT42" s="42" t="str">
        <f aca="true">IF(AQ42="","",IF(ISNUMBER($C$4),$C$4,TODAY())-AQ42)</f>
        <v/>
      </c>
      <c r="AU42" s="14" t="str">
        <f aca="false">IF(C42="","",IF(AP42="Open position",IF(IF(F42="Short",AND(ISNUMBER(AR42),ISNUMBER(Z42),AR42&gt;=Z42),AND(ISNUMBER(AR42),ISNUMBER(Z42),AR42&lt;=Z42)),IF(F42="Short","COVER — stop hit (buy back)","SELL — stop hit"),IF(IF(F42="Short",AND(ISNUMBER(AR42),ISNUMBER(AA42),AR42&lt;=AA42),AND(ISNUMBER(AR42),ISNUMBER(AA42),AR42&gt;=AA42)),"TAKE PROFIT — target hit",IF(AND(ISNUMBER(AT42),AT42&gt;182),IF(F42="Short","COVER — 6-month time limit","SELL — 6-month time limit"),IF(AND(ISNUMBER(AT42),AT42&gt;42,ISNUMBER(AS42),AS42&lt;0.02),"REVIEW — no progress after 6 weeks",IF(IF(F42="Short",AND(L42&lt;&gt;"",N(L42)&gt;0),AND(L42&lt;&gt;"",N(L42)&lt;0)),IF(F42="Short","REVIEW — back above 50-day avg","REVIEW — below 50-day avg"),"HOLD"))))),IF(OR(AP42="Closed",AP42="Dropped"),"Closed",IF(AK42="A",IF(F42="Short","Run Technical Review — SHORT entry","Run Technical Review — LONG entry"),IF(AK42="B","Watch — wait for setup","Drop or re-check next week")))))</f>
        <v/>
      </c>
      <c r="AV42" s="35"/>
      <c r="AX42" s="43" t="str">
        <f aca="false">IF(AND(C42&lt;&gt;"",A42=$C$4,ISNUMBER(AJ42)),AJ42+ROW()/100000,"")</f>
        <v/>
      </c>
    </row>
    <row r="43" customFormat="false" ht="15" hidden="false" customHeight="false" outlineLevel="0" collapsed="false">
      <c r="A43" s="19"/>
      <c r="B43" s="35"/>
      <c r="C43" s="35"/>
      <c r="D43" s="35"/>
      <c r="E43" s="35"/>
      <c r="F43" s="35"/>
      <c r="G43" s="26"/>
      <c r="H43" s="26"/>
      <c r="I43" s="36"/>
      <c r="J43" s="37" t="str">
        <f aca="false">IF(OR(G43="",I43=""),"",G43*I43/1000000)</f>
        <v/>
      </c>
      <c r="K43" s="21"/>
      <c r="L43" s="21"/>
      <c r="M43" s="21"/>
      <c r="N43" s="25"/>
      <c r="O43" s="21"/>
      <c r="P43" s="21"/>
      <c r="Q43" s="21"/>
      <c r="R43" s="21"/>
      <c r="S43" s="38"/>
      <c r="T43" s="21"/>
      <c r="U43" s="21"/>
      <c r="V43" s="19"/>
      <c r="W43" s="26"/>
      <c r="X43" s="35"/>
      <c r="Y43" s="26"/>
      <c r="Z43" s="26"/>
      <c r="AA43" s="26"/>
      <c r="AB43" s="16" t="str">
        <f aca="false">IF(C43="","",IF(F43="Short",(AND(M43&lt;&gt;"",N(M43)&lt;0))+(AND(L43&lt;&gt;"",N(L43)&lt;0))+(AND(K43&lt;&gt;"",N(K43)&lt;0))+AND(L43&lt;&gt;"",M43&lt;&gt;"",N(M43)&lt;N(L43)),(N(M43)&gt;0)+(N(L43)&gt;0)+(N(K43)&gt;0)+AND(L43&lt;&gt;"",M43&lt;&gt;"",N(M43)&gt;N(L43))))</f>
        <v/>
      </c>
      <c r="AC43" s="16" t="str">
        <f aca="false">IF(C43="","",IF(F43="Short",IF(N43="",0,IF(AND(N43&gt;=30,N43&lt;=50),2,IF(OR(AND(N43&gt;=25,N43&lt;30),AND(N43&gt;50,N43&lt;=60)),1,0)))+IF(P43="",0,IF(AND(IF(B43="JSE",$L$5,$L$4)&lt;&gt;"",P43&lt;IF(B43="JSE",$L$5,$L$4)),2,IF(P43&lt;0,1,0))),IF(N43="",0,IF(AND(N43&gt;=50,N43&lt;=70),2,IF(OR(AND(N43&gt;=40,N43&lt;50),AND(N43&gt;70,N43&lt;=75)),1,0)))+IF(P43="",0,IF(AND(IF(B43="JSE",$L$5,$L$4)&lt;&gt;"",P43&gt;IF(B43="JSE",$L$5,$L$4)),2,IF(P43&gt;0,1,0)))))</f>
        <v/>
      </c>
      <c r="AD43" s="16" t="str">
        <f aca="false">IF(C43="","",IF(F43="Short",IF(R43="",0,IF(R43&lt;=0.1,2,IF(R43&lt;=0.25,1,0))),IF(Q43="",0,IF(Q43&gt;=-0.1,2,IF(Q43&gt;=-0.25,1,0)))))</f>
        <v/>
      </c>
      <c r="AE43" s="16" t="str">
        <f aca="false">IF(C43="","",IF(J43="",0,IF(J43&gt;=IF(B43="JSE",$L$7,$L$6),2,IF(J43&gt;=IF(B43="JSE",$L$7,$L$6)/4,1,0))))</f>
        <v/>
      </c>
      <c r="AF43" s="16" t="str">
        <f aca="false">IF(C43="","",IF(F43="Short",AND(T43&lt;&gt;"",N(T43)&lt;0),N(T43)&gt;0)+(N(S43)&gt;=1.5))</f>
        <v/>
      </c>
      <c r="AG43" s="16" t="str">
        <f aca="false">IF(C43="","",IF(AL43="",0,IF(AL43&gt;=3,4,IF(AL43&gt;=2,2,0))))</f>
        <v/>
      </c>
      <c r="AH43" s="16" t="str">
        <f aca="false">IF(C43="","",IF(AND(ISNUMBER(V43),ISNUMBER(A43),V43&gt;=A43,V43-A43&lt;=14),-2,0))</f>
        <v/>
      </c>
      <c r="AI43" s="16" t="str">
        <f aca="false">IF(C43="","",IF(AND(F43="Short",N(U43)&gt;=0.2),-1,0))</f>
        <v/>
      </c>
      <c r="AJ43" s="23" t="str">
        <f aca="false">IF(C43="","",SUM(AB43:AI43))</f>
        <v/>
      </c>
      <c r="AK43" s="24" t="str">
        <f aca="false">IF(C43="","",IF(AJ43&gt;=14,"A",IF(AJ43&gt;=10,"B","C")))</f>
        <v/>
      </c>
      <c r="AL43" s="39" t="str">
        <f aca="false">IFERROR(IF(OR(Y43="",Z43="",AA43=""),"",IF(F43="Short",IF(Z43&lt;=Y43,"",(Y43-AA43)/(Z43-Y43)),IF(Y43&lt;=Z43,"",(AA43-Y43)/(Y43-Z43)))),"")</f>
        <v/>
      </c>
      <c r="AM43" s="37" t="str">
        <f aca="false">IF(OR(Y43="",Z43="",N(Y43)=N(Z43)),"",IF(OR(AND(F43="Short",Z43&lt;Y43),AND(NOT(F43="Short"),Z43&gt;Y43)),"stop on wrong side",ABS(Y43-Z43)))</f>
        <v/>
      </c>
      <c r="AN43" s="40" t="str">
        <f aca="false">IFERROR(IF(OR(NOT(ISNUMBER(AM43)),$C$6=""),"",ROUNDDOWN($C$6*$C$7/AM43,2)),"")</f>
        <v/>
      </c>
      <c r="AO43" s="37" t="str">
        <f aca="false">IFERROR(IF(AN43="","",AN43*Y43),"")</f>
        <v/>
      </c>
      <c r="AP43" s="35"/>
      <c r="AQ43" s="19"/>
      <c r="AR43" s="26"/>
      <c r="AS43" s="41" t="str">
        <f aca="false">IFERROR(IF(OR(AR43="",Y43="",AQ43=""),"",IF(F43="Short",1-AR43/Y43,AR43/Y43-1)),"")</f>
        <v/>
      </c>
      <c r="AT43" s="42" t="str">
        <f aca="true">IF(AQ43="","",IF(ISNUMBER($C$4),$C$4,TODAY())-AQ43)</f>
        <v/>
      </c>
      <c r="AU43" s="14" t="str">
        <f aca="false">IF(C43="","",IF(AP43="Open position",IF(IF(F43="Short",AND(ISNUMBER(AR43),ISNUMBER(Z43),AR43&gt;=Z43),AND(ISNUMBER(AR43),ISNUMBER(Z43),AR43&lt;=Z43)),IF(F43="Short","COVER — stop hit (buy back)","SELL — stop hit"),IF(IF(F43="Short",AND(ISNUMBER(AR43),ISNUMBER(AA43),AR43&lt;=AA43),AND(ISNUMBER(AR43),ISNUMBER(AA43),AR43&gt;=AA43)),"TAKE PROFIT — target hit",IF(AND(ISNUMBER(AT43),AT43&gt;182),IF(F43="Short","COVER — 6-month time limit","SELL — 6-month time limit"),IF(AND(ISNUMBER(AT43),AT43&gt;42,ISNUMBER(AS43),AS43&lt;0.02),"REVIEW — no progress after 6 weeks",IF(IF(F43="Short",AND(L43&lt;&gt;"",N(L43)&gt;0),AND(L43&lt;&gt;"",N(L43)&lt;0)),IF(F43="Short","REVIEW — back above 50-day avg","REVIEW — below 50-day avg"),"HOLD"))))),IF(OR(AP43="Closed",AP43="Dropped"),"Closed",IF(AK43="A",IF(F43="Short","Run Technical Review — SHORT entry","Run Technical Review — LONG entry"),IF(AK43="B","Watch — wait for setup","Drop or re-check next week")))))</f>
        <v/>
      </c>
      <c r="AV43" s="35"/>
      <c r="AX43" s="43" t="str">
        <f aca="false">IF(AND(C43&lt;&gt;"",A43=$C$4,ISNUMBER(AJ43)),AJ43+ROW()/100000,"")</f>
        <v/>
      </c>
    </row>
    <row r="44" customFormat="false" ht="15" hidden="false" customHeight="false" outlineLevel="0" collapsed="false">
      <c r="A44" s="19"/>
      <c r="B44" s="35"/>
      <c r="C44" s="35"/>
      <c r="D44" s="35"/>
      <c r="E44" s="35"/>
      <c r="F44" s="35"/>
      <c r="G44" s="26"/>
      <c r="H44" s="26"/>
      <c r="I44" s="36"/>
      <c r="J44" s="37" t="str">
        <f aca="false">IF(OR(G44="",I44=""),"",G44*I44/1000000)</f>
        <v/>
      </c>
      <c r="K44" s="21"/>
      <c r="L44" s="21"/>
      <c r="M44" s="21"/>
      <c r="N44" s="25"/>
      <c r="O44" s="21"/>
      <c r="P44" s="21"/>
      <c r="Q44" s="21"/>
      <c r="R44" s="21"/>
      <c r="S44" s="38"/>
      <c r="T44" s="21"/>
      <c r="U44" s="21"/>
      <c r="V44" s="19"/>
      <c r="W44" s="26"/>
      <c r="X44" s="35"/>
      <c r="Y44" s="26"/>
      <c r="Z44" s="26"/>
      <c r="AA44" s="26"/>
      <c r="AB44" s="16" t="str">
        <f aca="false">IF(C44="","",IF(F44="Short",(AND(M44&lt;&gt;"",N(M44)&lt;0))+(AND(L44&lt;&gt;"",N(L44)&lt;0))+(AND(K44&lt;&gt;"",N(K44)&lt;0))+AND(L44&lt;&gt;"",M44&lt;&gt;"",N(M44)&lt;N(L44)),(N(M44)&gt;0)+(N(L44)&gt;0)+(N(K44)&gt;0)+AND(L44&lt;&gt;"",M44&lt;&gt;"",N(M44)&gt;N(L44))))</f>
        <v/>
      </c>
      <c r="AC44" s="16" t="str">
        <f aca="false">IF(C44="","",IF(F44="Short",IF(N44="",0,IF(AND(N44&gt;=30,N44&lt;=50),2,IF(OR(AND(N44&gt;=25,N44&lt;30),AND(N44&gt;50,N44&lt;=60)),1,0)))+IF(P44="",0,IF(AND(IF(B44="JSE",$L$5,$L$4)&lt;&gt;"",P44&lt;IF(B44="JSE",$L$5,$L$4)),2,IF(P44&lt;0,1,0))),IF(N44="",0,IF(AND(N44&gt;=50,N44&lt;=70),2,IF(OR(AND(N44&gt;=40,N44&lt;50),AND(N44&gt;70,N44&lt;=75)),1,0)))+IF(P44="",0,IF(AND(IF(B44="JSE",$L$5,$L$4)&lt;&gt;"",P44&gt;IF(B44="JSE",$L$5,$L$4)),2,IF(P44&gt;0,1,0)))))</f>
        <v/>
      </c>
      <c r="AD44" s="16" t="str">
        <f aca="false">IF(C44="","",IF(F44="Short",IF(R44="",0,IF(R44&lt;=0.1,2,IF(R44&lt;=0.25,1,0))),IF(Q44="",0,IF(Q44&gt;=-0.1,2,IF(Q44&gt;=-0.25,1,0)))))</f>
        <v/>
      </c>
      <c r="AE44" s="16" t="str">
        <f aca="false">IF(C44="","",IF(J44="",0,IF(J44&gt;=IF(B44="JSE",$L$7,$L$6),2,IF(J44&gt;=IF(B44="JSE",$L$7,$L$6)/4,1,0))))</f>
        <v/>
      </c>
      <c r="AF44" s="16" t="str">
        <f aca="false">IF(C44="","",IF(F44="Short",AND(T44&lt;&gt;"",N(T44)&lt;0),N(T44)&gt;0)+(N(S44)&gt;=1.5))</f>
        <v/>
      </c>
      <c r="AG44" s="16" t="str">
        <f aca="false">IF(C44="","",IF(AL44="",0,IF(AL44&gt;=3,4,IF(AL44&gt;=2,2,0))))</f>
        <v/>
      </c>
      <c r="AH44" s="16" t="str">
        <f aca="false">IF(C44="","",IF(AND(ISNUMBER(V44),ISNUMBER(A44),V44&gt;=A44,V44-A44&lt;=14),-2,0))</f>
        <v/>
      </c>
      <c r="AI44" s="16" t="str">
        <f aca="false">IF(C44="","",IF(AND(F44="Short",N(U44)&gt;=0.2),-1,0))</f>
        <v/>
      </c>
      <c r="AJ44" s="23" t="str">
        <f aca="false">IF(C44="","",SUM(AB44:AI44))</f>
        <v/>
      </c>
      <c r="AK44" s="24" t="str">
        <f aca="false">IF(C44="","",IF(AJ44&gt;=14,"A",IF(AJ44&gt;=10,"B","C")))</f>
        <v/>
      </c>
      <c r="AL44" s="39" t="str">
        <f aca="false">IFERROR(IF(OR(Y44="",Z44="",AA44=""),"",IF(F44="Short",IF(Z44&lt;=Y44,"",(Y44-AA44)/(Z44-Y44)),IF(Y44&lt;=Z44,"",(AA44-Y44)/(Y44-Z44)))),"")</f>
        <v/>
      </c>
      <c r="AM44" s="37" t="str">
        <f aca="false">IF(OR(Y44="",Z44="",N(Y44)=N(Z44)),"",IF(OR(AND(F44="Short",Z44&lt;Y44),AND(NOT(F44="Short"),Z44&gt;Y44)),"stop on wrong side",ABS(Y44-Z44)))</f>
        <v/>
      </c>
      <c r="AN44" s="40" t="str">
        <f aca="false">IFERROR(IF(OR(NOT(ISNUMBER(AM44)),$C$6=""),"",ROUNDDOWN($C$6*$C$7/AM44,2)),"")</f>
        <v/>
      </c>
      <c r="AO44" s="37" t="str">
        <f aca="false">IFERROR(IF(AN44="","",AN44*Y44),"")</f>
        <v/>
      </c>
      <c r="AP44" s="35"/>
      <c r="AQ44" s="19"/>
      <c r="AR44" s="26"/>
      <c r="AS44" s="41" t="str">
        <f aca="false">IFERROR(IF(OR(AR44="",Y44="",AQ44=""),"",IF(F44="Short",1-AR44/Y44,AR44/Y44-1)),"")</f>
        <v/>
      </c>
      <c r="AT44" s="42" t="str">
        <f aca="true">IF(AQ44="","",IF(ISNUMBER($C$4),$C$4,TODAY())-AQ44)</f>
        <v/>
      </c>
      <c r="AU44" s="14" t="str">
        <f aca="false">IF(C44="","",IF(AP44="Open position",IF(IF(F44="Short",AND(ISNUMBER(AR44),ISNUMBER(Z44),AR44&gt;=Z44),AND(ISNUMBER(AR44),ISNUMBER(Z44),AR44&lt;=Z44)),IF(F44="Short","COVER — stop hit (buy back)","SELL — stop hit"),IF(IF(F44="Short",AND(ISNUMBER(AR44),ISNUMBER(AA44),AR44&lt;=AA44),AND(ISNUMBER(AR44),ISNUMBER(AA44),AR44&gt;=AA44)),"TAKE PROFIT — target hit",IF(AND(ISNUMBER(AT44),AT44&gt;182),IF(F44="Short","COVER — 6-month time limit","SELL — 6-month time limit"),IF(AND(ISNUMBER(AT44),AT44&gt;42,ISNUMBER(AS44),AS44&lt;0.02),"REVIEW — no progress after 6 weeks",IF(IF(F44="Short",AND(L44&lt;&gt;"",N(L44)&gt;0),AND(L44&lt;&gt;"",N(L44)&lt;0)),IF(F44="Short","REVIEW — back above 50-day avg","REVIEW — below 50-day avg"),"HOLD"))))),IF(OR(AP44="Closed",AP44="Dropped"),"Closed",IF(AK44="A",IF(F44="Short","Run Technical Review — SHORT entry","Run Technical Review — LONG entry"),IF(AK44="B","Watch — wait for setup","Drop or re-check next week")))))</f>
        <v/>
      </c>
      <c r="AV44" s="35"/>
      <c r="AX44" s="43" t="str">
        <f aca="false">IF(AND(C44&lt;&gt;"",A44=$C$4,ISNUMBER(AJ44)),AJ44+ROW()/100000,"")</f>
        <v/>
      </c>
    </row>
    <row r="45" customFormat="false" ht="15" hidden="false" customHeight="false" outlineLevel="0" collapsed="false">
      <c r="A45" s="19"/>
      <c r="B45" s="35"/>
      <c r="C45" s="35"/>
      <c r="D45" s="35"/>
      <c r="E45" s="35"/>
      <c r="F45" s="35"/>
      <c r="G45" s="26"/>
      <c r="H45" s="26"/>
      <c r="I45" s="36"/>
      <c r="J45" s="37" t="str">
        <f aca="false">IF(OR(G45="",I45=""),"",G45*I45/1000000)</f>
        <v/>
      </c>
      <c r="K45" s="21"/>
      <c r="L45" s="21"/>
      <c r="M45" s="21"/>
      <c r="N45" s="25"/>
      <c r="O45" s="21"/>
      <c r="P45" s="21"/>
      <c r="Q45" s="21"/>
      <c r="R45" s="21"/>
      <c r="S45" s="38"/>
      <c r="T45" s="21"/>
      <c r="U45" s="21"/>
      <c r="V45" s="19"/>
      <c r="W45" s="26"/>
      <c r="X45" s="35"/>
      <c r="Y45" s="26"/>
      <c r="Z45" s="26"/>
      <c r="AA45" s="26"/>
      <c r="AB45" s="16" t="str">
        <f aca="false">IF(C45="","",IF(F45="Short",(AND(M45&lt;&gt;"",N(M45)&lt;0))+(AND(L45&lt;&gt;"",N(L45)&lt;0))+(AND(K45&lt;&gt;"",N(K45)&lt;0))+AND(L45&lt;&gt;"",M45&lt;&gt;"",N(M45)&lt;N(L45)),(N(M45)&gt;0)+(N(L45)&gt;0)+(N(K45)&gt;0)+AND(L45&lt;&gt;"",M45&lt;&gt;"",N(M45)&gt;N(L45))))</f>
        <v/>
      </c>
      <c r="AC45" s="16" t="str">
        <f aca="false">IF(C45="","",IF(F45="Short",IF(N45="",0,IF(AND(N45&gt;=30,N45&lt;=50),2,IF(OR(AND(N45&gt;=25,N45&lt;30),AND(N45&gt;50,N45&lt;=60)),1,0)))+IF(P45="",0,IF(AND(IF(B45="JSE",$L$5,$L$4)&lt;&gt;"",P45&lt;IF(B45="JSE",$L$5,$L$4)),2,IF(P45&lt;0,1,0))),IF(N45="",0,IF(AND(N45&gt;=50,N45&lt;=70),2,IF(OR(AND(N45&gt;=40,N45&lt;50),AND(N45&gt;70,N45&lt;=75)),1,0)))+IF(P45="",0,IF(AND(IF(B45="JSE",$L$5,$L$4)&lt;&gt;"",P45&gt;IF(B45="JSE",$L$5,$L$4)),2,IF(P45&gt;0,1,0)))))</f>
        <v/>
      </c>
      <c r="AD45" s="16" t="str">
        <f aca="false">IF(C45="","",IF(F45="Short",IF(R45="",0,IF(R45&lt;=0.1,2,IF(R45&lt;=0.25,1,0))),IF(Q45="",0,IF(Q45&gt;=-0.1,2,IF(Q45&gt;=-0.25,1,0)))))</f>
        <v/>
      </c>
      <c r="AE45" s="16" t="str">
        <f aca="false">IF(C45="","",IF(J45="",0,IF(J45&gt;=IF(B45="JSE",$L$7,$L$6),2,IF(J45&gt;=IF(B45="JSE",$L$7,$L$6)/4,1,0))))</f>
        <v/>
      </c>
      <c r="AF45" s="16" t="str">
        <f aca="false">IF(C45="","",IF(F45="Short",AND(T45&lt;&gt;"",N(T45)&lt;0),N(T45)&gt;0)+(N(S45)&gt;=1.5))</f>
        <v/>
      </c>
      <c r="AG45" s="16" t="str">
        <f aca="false">IF(C45="","",IF(AL45="",0,IF(AL45&gt;=3,4,IF(AL45&gt;=2,2,0))))</f>
        <v/>
      </c>
      <c r="AH45" s="16" t="str">
        <f aca="false">IF(C45="","",IF(AND(ISNUMBER(V45),ISNUMBER(A45),V45&gt;=A45,V45-A45&lt;=14),-2,0))</f>
        <v/>
      </c>
      <c r="AI45" s="16" t="str">
        <f aca="false">IF(C45="","",IF(AND(F45="Short",N(U45)&gt;=0.2),-1,0))</f>
        <v/>
      </c>
      <c r="AJ45" s="23" t="str">
        <f aca="false">IF(C45="","",SUM(AB45:AI45))</f>
        <v/>
      </c>
      <c r="AK45" s="24" t="str">
        <f aca="false">IF(C45="","",IF(AJ45&gt;=14,"A",IF(AJ45&gt;=10,"B","C")))</f>
        <v/>
      </c>
      <c r="AL45" s="39" t="str">
        <f aca="false">IFERROR(IF(OR(Y45="",Z45="",AA45=""),"",IF(F45="Short",IF(Z45&lt;=Y45,"",(Y45-AA45)/(Z45-Y45)),IF(Y45&lt;=Z45,"",(AA45-Y45)/(Y45-Z45)))),"")</f>
        <v/>
      </c>
      <c r="AM45" s="37" t="str">
        <f aca="false">IF(OR(Y45="",Z45="",N(Y45)=N(Z45)),"",IF(OR(AND(F45="Short",Z45&lt;Y45),AND(NOT(F45="Short"),Z45&gt;Y45)),"stop on wrong side",ABS(Y45-Z45)))</f>
        <v/>
      </c>
      <c r="AN45" s="40" t="str">
        <f aca="false">IFERROR(IF(OR(NOT(ISNUMBER(AM45)),$C$6=""),"",ROUNDDOWN($C$6*$C$7/AM45,2)),"")</f>
        <v/>
      </c>
      <c r="AO45" s="37" t="str">
        <f aca="false">IFERROR(IF(AN45="","",AN45*Y45),"")</f>
        <v/>
      </c>
      <c r="AP45" s="35"/>
      <c r="AQ45" s="19"/>
      <c r="AR45" s="26"/>
      <c r="AS45" s="41" t="str">
        <f aca="false">IFERROR(IF(OR(AR45="",Y45="",AQ45=""),"",IF(F45="Short",1-AR45/Y45,AR45/Y45-1)),"")</f>
        <v/>
      </c>
      <c r="AT45" s="42" t="str">
        <f aca="true">IF(AQ45="","",IF(ISNUMBER($C$4),$C$4,TODAY())-AQ45)</f>
        <v/>
      </c>
      <c r="AU45" s="14" t="str">
        <f aca="false">IF(C45="","",IF(AP45="Open position",IF(IF(F45="Short",AND(ISNUMBER(AR45),ISNUMBER(Z45),AR45&gt;=Z45),AND(ISNUMBER(AR45),ISNUMBER(Z45),AR45&lt;=Z45)),IF(F45="Short","COVER — stop hit (buy back)","SELL — stop hit"),IF(IF(F45="Short",AND(ISNUMBER(AR45),ISNUMBER(AA45),AR45&lt;=AA45),AND(ISNUMBER(AR45),ISNUMBER(AA45),AR45&gt;=AA45)),"TAKE PROFIT — target hit",IF(AND(ISNUMBER(AT45),AT45&gt;182),IF(F45="Short","COVER — 6-month time limit","SELL — 6-month time limit"),IF(AND(ISNUMBER(AT45),AT45&gt;42,ISNUMBER(AS45),AS45&lt;0.02),"REVIEW — no progress after 6 weeks",IF(IF(F45="Short",AND(L45&lt;&gt;"",N(L45)&gt;0),AND(L45&lt;&gt;"",N(L45)&lt;0)),IF(F45="Short","REVIEW — back above 50-day avg","REVIEW — below 50-day avg"),"HOLD"))))),IF(OR(AP45="Closed",AP45="Dropped"),"Closed",IF(AK45="A",IF(F45="Short","Run Technical Review — SHORT entry","Run Technical Review — LONG entry"),IF(AK45="B","Watch — wait for setup","Drop or re-check next week")))))</f>
        <v/>
      </c>
      <c r="AV45" s="35"/>
      <c r="AX45" s="43" t="str">
        <f aca="false">IF(AND(C45&lt;&gt;"",A45=$C$4,ISNUMBER(AJ45)),AJ45+ROW()/100000,"")</f>
        <v/>
      </c>
    </row>
    <row r="46" customFormat="false" ht="15" hidden="false" customHeight="false" outlineLevel="0" collapsed="false">
      <c r="A46" s="19"/>
      <c r="B46" s="35"/>
      <c r="C46" s="35"/>
      <c r="D46" s="35"/>
      <c r="E46" s="35"/>
      <c r="F46" s="35"/>
      <c r="G46" s="26"/>
      <c r="H46" s="26"/>
      <c r="I46" s="36"/>
      <c r="J46" s="37" t="str">
        <f aca="false">IF(OR(G46="",I46=""),"",G46*I46/1000000)</f>
        <v/>
      </c>
      <c r="K46" s="21"/>
      <c r="L46" s="21"/>
      <c r="M46" s="21"/>
      <c r="N46" s="25"/>
      <c r="O46" s="21"/>
      <c r="P46" s="21"/>
      <c r="Q46" s="21"/>
      <c r="R46" s="21"/>
      <c r="S46" s="38"/>
      <c r="T46" s="21"/>
      <c r="U46" s="21"/>
      <c r="V46" s="19"/>
      <c r="W46" s="26"/>
      <c r="X46" s="35"/>
      <c r="Y46" s="26"/>
      <c r="Z46" s="26"/>
      <c r="AA46" s="26"/>
      <c r="AB46" s="16" t="str">
        <f aca="false">IF(C46="","",IF(F46="Short",(AND(M46&lt;&gt;"",N(M46)&lt;0))+(AND(L46&lt;&gt;"",N(L46)&lt;0))+(AND(K46&lt;&gt;"",N(K46)&lt;0))+AND(L46&lt;&gt;"",M46&lt;&gt;"",N(M46)&lt;N(L46)),(N(M46)&gt;0)+(N(L46)&gt;0)+(N(K46)&gt;0)+AND(L46&lt;&gt;"",M46&lt;&gt;"",N(M46)&gt;N(L46))))</f>
        <v/>
      </c>
      <c r="AC46" s="16" t="str">
        <f aca="false">IF(C46="","",IF(F46="Short",IF(N46="",0,IF(AND(N46&gt;=30,N46&lt;=50),2,IF(OR(AND(N46&gt;=25,N46&lt;30),AND(N46&gt;50,N46&lt;=60)),1,0)))+IF(P46="",0,IF(AND(IF(B46="JSE",$L$5,$L$4)&lt;&gt;"",P46&lt;IF(B46="JSE",$L$5,$L$4)),2,IF(P46&lt;0,1,0))),IF(N46="",0,IF(AND(N46&gt;=50,N46&lt;=70),2,IF(OR(AND(N46&gt;=40,N46&lt;50),AND(N46&gt;70,N46&lt;=75)),1,0)))+IF(P46="",0,IF(AND(IF(B46="JSE",$L$5,$L$4)&lt;&gt;"",P46&gt;IF(B46="JSE",$L$5,$L$4)),2,IF(P46&gt;0,1,0)))))</f>
        <v/>
      </c>
      <c r="AD46" s="16" t="str">
        <f aca="false">IF(C46="","",IF(F46="Short",IF(R46="",0,IF(R46&lt;=0.1,2,IF(R46&lt;=0.25,1,0))),IF(Q46="",0,IF(Q46&gt;=-0.1,2,IF(Q46&gt;=-0.25,1,0)))))</f>
        <v/>
      </c>
      <c r="AE46" s="16" t="str">
        <f aca="false">IF(C46="","",IF(J46="",0,IF(J46&gt;=IF(B46="JSE",$L$7,$L$6),2,IF(J46&gt;=IF(B46="JSE",$L$7,$L$6)/4,1,0))))</f>
        <v/>
      </c>
      <c r="AF46" s="16" t="str">
        <f aca="false">IF(C46="","",IF(F46="Short",AND(T46&lt;&gt;"",N(T46)&lt;0),N(T46)&gt;0)+(N(S46)&gt;=1.5))</f>
        <v/>
      </c>
      <c r="AG46" s="16" t="str">
        <f aca="false">IF(C46="","",IF(AL46="",0,IF(AL46&gt;=3,4,IF(AL46&gt;=2,2,0))))</f>
        <v/>
      </c>
      <c r="AH46" s="16" t="str">
        <f aca="false">IF(C46="","",IF(AND(ISNUMBER(V46),ISNUMBER(A46),V46&gt;=A46,V46-A46&lt;=14),-2,0))</f>
        <v/>
      </c>
      <c r="AI46" s="16" t="str">
        <f aca="false">IF(C46="","",IF(AND(F46="Short",N(U46)&gt;=0.2),-1,0))</f>
        <v/>
      </c>
      <c r="AJ46" s="23" t="str">
        <f aca="false">IF(C46="","",SUM(AB46:AI46))</f>
        <v/>
      </c>
      <c r="AK46" s="24" t="str">
        <f aca="false">IF(C46="","",IF(AJ46&gt;=14,"A",IF(AJ46&gt;=10,"B","C")))</f>
        <v/>
      </c>
      <c r="AL46" s="39" t="str">
        <f aca="false">IFERROR(IF(OR(Y46="",Z46="",AA46=""),"",IF(F46="Short",IF(Z46&lt;=Y46,"",(Y46-AA46)/(Z46-Y46)),IF(Y46&lt;=Z46,"",(AA46-Y46)/(Y46-Z46)))),"")</f>
        <v/>
      </c>
      <c r="AM46" s="37" t="str">
        <f aca="false">IF(OR(Y46="",Z46="",N(Y46)=N(Z46)),"",IF(OR(AND(F46="Short",Z46&lt;Y46),AND(NOT(F46="Short"),Z46&gt;Y46)),"stop on wrong side",ABS(Y46-Z46)))</f>
        <v/>
      </c>
      <c r="AN46" s="40" t="str">
        <f aca="false">IFERROR(IF(OR(NOT(ISNUMBER(AM46)),$C$6=""),"",ROUNDDOWN($C$6*$C$7/AM46,2)),"")</f>
        <v/>
      </c>
      <c r="AO46" s="37" t="str">
        <f aca="false">IFERROR(IF(AN46="","",AN46*Y46),"")</f>
        <v/>
      </c>
      <c r="AP46" s="35"/>
      <c r="AQ46" s="19"/>
      <c r="AR46" s="26"/>
      <c r="AS46" s="41" t="str">
        <f aca="false">IFERROR(IF(OR(AR46="",Y46="",AQ46=""),"",IF(F46="Short",1-AR46/Y46,AR46/Y46-1)),"")</f>
        <v/>
      </c>
      <c r="AT46" s="42" t="str">
        <f aca="true">IF(AQ46="","",IF(ISNUMBER($C$4),$C$4,TODAY())-AQ46)</f>
        <v/>
      </c>
      <c r="AU46" s="14" t="str">
        <f aca="false">IF(C46="","",IF(AP46="Open position",IF(IF(F46="Short",AND(ISNUMBER(AR46),ISNUMBER(Z46),AR46&gt;=Z46),AND(ISNUMBER(AR46),ISNUMBER(Z46),AR46&lt;=Z46)),IF(F46="Short","COVER — stop hit (buy back)","SELL — stop hit"),IF(IF(F46="Short",AND(ISNUMBER(AR46),ISNUMBER(AA46),AR46&lt;=AA46),AND(ISNUMBER(AR46),ISNUMBER(AA46),AR46&gt;=AA46)),"TAKE PROFIT — target hit",IF(AND(ISNUMBER(AT46),AT46&gt;182),IF(F46="Short","COVER — 6-month time limit","SELL — 6-month time limit"),IF(AND(ISNUMBER(AT46),AT46&gt;42,ISNUMBER(AS46),AS46&lt;0.02),"REVIEW — no progress after 6 weeks",IF(IF(F46="Short",AND(L46&lt;&gt;"",N(L46)&gt;0),AND(L46&lt;&gt;"",N(L46)&lt;0)),IF(F46="Short","REVIEW — back above 50-day avg","REVIEW — below 50-day avg"),"HOLD"))))),IF(OR(AP46="Closed",AP46="Dropped"),"Closed",IF(AK46="A",IF(F46="Short","Run Technical Review — SHORT entry","Run Technical Review — LONG entry"),IF(AK46="B","Watch — wait for setup","Drop or re-check next week")))))</f>
        <v/>
      </c>
      <c r="AV46" s="35"/>
      <c r="AX46" s="43" t="str">
        <f aca="false">IF(AND(C46&lt;&gt;"",A46=$C$4,ISNUMBER(AJ46)),AJ46+ROW()/100000,"")</f>
        <v/>
      </c>
    </row>
    <row r="47" customFormat="false" ht="15" hidden="false" customHeight="false" outlineLevel="0" collapsed="false">
      <c r="A47" s="19"/>
      <c r="B47" s="35"/>
      <c r="C47" s="35"/>
      <c r="D47" s="35"/>
      <c r="E47" s="35"/>
      <c r="F47" s="35"/>
      <c r="G47" s="26"/>
      <c r="H47" s="26"/>
      <c r="I47" s="36"/>
      <c r="J47" s="37" t="str">
        <f aca="false">IF(OR(G47="",I47=""),"",G47*I47/1000000)</f>
        <v/>
      </c>
      <c r="K47" s="21"/>
      <c r="L47" s="21"/>
      <c r="M47" s="21"/>
      <c r="N47" s="25"/>
      <c r="O47" s="21"/>
      <c r="P47" s="21"/>
      <c r="Q47" s="21"/>
      <c r="R47" s="21"/>
      <c r="S47" s="38"/>
      <c r="T47" s="21"/>
      <c r="U47" s="21"/>
      <c r="V47" s="19"/>
      <c r="W47" s="26"/>
      <c r="X47" s="35"/>
      <c r="Y47" s="26"/>
      <c r="Z47" s="26"/>
      <c r="AA47" s="26"/>
      <c r="AB47" s="16" t="str">
        <f aca="false">IF(C47="","",IF(F47="Short",(AND(M47&lt;&gt;"",N(M47)&lt;0))+(AND(L47&lt;&gt;"",N(L47)&lt;0))+(AND(K47&lt;&gt;"",N(K47)&lt;0))+AND(L47&lt;&gt;"",M47&lt;&gt;"",N(M47)&lt;N(L47)),(N(M47)&gt;0)+(N(L47)&gt;0)+(N(K47)&gt;0)+AND(L47&lt;&gt;"",M47&lt;&gt;"",N(M47)&gt;N(L47))))</f>
        <v/>
      </c>
      <c r="AC47" s="16" t="str">
        <f aca="false">IF(C47="","",IF(F47="Short",IF(N47="",0,IF(AND(N47&gt;=30,N47&lt;=50),2,IF(OR(AND(N47&gt;=25,N47&lt;30),AND(N47&gt;50,N47&lt;=60)),1,0)))+IF(P47="",0,IF(AND(IF(B47="JSE",$L$5,$L$4)&lt;&gt;"",P47&lt;IF(B47="JSE",$L$5,$L$4)),2,IF(P47&lt;0,1,0))),IF(N47="",0,IF(AND(N47&gt;=50,N47&lt;=70),2,IF(OR(AND(N47&gt;=40,N47&lt;50),AND(N47&gt;70,N47&lt;=75)),1,0)))+IF(P47="",0,IF(AND(IF(B47="JSE",$L$5,$L$4)&lt;&gt;"",P47&gt;IF(B47="JSE",$L$5,$L$4)),2,IF(P47&gt;0,1,0)))))</f>
        <v/>
      </c>
      <c r="AD47" s="16" t="str">
        <f aca="false">IF(C47="","",IF(F47="Short",IF(R47="",0,IF(R47&lt;=0.1,2,IF(R47&lt;=0.25,1,0))),IF(Q47="",0,IF(Q47&gt;=-0.1,2,IF(Q47&gt;=-0.25,1,0)))))</f>
        <v/>
      </c>
      <c r="AE47" s="16" t="str">
        <f aca="false">IF(C47="","",IF(J47="",0,IF(J47&gt;=IF(B47="JSE",$L$7,$L$6),2,IF(J47&gt;=IF(B47="JSE",$L$7,$L$6)/4,1,0))))</f>
        <v/>
      </c>
      <c r="AF47" s="16" t="str">
        <f aca="false">IF(C47="","",IF(F47="Short",AND(T47&lt;&gt;"",N(T47)&lt;0),N(T47)&gt;0)+(N(S47)&gt;=1.5))</f>
        <v/>
      </c>
      <c r="AG47" s="16" t="str">
        <f aca="false">IF(C47="","",IF(AL47="",0,IF(AL47&gt;=3,4,IF(AL47&gt;=2,2,0))))</f>
        <v/>
      </c>
      <c r="AH47" s="16" t="str">
        <f aca="false">IF(C47="","",IF(AND(ISNUMBER(V47),ISNUMBER(A47),V47&gt;=A47,V47-A47&lt;=14),-2,0))</f>
        <v/>
      </c>
      <c r="AI47" s="16" t="str">
        <f aca="false">IF(C47="","",IF(AND(F47="Short",N(U47)&gt;=0.2),-1,0))</f>
        <v/>
      </c>
      <c r="AJ47" s="23" t="str">
        <f aca="false">IF(C47="","",SUM(AB47:AI47))</f>
        <v/>
      </c>
      <c r="AK47" s="24" t="str">
        <f aca="false">IF(C47="","",IF(AJ47&gt;=14,"A",IF(AJ47&gt;=10,"B","C")))</f>
        <v/>
      </c>
      <c r="AL47" s="39" t="str">
        <f aca="false">IFERROR(IF(OR(Y47="",Z47="",AA47=""),"",IF(F47="Short",IF(Z47&lt;=Y47,"",(Y47-AA47)/(Z47-Y47)),IF(Y47&lt;=Z47,"",(AA47-Y47)/(Y47-Z47)))),"")</f>
        <v/>
      </c>
      <c r="AM47" s="37" t="str">
        <f aca="false">IF(OR(Y47="",Z47="",N(Y47)=N(Z47)),"",IF(OR(AND(F47="Short",Z47&lt;Y47),AND(NOT(F47="Short"),Z47&gt;Y47)),"stop on wrong side",ABS(Y47-Z47)))</f>
        <v/>
      </c>
      <c r="AN47" s="40" t="str">
        <f aca="false">IFERROR(IF(OR(NOT(ISNUMBER(AM47)),$C$6=""),"",ROUNDDOWN($C$6*$C$7/AM47,2)),"")</f>
        <v/>
      </c>
      <c r="AO47" s="37" t="str">
        <f aca="false">IFERROR(IF(AN47="","",AN47*Y47),"")</f>
        <v/>
      </c>
      <c r="AP47" s="35"/>
      <c r="AQ47" s="19"/>
      <c r="AR47" s="26"/>
      <c r="AS47" s="41" t="str">
        <f aca="false">IFERROR(IF(OR(AR47="",Y47="",AQ47=""),"",IF(F47="Short",1-AR47/Y47,AR47/Y47-1)),"")</f>
        <v/>
      </c>
      <c r="AT47" s="42" t="str">
        <f aca="true">IF(AQ47="","",IF(ISNUMBER($C$4),$C$4,TODAY())-AQ47)</f>
        <v/>
      </c>
      <c r="AU47" s="14" t="str">
        <f aca="false">IF(C47="","",IF(AP47="Open position",IF(IF(F47="Short",AND(ISNUMBER(AR47),ISNUMBER(Z47),AR47&gt;=Z47),AND(ISNUMBER(AR47),ISNUMBER(Z47),AR47&lt;=Z47)),IF(F47="Short","COVER — stop hit (buy back)","SELL — stop hit"),IF(IF(F47="Short",AND(ISNUMBER(AR47),ISNUMBER(AA47),AR47&lt;=AA47),AND(ISNUMBER(AR47),ISNUMBER(AA47),AR47&gt;=AA47)),"TAKE PROFIT — target hit",IF(AND(ISNUMBER(AT47),AT47&gt;182),IF(F47="Short","COVER — 6-month time limit","SELL — 6-month time limit"),IF(AND(ISNUMBER(AT47),AT47&gt;42,ISNUMBER(AS47),AS47&lt;0.02),"REVIEW — no progress after 6 weeks",IF(IF(F47="Short",AND(L47&lt;&gt;"",N(L47)&gt;0),AND(L47&lt;&gt;"",N(L47)&lt;0)),IF(F47="Short","REVIEW — back above 50-day avg","REVIEW — below 50-day avg"),"HOLD"))))),IF(OR(AP47="Closed",AP47="Dropped"),"Closed",IF(AK47="A",IF(F47="Short","Run Technical Review — SHORT entry","Run Technical Review — LONG entry"),IF(AK47="B","Watch — wait for setup","Drop or re-check next week")))))</f>
        <v/>
      </c>
      <c r="AV47" s="35"/>
      <c r="AX47" s="43" t="str">
        <f aca="false">IF(AND(C47&lt;&gt;"",A47=$C$4,ISNUMBER(AJ47)),AJ47+ROW()/100000,"")</f>
        <v/>
      </c>
    </row>
    <row r="48" customFormat="false" ht="15" hidden="false" customHeight="false" outlineLevel="0" collapsed="false">
      <c r="A48" s="19"/>
      <c r="B48" s="35"/>
      <c r="C48" s="35"/>
      <c r="D48" s="35"/>
      <c r="E48" s="35"/>
      <c r="F48" s="35"/>
      <c r="G48" s="26"/>
      <c r="H48" s="26"/>
      <c r="I48" s="36"/>
      <c r="J48" s="37" t="str">
        <f aca="false">IF(OR(G48="",I48=""),"",G48*I48/1000000)</f>
        <v/>
      </c>
      <c r="K48" s="21"/>
      <c r="L48" s="21"/>
      <c r="M48" s="21"/>
      <c r="N48" s="25"/>
      <c r="O48" s="21"/>
      <c r="P48" s="21"/>
      <c r="Q48" s="21"/>
      <c r="R48" s="21"/>
      <c r="S48" s="38"/>
      <c r="T48" s="21"/>
      <c r="U48" s="21"/>
      <c r="V48" s="19"/>
      <c r="W48" s="26"/>
      <c r="X48" s="35"/>
      <c r="Y48" s="26"/>
      <c r="Z48" s="26"/>
      <c r="AA48" s="26"/>
      <c r="AB48" s="16" t="str">
        <f aca="false">IF(C48="","",IF(F48="Short",(AND(M48&lt;&gt;"",N(M48)&lt;0))+(AND(L48&lt;&gt;"",N(L48)&lt;0))+(AND(K48&lt;&gt;"",N(K48)&lt;0))+AND(L48&lt;&gt;"",M48&lt;&gt;"",N(M48)&lt;N(L48)),(N(M48)&gt;0)+(N(L48)&gt;0)+(N(K48)&gt;0)+AND(L48&lt;&gt;"",M48&lt;&gt;"",N(M48)&gt;N(L48))))</f>
        <v/>
      </c>
      <c r="AC48" s="16" t="str">
        <f aca="false">IF(C48="","",IF(F48="Short",IF(N48="",0,IF(AND(N48&gt;=30,N48&lt;=50),2,IF(OR(AND(N48&gt;=25,N48&lt;30),AND(N48&gt;50,N48&lt;=60)),1,0)))+IF(P48="",0,IF(AND(IF(B48="JSE",$L$5,$L$4)&lt;&gt;"",P48&lt;IF(B48="JSE",$L$5,$L$4)),2,IF(P48&lt;0,1,0))),IF(N48="",0,IF(AND(N48&gt;=50,N48&lt;=70),2,IF(OR(AND(N48&gt;=40,N48&lt;50),AND(N48&gt;70,N48&lt;=75)),1,0)))+IF(P48="",0,IF(AND(IF(B48="JSE",$L$5,$L$4)&lt;&gt;"",P48&gt;IF(B48="JSE",$L$5,$L$4)),2,IF(P48&gt;0,1,0)))))</f>
        <v/>
      </c>
      <c r="AD48" s="16" t="str">
        <f aca="false">IF(C48="","",IF(F48="Short",IF(R48="",0,IF(R48&lt;=0.1,2,IF(R48&lt;=0.25,1,0))),IF(Q48="",0,IF(Q48&gt;=-0.1,2,IF(Q48&gt;=-0.25,1,0)))))</f>
        <v/>
      </c>
      <c r="AE48" s="16" t="str">
        <f aca="false">IF(C48="","",IF(J48="",0,IF(J48&gt;=IF(B48="JSE",$L$7,$L$6),2,IF(J48&gt;=IF(B48="JSE",$L$7,$L$6)/4,1,0))))</f>
        <v/>
      </c>
      <c r="AF48" s="16" t="str">
        <f aca="false">IF(C48="","",IF(F48="Short",AND(T48&lt;&gt;"",N(T48)&lt;0),N(T48)&gt;0)+(N(S48)&gt;=1.5))</f>
        <v/>
      </c>
      <c r="AG48" s="16" t="str">
        <f aca="false">IF(C48="","",IF(AL48="",0,IF(AL48&gt;=3,4,IF(AL48&gt;=2,2,0))))</f>
        <v/>
      </c>
      <c r="AH48" s="16" t="str">
        <f aca="false">IF(C48="","",IF(AND(ISNUMBER(V48),ISNUMBER(A48),V48&gt;=A48,V48-A48&lt;=14),-2,0))</f>
        <v/>
      </c>
      <c r="AI48" s="16" t="str">
        <f aca="false">IF(C48="","",IF(AND(F48="Short",N(U48)&gt;=0.2),-1,0))</f>
        <v/>
      </c>
      <c r="AJ48" s="23" t="str">
        <f aca="false">IF(C48="","",SUM(AB48:AI48))</f>
        <v/>
      </c>
      <c r="AK48" s="24" t="str">
        <f aca="false">IF(C48="","",IF(AJ48&gt;=14,"A",IF(AJ48&gt;=10,"B","C")))</f>
        <v/>
      </c>
      <c r="AL48" s="39" t="str">
        <f aca="false">IFERROR(IF(OR(Y48="",Z48="",AA48=""),"",IF(F48="Short",IF(Z48&lt;=Y48,"",(Y48-AA48)/(Z48-Y48)),IF(Y48&lt;=Z48,"",(AA48-Y48)/(Y48-Z48)))),"")</f>
        <v/>
      </c>
      <c r="AM48" s="37" t="str">
        <f aca="false">IF(OR(Y48="",Z48="",N(Y48)=N(Z48)),"",IF(OR(AND(F48="Short",Z48&lt;Y48),AND(NOT(F48="Short"),Z48&gt;Y48)),"stop on wrong side",ABS(Y48-Z48)))</f>
        <v/>
      </c>
      <c r="AN48" s="40" t="str">
        <f aca="false">IFERROR(IF(OR(NOT(ISNUMBER(AM48)),$C$6=""),"",ROUNDDOWN($C$6*$C$7/AM48,2)),"")</f>
        <v/>
      </c>
      <c r="AO48" s="37" t="str">
        <f aca="false">IFERROR(IF(AN48="","",AN48*Y48),"")</f>
        <v/>
      </c>
      <c r="AP48" s="35"/>
      <c r="AQ48" s="19"/>
      <c r="AR48" s="26"/>
      <c r="AS48" s="41" t="str">
        <f aca="false">IFERROR(IF(OR(AR48="",Y48="",AQ48=""),"",IF(F48="Short",1-AR48/Y48,AR48/Y48-1)),"")</f>
        <v/>
      </c>
      <c r="AT48" s="42" t="str">
        <f aca="true">IF(AQ48="","",IF(ISNUMBER($C$4),$C$4,TODAY())-AQ48)</f>
        <v/>
      </c>
      <c r="AU48" s="14" t="str">
        <f aca="false">IF(C48="","",IF(AP48="Open position",IF(IF(F48="Short",AND(ISNUMBER(AR48),ISNUMBER(Z48),AR48&gt;=Z48),AND(ISNUMBER(AR48),ISNUMBER(Z48),AR48&lt;=Z48)),IF(F48="Short","COVER — stop hit (buy back)","SELL — stop hit"),IF(IF(F48="Short",AND(ISNUMBER(AR48),ISNUMBER(AA48),AR48&lt;=AA48),AND(ISNUMBER(AR48),ISNUMBER(AA48),AR48&gt;=AA48)),"TAKE PROFIT — target hit",IF(AND(ISNUMBER(AT48),AT48&gt;182),IF(F48="Short","COVER — 6-month time limit","SELL — 6-month time limit"),IF(AND(ISNUMBER(AT48),AT48&gt;42,ISNUMBER(AS48),AS48&lt;0.02),"REVIEW — no progress after 6 weeks",IF(IF(F48="Short",AND(L48&lt;&gt;"",N(L48)&gt;0),AND(L48&lt;&gt;"",N(L48)&lt;0)),IF(F48="Short","REVIEW — back above 50-day avg","REVIEW — below 50-day avg"),"HOLD"))))),IF(OR(AP48="Closed",AP48="Dropped"),"Closed",IF(AK48="A",IF(F48="Short","Run Technical Review — SHORT entry","Run Technical Review — LONG entry"),IF(AK48="B","Watch — wait for setup","Drop or re-check next week")))))</f>
        <v/>
      </c>
      <c r="AV48" s="35"/>
      <c r="AX48" s="43" t="str">
        <f aca="false">IF(AND(C48&lt;&gt;"",A48=$C$4,ISNUMBER(AJ48)),AJ48+ROW()/100000,"")</f>
        <v/>
      </c>
    </row>
    <row r="49" customFormat="false" ht="15" hidden="false" customHeight="false" outlineLevel="0" collapsed="false">
      <c r="A49" s="19"/>
      <c r="B49" s="35"/>
      <c r="C49" s="35"/>
      <c r="D49" s="35"/>
      <c r="E49" s="35"/>
      <c r="F49" s="35"/>
      <c r="G49" s="26"/>
      <c r="H49" s="26"/>
      <c r="I49" s="36"/>
      <c r="J49" s="37" t="str">
        <f aca="false">IF(OR(G49="",I49=""),"",G49*I49/1000000)</f>
        <v/>
      </c>
      <c r="K49" s="21"/>
      <c r="L49" s="21"/>
      <c r="M49" s="21"/>
      <c r="N49" s="25"/>
      <c r="O49" s="21"/>
      <c r="P49" s="21"/>
      <c r="Q49" s="21"/>
      <c r="R49" s="21"/>
      <c r="S49" s="38"/>
      <c r="T49" s="21"/>
      <c r="U49" s="21"/>
      <c r="V49" s="19"/>
      <c r="W49" s="26"/>
      <c r="X49" s="35"/>
      <c r="Y49" s="26"/>
      <c r="Z49" s="26"/>
      <c r="AA49" s="26"/>
      <c r="AB49" s="16" t="str">
        <f aca="false">IF(C49="","",IF(F49="Short",(AND(M49&lt;&gt;"",N(M49)&lt;0))+(AND(L49&lt;&gt;"",N(L49)&lt;0))+(AND(K49&lt;&gt;"",N(K49)&lt;0))+AND(L49&lt;&gt;"",M49&lt;&gt;"",N(M49)&lt;N(L49)),(N(M49)&gt;0)+(N(L49)&gt;0)+(N(K49)&gt;0)+AND(L49&lt;&gt;"",M49&lt;&gt;"",N(M49)&gt;N(L49))))</f>
        <v/>
      </c>
      <c r="AC49" s="16" t="str">
        <f aca="false">IF(C49="","",IF(F49="Short",IF(N49="",0,IF(AND(N49&gt;=30,N49&lt;=50),2,IF(OR(AND(N49&gt;=25,N49&lt;30),AND(N49&gt;50,N49&lt;=60)),1,0)))+IF(P49="",0,IF(AND(IF(B49="JSE",$L$5,$L$4)&lt;&gt;"",P49&lt;IF(B49="JSE",$L$5,$L$4)),2,IF(P49&lt;0,1,0))),IF(N49="",0,IF(AND(N49&gt;=50,N49&lt;=70),2,IF(OR(AND(N49&gt;=40,N49&lt;50),AND(N49&gt;70,N49&lt;=75)),1,0)))+IF(P49="",0,IF(AND(IF(B49="JSE",$L$5,$L$4)&lt;&gt;"",P49&gt;IF(B49="JSE",$L$5,$L$4)),2,IF(P49&gt;0,1,0)))))</f>
        <v/>
      </c>
      <c r="AD49" s="16" t="str">
        <f aca="false">IF(C49="","",IF(F49="Short",IF(R49="",0,IF(R49&lt;=0.1,2,IF(R49&lt;=0.25,1,0))),IF(Q49="",0,IF(Q49&gt;=-0.1,2,IF(Q49&gt;=-0.25,1,0)))))</f>
        <v/>
      </c>
      <c r="AE49" s="16" t="str">
        <f aca="false">IF(C49="","",IF(J49="",0,IF(J49&gt;=IF(B49="JSE",$L$7,$L$6),2,IF(J49&gt;=IF(B49="JSE",$L$7,$L$6)/4,1,0))))</f>
        <v/>
      </c>
      <c r="AF49" s="16" t="str">
        <f aca="false">IF(C49="","",IF(F49="Short",AND(T49&lt;&gt;"",N(T49)&lt;0),N(T49)&gt;0)+(N(S49)&gt;=1.5))</f>
        <v/>
      </c>
      <c r="AG49" s="16" t="str">
        <f aca="false">IF(C49="","",IF(AL49="",0,IF(AL49&gt;=3,4,IF(AL49&gt;=2,2,0))))</f>
        <v/>
      </c>
      <c r="AH49" s="16" t="str">
        <f aca="false">IF(C49="","",IF(AND(ISNUMBER(V49),ISNUMBER(A49),V49&gt;=A49,V49-A49&lt;=14),-2,0))</f>
        <v/>
      </c>
      <c r="AI49" s="16" t="str">
        <f aca="false">IF(C49="","",IF(AND(F49="Short",N(U49)&gt;=0.2),-1,0))</f>
        <v/>
      </c>
      <c r="AJ49" s="23" t="str">
        <f aca="false">IF(C49="","",SUM(AB49:AI49))</f>
        <v/>
      </c>
      <c r="AK49" s="24" t="str">
        <f aca="false">IF(C49="","",IF(AJ49&gt;=14,"A",IF(AJ49&gt;=10,"B","C")))</f>
        <v/>
      </c>
      <c r="AL49" s="39" t="str">
        <f aca="false">IFERROR(IF(OR(Y49="",Z49="",AA49=""),"",IF(F49="Short",IF(Z49&lt;=Y49,"",(Y49-AA49)/(Z49-Y49)),IF(Y49&lt;=Z49,"",(AA49-Y49)/(Y49-Z49)))),"")</f>
        <v/>
      </c>
      <c r="AM49" s="37" t="str">
        <f aca="false">IF(OR(Y49="",Z49="",N(Y49)=N(Z49)),"",IF(OR(AND(F49="Short",Z49&lt;Y49),AND(NOT(F49="Short"),Z49&gt;Y49)),"stop on wrong side",ABS(Y49-Z49)))</f>
        <v/>
      </c>
      <c r="AN49" s="40" t="str">
        <f aca="false">IFERROR(IF(OR(NOT(ISNUMBER(AM49)),$C$6=""),"",ROUNDDOWN($C$6*$C$7/AM49,2)),"")</f>
        <v/>
      </c>
      <c r="AO49" s="37" t="str">
        <f aca="false">IFERROR(IF(AN49="","",AN49*Y49),"")</f>
        <v/>
      </c>
      <c r="AP49" s="35"/>
      <c r="AQ49" s="19"/>
      <c r="AR49" s="26"/>
      <c r="AS49" s="41" t="str">
        <f aca="false">IFERROR(IF(OR(AR49="",Y49="",AQ49=""),"",IF(F49="Short",1-AR49/Y49,AR49/Y49-1)),"")</f>
        <v/>
      </c>
      <c r="AT49" s="42" t="str">
        <f aca="true">IF(AQ49="","",IF(ISNUMBER($C$4),$C$4,TODAY())-AQ49)</f>
        <v/>
      </c>
      <c r="AU49" s="14" t="str">
        <f aca="false">IF(C49="","",IF(AP49="Open position",IF(IF(F49="Short",AND(ISNUMBER(AR49),ISNUMBER(Z49),AR49&gt;=Z49),AND(ISNUMBER(AR49),ISNUMBER(Z49),AR49&lt;=Z49)),IF(F49="Short","COVER — stop hit (buy back)","SELL — stop hit"),IF(IF(F49="Short",AND(ISNUMBER(AR49),ISNUMBER(AA49),AR49&lt;=AA49),AND(ISNUMBER(AR49),ISNUMBER(AA49),AR49&gt;=AA49)),"TAKE PROFIT — target hit",IF(AND(ISNUMBER(AT49),AT49&gt;182),IF(F49="Short","COVER — 6-month time limit","SELL — 6-month time limit"),IF(AND(ISNUMBER(AT49),AT49&gt;42,ISNUMBER(AS49),AS49&lt;0.02),"REVIEW — no progress after 6 weeks",IF(IF(F49="Short",AND(L49&lt;&gt;"",N(L49)&gt;0),AND(L49&lt;&gt;"",N(L49)&lt;0)),IF(F49="Short","REVIEW — back above 50-day avg","REVIEW — below 50-day avg"),"HOLD"))))),IF(OR(AP49="Closed",AP49="Dropped"),"Closed",IF(AK49="A",IF(F49="Short","Run Technical Review — SHORT entry","Run Technical Review — LONG entry"),IF(AK49="B","Watch — wait for setup","Drop or re-check next week")))))</f>
        <v/>
      </c>
      <c r="AV49" s="35"/>
      <c r="AX49" s="43" t="str">
        <f aca="false">IF(AND(C49&lt;&gt;"",A49=$C$4,ISNUMBER(AJ49)),AJ49+ROW()/100000,"")</f>
        <v/>
      </c>
    </row>
    <row r="50" customFormat="false" ht="15" hidden="false" customHeight="false" outlineLevel="0" collapsed="false">
      <c r="A50" s="19"/>
      <c r="B50" s="35"/>
      <c r="C50" s="35"/>
      <c r="D50" s="35"/>
      <c r="E50" s="35"/>
      <c r="F50" s="35"/>
      <c r="G50" s="26"/>
      <c r="H50" s="26"/>
      <c r="I50" s="36"/>
      <c r="J50" s="37" t="str">
        <f aca="false">IF(OR(G50="",I50=""),"",G50*I50/1000000)</f>
        <v/>
      </c>
      <c r="K50" s="21"/>
      <c r="L50" s="21"/>
      <c r="M50" s="21"/>
      <c r="N50" s="25"/>
      <c r="O50" s="21"/>
      <c r="P50" s="21"/>
      <c r="Q50" s="21"/>
      <c r="R50" s="21"/>
      <c r="S50" s="38"/>
      <c r="T50" s="21"/>
      <c r="U50" s="21"/>
      <c r="V50" s="19"/>
      <c r="W50" s="26"/>
      <c r="X50" s="35"/>
      <c r="Y50" s="26"/>
      <c r="Z50" s="26"/>
      <c r="AA50" s="26"/>
      <c r="AB50" s="16" t="str">
        <f aca="false">IF(C50="","",IF(F50="Short",(AND(M50&lt;&gt;"",N(M50)&lt;0))+(AND(L50&lt;&gt;"",N(L50)&lt;0))+(AND(K50&lt;&gt;"",N(K50)&lt;0))+AND(L50&lt;&gt;"",M50&lt;&gt;"",N(M50)&lt;N(L50)),(N(M50)&gt;0)+(N(L50)&gt;0)+(N(K50)&gt;0)+AND(L50&lt;&gt;"",M50&lt;&gt;"",N(M50)&gt;N(L50))))</f>
        <v/>
      </c>
      <c r="AC50" s="16" t="str">
        <f aca="false">IF(C50="","",IF(F50="Short",IF(N50="",0,IF(AND(N50&gt;=30,N50&lt;=50),2,IF(OR(AND(N50&gt;=25,N50&lt;30),AND(N50&gt;50,N50&lt;=60)),1,0)))+IF(P50="",0,IF(AND(IF(B50="JSE",$L$5,$L$4)&lt;&gt;"",P50&lt;IF(B50="JSE",$L$5,$L$4)),2,IF(P50&lt;0,1,0))),IF(N50="",0,IF(AND(N50&gt;=50,N50&lt;=70),2,IF(OR(AND(N50&gt;=40,N50&lt;50),AND(N50&gt;70,N50&lt;=75)),1,0)))+IF(P50="",0,IF(AND(IF(B50="JSE",$L$5,$L$4)&lt;&gt;"",P50&gt;IF(B50="JSE",$L$5,$L$4)),2,IF(P50&gt;0,1,0)))))</f>
        <v/>
      </c>
      <c r="AD50" s="16" t="str">
        <f aca="false">IF(C50="","",IF(F50="Short",IF(R50="",0,IF(R50&lt;=0.1,2,IF(R50&lt;=0.25,1,0))),IF(Q50="",0,IF(Q50&gt;=-0.1,2,IF(Q50&gt;=-0.25,1,0)))))</f>
        <v/>
      </c>
      <c r="AE50" s="16" t="str">
        <f aca="false">IF(C50="","",IF(J50="",0,IF(J50&gt;=IF(B50="JSE",$L$7,$L$6),2,IF(J50&gt;=IF(B50="JSE",$L$7,$L$6)/4,1,0))))</f>
        <v/>
      </c>
      <c r="AF50" s="16" t="str">
        <f aca="false">IF(C50="","",IF(F50="Short",AND(T50&lt;&gt;"",N(T50)&lt;0),N(T50)&gt;0)+(N(S50)&gt;=1.5))</f>
        <v/>
      </c>
      <c r="AG50" s="16" t="str">
        <f aca="false">IF(C50="","",IF(AL50="",0,IF(AL50&gt;=3,4,IF(AL50&gt;=2,2,0))))</f>
        <v/>
      </c>
      <c r="AH50" s="16" t="str">
        <f aca="false">IF(C50="","",IF(AND(ISNUMBER(V50),ISNUMBER(A50),V50&gt;=A50,V50-A50&lt;=14),-2,0))</f>
        <v/>
      </c>
      <c r="AI50" s="16" t="str">
        <f aca="false">IF(C50="","",IF(AND(F50="Short",N(U50)&gt;=0.2),-1,0))</f>
        <v/>
      </c>
      <c r="AJ50" s="23" t="str">
        <f aca="false">IF(C50="","",SUM(AB50:AI50))</f>
        <v/>
      </c>
      <c r="AK50" s="24" t="str">
        <f aca="false">IF(C50="","",IF(AJ50&gt;=14,"A",IF(AJ50&gt;=10,"B","C")))</f>
        <v/>
      </c>
      <c r="AL50" s="39" t="str">
        <f aca="false">IFERROR(IF(OR(Y50="",Z50="",AA50=""),"",IF(F50="Short",IF(Z50&lt;=Y50,"",(Y50-AA50)/(Z50-Y50)),IF(Y50&lt;=Z50,"",(AA50-Y50)/(Y50-Z50)))),"")</f>
        <v/>
      </c>
      <c r="AM50" s="37" t="str">
        <f aca="false">IF(OR(Y50="",Z50="",N(Y50)=N(Z50)),"",IF(OR(AND(F50="Short",Z50&lt;Y50),AND(NOT(F50="Short"),Z50&gt;Y50)),"stop on wrong side",ABS(Y50-Z50)))</f>
        <v/>
      </c>
      <c r="AN50" s="40" t="str">
        <f aca="false">IFERROR(IF(OR(NOT(ISNUMBER(AM50)),$C$6=""),"",ROUNDDOWN($C$6*$C$7/AM50,2)),"")</f>
        <v/>
      </c>
      <c r="AO50" s="37" t="str">
        <f aca="false">IFERROR(IF(AN50="","",AN50*Y50),"")</f>
        <v/>
      </c>
      <c r="AP50" s="35"/>
      <c r="AQ50" s="19"/>
      <c r="AR50" s="26"/>
      <c r="AS50" s="41" t="str">
        <f aca="false">IFERROR(IF(OR(AR50="",Y50="",AQ50=""),"",IF(F50="Short",1-AR50/Y50,AR50/Y50-1)),"")</f>
        <v/>
      </c>
      <c r="AT50" s="42" t="str">
        <f aca="true">IF(AQ50="","",IF(ISNUMBER($C$4),$C$4,TODAY())-AQ50)</f>
        <v/>
      </c>
      <c r="AU50" s="14" t="str">
        <f aca="false">IF(C50="","",IF(AP50="Open position",IF(IF(F50="Short",AND(ISNUMBER(AR50),ISNUMBER(Z50),AR50&gt;=Z50),AND(ISNUMBER(AR50),ISNUMBER(Z50),AR50&lt;=Z50)),IF(F50="Short","COVER — stop hit (buy back)","SELL — stop hit"),IF(IF(F50="Short",AND(ISNUMBER(AR50),ISNUMBER(AA50),AR50&lt;=AA50),AND(ISNUMBER(AR50),ISNUMBER(AA50),AR50&gt;=AA50)),"TAKE PROFIT — target hit",IF(AND(ISNUMBER(AT50),AT50&gt;182),IF(F50="Short","COVER — 6-month time limit","SELL — 6-month time limit"),IF(AND(ISNUMBER(AT50),AT50&gt;42,ISNUMBER(AS50),AS50&lt;0.02),"REVIEW — no progress after 6 weeks",IF(IF(F50="Short",AND(L50&lt;&gt;"",N(L50)&gt;0),AND(L50&lt;&gt;"",N(L50)&lt;0)),IF(F50="Short","REVIEW — back above 50-day avg","REVIEW — below 50-day avg"),"HOLD"))))),IF(OR(AP50="Closed",AP50="Dropped"),"Closed",IF(AK50="A",IF(F50="Short","Run Technical Review — SHORT entry","Run Technical Review — LONG entry"),IF(AK50="B","Watch — wait for setup","Drop or re-check next week")))))</f>
        <v/>
      </c>
      <c r="AV50" s="35"/>
      <c r="AX50" s="43" t="str">
        <f aca="false">IF(AND(C50&lt;&gt;"",A50=$C$4,ISNUMBER(AJ50)),AJ50+ROW()/100000,"")</f>
        <v/>
      </c>
    </row>
    <row r="51" customFormat="false" ht="15" hidden="false" customHeight="false" outlineLevel="0" collapsed="false">
      <c r="A51" s="19"/>
      <c r="B51" s="35"/>
      <c r="C51" s="35"/>
      <c r="D51" s="35"/>
      <c r="E51" s="35"/>
      <c r="F51" s="35"/>
      <c r="G51" s="26"/>
      <c r="H51" s="26"/>
      <c r="I51" s="36"/>
      <c r="J51" s="37" t="str">
        <f aca="false">IF(OR(G51="",I51=""),"",G51*I51/1000000)</f>
        <v/>
      </c>
      <c r="K51" s="21"/>
      <c r="L51" s="21"/>
      <c r="M51" s="21"/>
      <c r="N51" s="25"/>
      <c r="O51" s="21"/>
      <c r="P51" s="21"/>
      <c r="Q51" s="21"/>
      <c r="R51" s="21"/>
      <c r="S51" s="38"/>
      <c r="T51" s="21"/>
      <c r="U51" s="21"/>
      <c r="V51" s="19"/>
      <c r="W51" s="26"/>
      <c r="X51" s="35"/>
      <c r="Y51" s="26"/>
      <c r="Z51" s="26"/>
      <c r="AA51" s="26"/>
      <c r="AB51" s="16" t="str">
        <f aca="false">IF(C51="","",IF(F51="Short",(AND(M51&lt;&gt;"",N(M51)&lt;0))+(AND(L51&lt;&gt;"",N(L51)&lt;0))+(AND(K51&lt;&gt;"",N(K51)&lt;0))+AND(L51&lt;&gt;"",M51&lt;&gt;"",N(M51)&lt;N(L51)),(N(M51)&gt;0)+(N(L51)&gt;0)+(N(K51)&gt;0)+AND(L51&lt;&gt;"",M51&lt;&gt;"",N(M51)&gt;N(L51))))</f>
        <v/>
      </c>
      <c r="AC51" s="16" t="str">
        <f aca="false">IF(C51="","",IF(F51="Short",IF(N51="",0,IF(AND(N51&gt;=30,N51&lt;=50),2,IF(OR(AND(N51&gt;=25,N51&lt;30),AND(N51&gt;50,N51&lt;=60)),1,0)))+IF(P51="",0,IF(AND(IF(B51="JSE",$L$5,$L$4)&lt;&gt;"",P51&lt;IF(B51="JSE",$L$5,$L$4)),2,IF(P51&lt;0,1,0))),IF(N51="",0,IF(AND(N51&gt;=50,N51&lt;=70),2,IF(OR(AND(N51&gt;=40,N51&lt;50),AND(N51&gt;70,N51&lt;=75)),1,0)))+IF(P51="",0,IF(AND(IF(B51="JSE",$L$5,$L$4)&lt;&gt;"",P51&gt;IF(B51="JSE",$L$5,$L$4)),2,IF(P51&gt;0,1,0)))))</f>
        <v/>
      </c>
      <c r="AD51" s="16" t="str">
        <f aca="false">IF(C51="","",IF(F51="Short",IF(R51="",0,IF(R51&lt;=0.1,2,IF(R51&lt;=0.25,1,0))),IF(Q51="",0,IF(Q51&gt;=-0.1,2,IF(Q51&gt;=-0.25,1,0)))))</f>
        <v/>
      </c>
      <c r="AE51" s="16" t="str">
        <f aca="false">IF(C51="","",IF(J51="",0,IF(J51&gt;=IF(B51="JSE",$L$7,$L$6),2,IF(J51&gt;=IF(B51="JSE",$L$7,$L$6)/4,1,0))))</f>
        <v/>
      </c>
      <c r="AF51" s="16" t="str">
        <f aca="false">IF(C51="","",IF(F51="Short",AND(T51&lt;&gt;"",N(T51)&lt;0),N(T51)&gt;0)+(N(S51)&gt;=1.5))</f>
        <v/>
      </c>
      <c r="AG51" s="16" t="str">
        <f aca="false">IF(C51="","",IF(AL51="",0,IF(AL51&gt;=3,4,IF(AL51&gt;=2,2,0))))</f>
        <v/>
      </c>
      <c r="AH51" s="16" t="str">
        <f aca="false">IF(C51="","",IF(AND(ISNUMBER(V51),ISNUMBER(A51),V51&gt;=A51,V51-A51&lt;=14),-2,0))</f>
        <v/>
      </c>
      <c r="AI51" s="16" t="str">
        <f aca="false">IF(C51="","",IF(AND(F51="Short",N(U51)&gt;=0.2),-1,0))</f>
        <v/>
      </c>
      <c r="AJ51" s="23" t="str">
        <f aca="false">IF(C51="","",SUM(AB51:AI51))</f>
        <v/>
      </c>
      <c r="AK51" s="24" t="str">
        <f aca="false">IF(C51="","",IF(AJ51&gt;=14,"A",IF(AJ51&gt;=10,"B","C")))</f>
        <v/>
      </c>
      <c r="AL51" s="39" t="str">
        <f aca="false">IFERROR(IF(OR(Y51="",Z51="",AA51=""),"",IF(F51="Short",IF(Z51&lt;=Y51,"",(Y51-AA51)/(Z51-Y51)),IF(Y51&lt;=Z51,"",(AA51-Y51)/(Y51-Z51)))),"")</f>
        <v/>
      </c>
      <c r="AM51" s="37" t="str">
        <f aca="false">IF(OR(Y51="",Z51="",N(Y51)=N(Z51)),"",IF(OR(AND(F51="Short",Z51&lt;Y51),AND(NOT(F51="Short"),Z51&gt;Y51)),"stop on wrong side",ABS(Y51-Z51)))</f>
        <v/>
      </c>
      <c r="AN51" s="40" t="str">
        <f aca="false">IFERROR(IF(OR(NOT(ISNUMBER(AM51)),$C$6=""),"",ROUNDDOWN($C$6*$C$7/AM51,2)),"")</f>
        <v/>
      </c>
      <c r="AO51" s="37" t="str">
        <f aca="false">IFERROR(IF(AN51="","",AN51*Y51),"")</f>
        <v/>
      </c>
      <c r="AP51" s="35"/>
      <c r="AQ51" s="19"/>
      <c r="AR51" s="26"/>
      <c r="AS51" s="41" t="str">
        <f aca="false">IFERROR(IF(OR(AR51="",Y51="",AQ51=""),"",IF(F51="Short",1-AR51/Y51,AR51/Y51-1)),"")</f>
        <v/>
      </c>
      <c r="AT51" s="42" t="str">
        <f aca="true">IF(AQ51="","",IF(ISNUMBER($C$4),$C$4,TODAY())-AQ51)</f>
        <v/>
      </c>
      <c r="AU51" s="14" t="str">
        <f aca="false">IF(C51="","",IF(AP51="Open position",IF(IF(F51="Short",AND(ISNUMBER(AR51),ISNUMBER(Z51),AR51&gt;=Z51),AND(ISNUMBER(AR51),ISNUMBER(Z51),AR51&lt;=Z51)),IF(F51="Short","COVER — stop hit (buy back)","SELL — stop hit"),IF(IF(F51="Short",AND(ISNUMBER(AR51),ISNUMBER(AA51),AR51&lt;=AA51),AND(ISNUMBER(AR51),ISNUMBER(AA51),AR51&gt;=AA51)),"TAKE PROFIT — target hit",IF(AND(ISNUMBER(AT51),AT51&gt;182),IF(F51="Short","COVER — 6-month time limit","SELL — 6-month time limit"),IF(AND(ISNUMBER(AT51),AT51&gt;42,ISNUMBER(AS51),AS51&lt;0.02),"REVIEW — no progress after 6 weeks",IF(IF(F51="Short",AND(L51&lt;&gt;"",N(L51)&gt;0),AND(L51&lt;&gt;"",N(L51)&lt;0)),IF(F51="Short","REVIEW — back above 50-day avg","REVIEW — below 50-day avg"),"HOLD"))))),IF(OR(AP51="Closed",AP51="Dropped"),"Closed",IF(AK51="A",IF(F51="Short","Run Technical Review — SHORT entry","Run Technical Review — LONG entry"),IF(AK51="B","Watch — wait for setup","Drop or re-check next week")))))</f>
        <v/>
      </c>
      <c r="AV51" s="35"/>
      <c r="AX51" s="43" t="str">
        <f aca="false">IF(AND(C51&lt;&gt;"",A51=$C$4,ISNUMBER(AJ51)),AJ51+ROW()/100000,"")</f>
        <v/>
      </c>
    </row>
    <row r="52" customFormat="false" ht="15" hidden="false" customHeight="false" outlineLevel="0" collapsed="false">
      <c r="A52" s="19"/>
      <c r="B52" s="35"/>
      <c r="C52" s="35"/>
      <c r="D52" s="35"/>
      <c r="E52" s="35"/>
      <c r="F52" s="35"/>
      <c r="G52" s="26"/>
      <c r="H52" s="26"/>
      <c r="I52" s="36"/>
      <c r="J52" s="37" t="str">
        <f aca="false">IF(OR(G52="",I52=""),"",G52*I52/1000000)</f>
        <v/>
      </c>
      <c r="K52" s="21"/>
      <c r="L52" s="21"/>
      <c r="M52" s="21"/>
      <c r="N52" s="25"/>
      <c r="O52" s="21"/>
      <c r="P52" s="21"/>
      <c r="Q52" s="21"/>
      <c r="R52" s="21"/>
      <c r="S52" s="38"/>
      <c r="T52" s="21"/>
      <c r="U52" s="21"/>
      <c r="V52" s="19"/>
      <c r="W52" s="26"/>
      <c r="X52" s="35"/>
      <c r="Y52" s="26"/>
      <c r="Z52" s="26"/>
      <c r="AA52" s="26"/>
      <c r="AB52" s="16" t="str">
        <f aca="false">IF(C52="","",IF(F52="Short",(AND(M52&lt;&gt;"",N(M52)&lt;0))+(AND(L52&lt;&gt;"",N(L52)&lt;0))+(AND(K52&lt;&gt;"",N(K52)&lt;0))+AND(L52&lt;&gt;"",M52&lt;&gt;"",N(M52)&lt;N(L52)),(N(M52)&gt;0)+(N(L52)&gt;0)+(N(K52)&gt;0)+AND(L52&lt;&gt;"",M52&lt;&gt;"",N(M52)&gt;N(L52))))</f>
        <v/>
      </c>
      <c r="AC52" s="16" t="str">
        <f aca="false">IF(C52="","",IF(F52="Short",IF(N52="",0,IF(AND(N52&gt;=30,N52&lt;=50),2,IF(OR(AND(N52&gt;=25,N52&lt;30),AND(N52&gt;50,N52&lt;=60)),1,0)))+IF(P52="",0,IF(AND(IF(B52="JSE",$L$5,$L$4)&lt;&gt;"",P52&lt;IF(B52="JSE",$L$5,$L$4)),2,IF(P52&lt;0,1,0))),IF(N52="",0,IF(AND(N52&gt;=50,N52&lt;=70),2,IF(OR(AND(N52&gt;=40,N52&lt;50),AND(N52&gt;70,N52&lt;=75)),1,0)))+IF(P52="",0,IF(AND(IF(B52="JSE",$L$5,$L$4)&lt;&gt;"",P52&gt;IF(B52="JSE",$L$5,$L$4)),2,IF(P52&gt;0,1,0)))))</f>
        <v/>
      </c>
      <c r="AD52" s="16" t="str">
        <f aca="false">IF(C52="","",IF(F52="Short",IF(R52="",0,IF(R52&lt;=0.1,2,IF(R52&lt;=0.25,1,0))),IF(Q52="",0,IF(Q52&gt;=-0.1,2,IF(Q52&gt;=-0.25,1,0)))))</f>
        <v/>
      </c>
      <c r="AE52" s="16" t="str">
        <f aca="false">IF(C52="","",IF(J52="",0,IF(J52&gt;=IF(B52="JSE",$L$7,$L$6),2,IF(J52&gt;=IF(B52="JSE",$L$7,$L$6)/4,1,0))))</f>
        <v/>
      </c>
      <c r="AF52" s="16" t="str">
        <f aca="false">IF(C52="","",IF(F52="Short",AND(T52&lt;&gt;"",N(T52)&lt;0),N(T52)&gt;0)+(N(S52)&gt;=1.5))</f>
        <v/>
      </c>
      <c r="AG52" s="16" t="str">
        <f aca="false">IF(C52="","",IF(AL52="",0,IF(AL52&gt;=3,4,IF(AL52&gt;=2,2,0))))</f>
        <v/>
      </c>
      <c r="AH52" s="16" t="str">
        <f aca="false">IF(C52="","",IF(AND(ISNUMBER(V52),ISNUMBER(A52),V52&gt;=A52,V52-A52&lt;=14),-2,0))</f>
        <v/>
      </c>
      <c r="AI52" s="16" t="str">
        <f aca="false">IF(C52="","",IF(AND(F52="Short",N(U52)&gt;=0.2),-1,0))</f>
        <v/>
      </c>
      <c r="AJ52" s="23" t="str">
        <f aca="false">IF(C52="","",SUM(AB52:AI52))</f>
        <v/>
      </c>
      <c r="AK52" s="24" t="str">
        <f aca="false">IF(C52="","",IF(AJ52&gt;=14,"A",IF(AJ52&gt;=10,"B","C")))</f>
        <v/>
      </c>
      <c r="AL52" s="39" t="str">
        <f aca="false">IFERROR(IF(OR(Y52="",Z52="",AA52=""),"",IF(F52="Short",IF(Z52&lt;=Y52,"",(Y52-AA52)/(Z52-Y52)),IF(Y52&lt;=Z52,"",(AA52-Y52)/(Y52-Z52)))),"")</f>
        <v/>
      </c>
      <c r="AM52" s="37" t="str">
        <f aca="false">IF(OR(Y52="",Z52="",N(Y52)=N(Z52)),"",IF(OR(AND(F52="Short",Z52&lt;Y52),AND(NOT(F52="Short"),Z52&gt;Y52)),"stop on wrong side",ABS(Y52-Z52)))</f>
        <v/>
      </c>
      <c r="AN52" s="40" t="str">
        <f aca="false">IFERROR(IF(OR(NOT(ISNUMBER(AM52)),$C$6=""),"",ROUNDDOWN($C$6*$C$7/AM52,2)),"")</f>
        <v/>
      </c>
      <c r="AO52" s="37" t="str">
        <f aca="false">IFERROR(IF(AN52="","",AN52*Y52),"")</f>
        <v/>
      </c>
      <c r="AP52" s="35"/>
      <c r="AQ52" s="19"/>
      <c r="AR52" s="26"/>
      <c r="AS52" s="41" t="str">
        <f aca="false">IFERROR(IF(OR(AR52="",Y52="",AQ52=""),"",IF(F52="Short",1-AR52/Y52,AR52/Y52-1)),"")</f>
        <v/>
      </c>
      <c r="AT52" s="42" t="str">
        <f aca="true">IF(AQ52="","",IF(ISNUMBER($C$4),$C$4,TODAY())-AQ52)</f>
        <v/>
      </c>
      <c r="AU52" s="14" t="str">
        <f aca="false">IF(C52="","",IF(AP52="Open position",IF(IF(F52="Short",AND(ISNUMBER(AR52),ISNUMBER(Z52),AR52&gt;=Z52),AND(ISNUMBER(AR52),ISNUMBER(Z52),AR52&lt;=Z52)),IF(F52="Short","COVER — stop hit (buy back)","SELL — stop hit"),IF(IF(F52="Short",AND(ISNUMBER(AR52),ISNUMBER(AA52),AR52&lt;=AA52),AND(ISNUMBER(AR52),ISNUMBER(AA52),AR52&gt;=AA52)),"TAKE PROFIT — target hit",IF(AND(ISNUMBER(AT52),AT52&gt;182),IF(F52="Short","COVER — 6-month time limit","SELL — 6-month time limit"),IF(AND(ISNUMBER(AT52),AT52&gt;42,ISNUMBER(AS52),AS52&lt;0.02),"REVIEW — no progress after 6 weeks",IF(IF(F52="Short",AND(L52&lt;&gt;"",N(L52)&gt;0),AND(L52&lt;&gt;"",N(L52)&lt;0)),IF(F52="Short","REVIEW — back above 50-day avg","REVIEW — below 50-day avg"),"HOLD"))))),IF(OR(AP52="Closed",AP52="Dropped"),"Closed",IF(AK52="A",IF(F52="Short","Run Technical Review — SHORT entry","Run Technical Review — LONG entry"),IF(AK52="B","Watch — wait for setup","Drop or re-check next week")))))</f>
        <v/>
      </c>
      <c r="AV52" s="35"/>
      <c r="AX52" s="43" t="str">
        <f aca="false">IF(AND(C52&lt;&gt;"",A52=$C$4,ISNUMBER(AJ52)),AJ52+ROW()/100000,"")</f>
        <v/>
      </c>
    </row>
    <row r="53" customFormat="false" ht="15" hidden="false" customHeight="false" outlineLevel="0" collapsed="false">
      <c r="A53" s="19"/>
      <c r="B53" s="35"/>
      <c r="C53" s="35"/>
      <c r="D53" s="35"/>
      <c r="E53" s="35"/>
      <c r="F53" s="35"/>
      <c r="G53" s="26"/>
      <c r="H53" s="26"/>
      <c r="I53" s="36"/>
      <c r="J53" s="37" t="str">
        <f aca="false">IF(OR(G53="",I53=""),"",G53*I53/1000000)</f>
        <v/>
      </c>
      <c r="K53" s="21"/>
      <c r="L53" s="21"/>
      <c r="M53" s="21"/>
      <c r="N53" s="25"/>
      <c r="O53" s="21"/>
      <c r="P53" s="21"/>
      <c r="Q53" s="21"/>
      <c r="R53" s="21"/>
      <c r="S53" s="38"/>
      <c r="T53" s="21"/>
      <c r="U53" s="21"/>
      <c r="V53" s="19"/>
      <c r="W53" s="26"/>
      <c r="X53" s="35"/>
      <c r="Y53" s="26"/>
      <c r="Z53" s="26"/>
      <c r="AA53" s="26"/>
      <c r="AB53" s="16" t="str">
        <f aca="false">IF(C53="","",IF(F53="Short",(AND(M53&lt;&gt;"",N(M53)&lt;0))+(AND(L53&lt;&gt;"",N(L53)&lt;0))+(AND(K53&lt;&gt;"",N(K53)&lt;0))+AND(L53&lt;&gt;"",M53&lt;&gt;"",N(M53)&lt;N(L53)),(N(M53)&gt;0)+(N(L53)&gt;0)+(N(K53)&gt;0)+AND(L53&lt;&gt;"",M53&lt;&gt;"",N(M53)&gt;N(L53))))</f>
        <v/>
      </c>
      <c r="AC53" s="16" t="str">
        <f aca="false">IF(C53="","",IF(F53="Short",IF(N53="",0,IF(AND(N53&gt;=30,N53&lt;=50),2,IF(OR(AND(N53&gt;=25,N53&lt;30),AND(N53&gt;50,N53&lt;=60)),1,0)))+IF(P53="",0,IF(AND(IF(B53="JSE",$L$5,$L$4)&lt;&gt;"",P53&lt;IF(B53="JSE",$L$5,$L$4)),2,IF(P53&lt;0,1,0))),IF(N53="",0,IF(AND(N53&gt;=50,N53&lt;=70),2,IF(OR(AND(N53&gt;=40,N53&lt;50),AND(N53&gt;70,N53&lt;=75)),1,0)))+IF(P53="",0,IF(AND(IF(B53="JSE",$L$5,$L$4)&lt;&gt;"",P53&gt;IF(B53="JSE",$L$5,$L$4)),2,IF(P53&gt;0,1,0)))))</f>
        <v/>
      </c>
      <c r="AD53" s="16" t="str">
        <f aca="false">IF(C53="","",IF(F53="Short",IF(R53="",0,IF(R53&lt;=0.1,2,IF(R53&lt;=0.25,1,0))),IF(Q53="",0,IF(Q53&gt;=-0.1,2,IF(Q53&gt;=-0.25,1,0)))))</f>
        <v/>
      </c>
      <c r="AE53" s="16" t="str">
        <f aca="false">IF(C53="","",IF(J53="",0,IF(J53&gt;=IF(B53="JSE",$L$7,$L$6),2,IF(J53&gt;=IF(B53="JSE",$L$7,$L$6)/4,1,0))))</f>
        <v/>
      </c>
      <c r="AF53" s="16" t="str">
        <f aca="false">IF(C53="","",IF(F53="Short",AND(T53&lt;&gt;"",N(T53)&lt;0),N(T53)&gt;0)+(N(S53)&gt;=1.5))</f>
        <v/>
      </c>
      <c r="AG53" s="16" t="str">
        <f aca="false">IF(C53="","",IF(AL53="",0,IF(AL53&gt;=3,4,IF(AL53&gt;=2,2,0))))</f>
        <v/>
      </c>
      <c r="AH53" s="16" t="str">
        <f aca="false">IF(C53="","",IF(AND(ISNUMBER(V53),ISNUMBER(A53),V53&gt;=A53,V53-A53&lt;=14),-2,0))</f>
        <v/>
      </c>
      <c r="AI53" s="16" t="str">
        <f aca="false">IF(C53="","",IF(AND(F53="Short",N(U53)&gt;=0.2),-1,0))</f>
        <v/>
      </c>
      <c r="AJ53" s="23" t="str">
        <f aca="false">IF(C53="","",SUM(AB53:AI53))</f>
        <v/>
      </c>
      <c r="AK53" s="24" t="str">
        <f aca="false">IF(C53="","",IF(AJ53&gt;=14,"A",IF(AJ53&gt;=10,"B","C")))</f>
        <v/>
      </c>
      <c r="AL53" s="39" t="str">
        <f aca="false">IFERROR(IF(OR(Y53="",Z53="",AA53=""),"",IF(F53="Short",IF(Z53&lt;=Y53,"",(Y53-AA53)/(Z53-Y53)),IF(Y53&lt;=Z53,"",(AA53-Y53)/(Y53-Z53)))),"")</f>
        <v/>
      </c>
      <c r="AM53" s="37" t="str">
        <f aca="false">IF(OR(Y53="",Z53="",N(Y53)=N(Z53)),"",IF(OR(AND(F53="Short",Z53&lt;Y53),AND(NOT(F53="Short"),Z53&gt;Y53)),"stop on wrong side",ABS(Y53-Z53)))</f>
        <v/>
      </c>
      <c r="AN53" s="40" t="str">
        <f aca="false">IFERROR(IF(OR(NOT(ISNUMBER(AM53)),$C$6=""),"",ROUNDDOWN($C$6*$C$7/AM53,2)),"")</f>
        <v/>
      </c>
      <c r="AO53" s="37" t="str">
        <f aca="false">IFERROR(IF(AN53="","",AN53*Y53),"")</f>
        <v/>
      </c>
      <c r="AP53" s="35"/>
      <c r="AQ53" s="19"/>
      <c r="AR53" s="26"/>
      <c r="AS53" s="41" t="str">
        <f aca="false">IFERROR(IF(OR(AR53="",Y53="",AQ53=""),"",IF(F53="Short",1-AR53/Y53,AR53/Y53-1)),"")</f>
        <v/>
      </c>
      <c r="AT53" s="42" t="str">
        <f aca="true">IF(AQ53="","",IF(ISNUMBER($C$4),$C$4,TODAY())-AQ53)</f>
        <v/>
      </c>
      <c r="AU53" s="14" t="str">
        <f aca="false">IF(C53="","",IF(AP53="Open position",IF(IF(F53="Short",AND(ISNUMBER(AR53),ISNUMBER(Z53),AR53&gt;=Z53),AND(ISNUMBER(AR53),ISNUMBER(Z53),AR53&lt;=Z53)),IF(F53="Short","COVER — stop hit (buy back)","SELL — stop hit"),IF(IF(F53="Short",AND(ISNUMBER(AR53),ISNUMBER(AA53),AR53&lt;=AA53),AND(ISNUMBER(AR53),ISNUMBER(AA53),AR53&gt;=AA53)),"TAKE PROFIT — target hit",IF(AND(ISNUMBER(AT53),AT53&gt;182),IF(F53="Short","COVER — 6-month time limit","SELL — 6-month time limit"),IF(AND(ISNUMBER(AT53),AT53&gt;42,ISNUMBER(AS53),AS53&lt;0.02),"REVIEW — no progress after 6 weeks",IF(IF(F53="Short",AND(L53&lt;&gt;"",N(L53)&gt;0),AND(L53&lt;&gt;"",N(L53)&lt;0)),IF(F53="Short","REVIEW — back above 50-day avg","REVIEW — below 50-day avg"),"HOLD"))))),IF(OR(AP53="Closed",AP53="Dropped"),"Closed",IF(AK53="A",IF(F53="Short","Run Technical Review — SHORT entry","Run Technical Review — LONG entry"),IF(AK53="B","Watch — wait for setup","Drop or re-check next week")))))</f>
        <v/>
      </c>
      <c r="AV53" s="35"/>
      <c r="AX53" s="43" t="str">
        <f aca="false">IF(AND(C53&lt;&gt;"",A53=$C$4,ISNUMBER(AJ53)),AJ53+ROW()/100000,"")</f>
        <v/>
      </c>
    </row>
    <row r="54" customFormat="false" ht="15" hidden="false" customHeight="false" outlineLevel="0" collapsed="false">
      <c r="A54" s="19"/>
      <c r="B54" s="35"/>
      <c r="C54" s="35"/>
      <c r="D54" s="35"/>
      <c r="E54" s="35"/>
      <c r="F54" s="35"/>
      <c r="G54" s="26"/>
      <c r="H54" s="26"/>
      <c r="I54" s="36"/>
      <c r="J54" s="37" t="str">
        <f aca="false">IF(OR(G54="",I54=""),"",G54*I54/1000000)</f>
        <v/>
      </c>
      <c r="K54" s="21"/>
      <c r="L54" s="21"/>
      <c r="M54" s="21"/>
      <c r="N54" s="25"/>
      <c r="O54" s="21"/>
      <c r="P54" s="21"/>
      <c r="Q54" s="21"/>
      <c r="R54" s="21"/>
      <c r="S54" s="38"/>
      <c r="T54" s="21"/>
      <c r="U54" s="21"/>
      <c r="V54" s="19"/>
      <c r="W54" s="26"/>
      <c r="X54" s="35"/>
      <c r="Y54" s="26"/>
      <c r="Z54" s="26"/>
      <c r="AA54" s="26"/>
      <c r="AB54" s="16" t="str">
        <f aca="false">IF(C54="","",IF(F54="Short",(AND(M54&lt;&gt;"",N(M54)&lt;0))+(AND(L54&lt;&gt;"",N(L54)&lt;0))+(AND(K54&lt;&gt;"",N(K54)&lt;0))+AND(L54&lt;&gt;"",M54&lt;&gt;"",N(M54)&lt;N(L54)),(N(M54)&gt;0)+(N(L54)&gt;0)+(N(K54)&gt;0)+AND(L54&lt;&gt;"",M54&lt;&gt;"",N(M54)&gt;N(L54))))</f>
        <v/>
      </c>
      <c r="AC54" s="16" t="str">
        <f aca="false">IF(C54="","",IF(F54="Short",IF(N54="",0,IF(AND(N54&gt;=30,N54&lt;=50),2,IF(OR(AND(N54&gt;=25,N54&lt;30),AND(N54&gt;50,N54&lt;=60)),1,0)))+IF(P54="",0,IF(AND(IF(B54="JSE",$L$5,$L$4)&lt;&gt;"",P54&lt;IF(B54="JSE",$L$5,$L$4)),2,IF(P54&lt;0,1,0))),IF(N54="",0,IF(AND(N54&gt;=50,N54&lt;=70),2,IF(OR(AND(N54&gt;=40,N54&lt;50),AND(N54&gt;70,N54&lt;=75)),1,0)))+IF(P54="",0,IF(AND(IF(B54="JSE",$L$5,$L$4)&lt;&gt;"",P54&gt;IF(B54="JSE",$L$5,$L$4)),2,IF(P54&gt;0,1,0)))))</f>
        <v/>
      </c>
      <c r="AD54" s="16" t="str">
        <f aca="false">IF(C54="","",IF(F54="Short",IF(R54="",0,IF(R54&lt;=0.1,2,IF(R54&lt;=0.25,1,0))),IF(Q54="",0,IF(Q54&gt;=-0.1,2,IF(Q54&gt;=-0.25,1,0)))))</f>
        <v/>
      </c>
      <c r="AE54" s="16" t="str">
        <f aca="false">IF(C54="","",IF(J54="",0,IF(J54&gt;=IF(B54="JSE",$L$7,$L$6),2,IF(J54&gt;=IF(B54="JSE",$L$7,$L$6)/4,1,0))))</f>
        <v/>
      </c>
      <c r="AF54" s="16" t="str">
        <f aca="false">IF(C54="","",IF(F54="Short",AND(T54&lt;&gt;"",N(T54)&lt;0),N(T54)&gt;0)+(N(S54)&gt;=1.5))</f>
        <v/>
      </c>
      <c r="AG54" s="16" t="str">
        <f aca="false">IF(C54="","",IF(AL54="",0,IF(AL54&gt;=3,4,IF(AL54&gt;=2,2,0))))</f>
        <v/>
      </c>
      <c r="AH54" s="16" t="str">
        <f aca="false">IF(C54="","",IF(AND(ISNUMBER(V54),ISNUMBER(A54),V54&gt;=A54,V54-A54&lt;=14),-2,0))</f>
        <v/>
      </c>
      <c r="AI54" s="16" t="str">
        <f aca="false">IF(C54="","",IF(AND(F54="Short",N(U54)&gt;=0.2),-1,0))</f>
        <v/>
      </c>
      <c r="AJ54" s="23" t="str">
        <f aca="false">IF(C54="","",SUM(AB54:AI54))</f>
        <v/>
      </c>
      <c r="AK54" s="24" t="str">
        <f aca="false">IF(C54="","",IF(AJ54&gt;=14,"A",IF(AJ54&gt;=10,"B","C")))</f>
        <v/>
      </c>
      <c r="AL54" s="39" t="str">
        <f aca="false">IFERROR(IF(OR(Y54="",Z54="",AA54=""),"",IF(F54="Short",IF(Z54&lt;=Y54,"",(Y54-AA54)/(Z54-Y54)),IF(Y54&lt;=Z54,"",(AA54-Y54)/(Y54-Z54)))),"")</f>
        <v/>
      </c>
      <c r="AM54" s="37" t="str">
        <f aca="false">IF(OR(Y54="",Z54="",N(Y54)=N(Z54)),"",IF(OR(AND(F54="Short",Z54&lt;Y54),AND(NOT(F54="Short"),Z54&gt;Y54)),"stop on wrong side",ABS(Y54-Z54)))</f>
        <v/>
      </c>
      <c r="AN54" s="40" t="str">
        <f aca="false">IFERROR(IF(OR(NOT(ISNUMBER(AM54)),$C$6=""),"",ROUNDDOWN($C$6*$C$7/AM54,2)),"")</f>
        <v/>
      </c>
      <c r="AO54" s="37" t="str">
        <f aca="false">IFERROR(IF(AN54="","",AN54*Y54),"")</f>
        <v/>
      </c>
      <c r="AP54" s="35"/>
      <c r="AQ54" s="19"/>
      <c r="AR54" s="26"/>
      <c r="AS54" s="41" t="str">
        <f aca="false">IFERROR(IF(OR(AR54="",Y54="",AQ54=""),"",IF(F54="Short",1-AR54/Y54,AR54/Y54-1)),"")</f>
        <v/>
      </c>
      <c r="AT54" s="42" t="str">
        <f aca="true">IF(AQ54="","",IF(ISNUMBER($C$4),$C$4,TODAY())-AQ54)</f>
        <v/>
      </c>
      <c r="AU54" s="14" t="str">
        <f aca="false">IF(C54="","",IF(AP54="Open position",IF(IF(F54="Short",AND(ISNUMBER(AR54),ISNUMBER(Z54),AR54&gt;=Z54),AND(ISNUMBER(AR54),ISNUMBER(Z54),AR54&lt;=Z54)),IF(F54="Short","COVER — stop hit (buy back)","SELL — stop hit"),IF(IF(F54="Short",AND(ISNUMBER(AR54),ISNUMBER(AA54),AR54&lt;=AA54),AND(ISNUMBER(AR54),ISNUMBER(AA54),AR54&gt;=AA54)),"TAKE PROFIT — target hit",IF(AND(ISNUMBER(AT54),AT54&gt;182),IF(F54="Short","COVER — 6-month time limit","SELL — 6-month time limit"),IF(AND(ISNUMBER(AT54),AT54&gt;42,ISNUMBER(AS54),AS54&lt;0.02),"REVIEW — no progress after 6 weeks",IF(IF(F54="Short",AND(L54&lt;&gt;"",N(L54)&gt;0),AND(L54&lt;&gt;"",N(L54)&lt;0)),IF(F54="Short","REVIEW — back above 50-day avg","REVIEW — below 50-day avg"),"HOLD"))))),IF(OR(AP54="Closed",AP54="Dropped"),"Closed",IF(AK54="A",IF(F54="Short","Run Technical Review — SHORT entry","Run Technical Review — LONG entry"),IF(AK54="B","Watch — wait for setup","Drop or re-check next week")))))</f>
        <v/>
      </c>
      <c r="AV54" s="35"/>
      <c r="AX54" s="43" t="str">
        <f aca="false">IF(AND(C54&lt;&gt;"",A54=$C$4,ISNUMBER(AJ54)),AJ54+ROW()/100000,"")</f>
        <v/>
      </c>
    </row>
    <row r="55" customFormat="false" ht="15" hidden="false" customHeight="false" outlineLevel="0" collapsed="false">
      <c r="A55" s="19"/>
      <c r="B55" s="35"/>
      <c r="C55" s="35"/>
      <c r="D55" s="35"/>
      <c r="E55" s="35"/>
      <c r="F55" s="35"/>
      <c r="G55" s="26"/>
      <c r="H55" s="26"/>
      <c r="I55" s="36"/>
      <c r="J55" s="37" t="str">
        <f aca="false">IF(OR(G55="",I55=""),"",G55*I55/1000000)</f>
        <v/>
      </c>
      <c r="K55" s="21"/>
      <c r="L55" s="21"/>
      <c r="M55" s="21"/>
      <c r="N55" s="25"/>
      <c r="O55" s="21"/>
      <c r="P55" s="21"/>
      <c r="Q55" s="21"/>
      <c r="R55" s="21"/>
      <c r="S55" s="38"/>
      <c r="T55" s="21"/>
      <c r="U55" s="21"/>
      <c r="V55" s="19"/>
      <c r="W55" s="26"/>
      <c r="X55" s="35"/>
      <c r="Y55" s="26"/>
      <c r="Z55" s="26"/>
      <c r="AA55" s="26"/>
      <c r="AB55" s="16" t="str">
        <f aca="false">IF(C55="","",IF(F55="Short",(AND(M55&lt;&gt;"",N(M55)&lt;0))+(AND(L55&lt;&gt;"",N(L55)&lt;0))+(AND(K55&lt;&gt;"",N(K55)&lt;0))+AND(L55&lt;&gt;"",M55&lt;&gt;"",N(M55)&lt;N(L55)),(N(M55)&gt;0)+(N(L55)&gt;0)+(N(K55)&gt;0)+AND(L55&lt;&gt;"",M55&lt;&gt;"",N(M55)&gt;N(L55))))</f>
        <v/>
      </c>
      <c r="AC55" s="16" t="str">
        <f aca="false">IF(C55="","",IF(F55="Short",IF(N55="",0,IF(AND(N55&gt;=30,N55&lt;=50),2,IF(OR(AND(N55&gt;=25,N55&lt;30),AND(N55&gt;50,N55&lt;=60)),1,0)))+IF(P55="",0,IF(AND(IF(B55="JSE",$L$5,$L$4)&lt;&gt;"",P55&lt;IF(B55="JSE",$L$5,$L$4)),2,IF(P55&lt;0,1,0))),IF(N55="",0,IF(AND(N55&gt;=50,N55&lt;=70),2,IF(OR(AND(N55&gt;=40,N55&lt;50),AND(N55&gt;70,N55&lt;=75)),1,0)))+IF(P55="",0,IF(AND(IF(B55="JSE",$L$5,$L$4)&lt;&gt;"",P55&gt;IF(B55="JSE",$L$5,$L$4)),2,IF(P55&gt;0,1,0)))))</f>
        <v/>
      </c>
      <c r="AD55" s="16" t="str">
        <f aca="false">IF(C55="","",IF(F55="Short",IF(R55="",0,IF(R55&lt;=0.1,2,IF(R55&lt;=0.25,1,0))),IF(Q55="",0,IF(Q55&gt;=-0.1,2,IF(Q55&gt;=-0.25,1,0)))))</f>
        <v/>
      </c>
      <c r="AE55" s="16" t="str">
        <f aca="false">IF(C55="","",IF(J55="",0,IF(J55&gt;=IF(B55="JSE",$L$7,$L$6),2,IF(J55&gt;=IF(B55="JSE",$L$7,$L$6)/4,1,0))))</f>
        <v/>
      </c>
      <c r="AF55" s="16" t="str">
        <f aca="false">IF(C55="","",IF(F55="Short",AND(T55&lt;&gt;"",N(T55)&lt;0),N(T55)&gt;0)+(N(S55)&gt;=1.5))</f>
        <v/>
      </c>
      <c r="AG55" s="16" t="str">
        <f aca="false">IF(C55="","",IF(AL55="",0,IF(AL55&gt;=3,4,IF(AL55&gt;=2,2,0))))</f>
        <v/>
      </c>
      <c r="AH55" s="16" t="str">
        <f aca="false">IF(C55="","",IF(AND(ISNUMBER(V55),ISNUMBER(A55),V55&gt;=A55,V55-A55&lt;=14),-2,0))</f>
        <v/>
      </c>
      <c r="AI55" s="16" t="str">
        <f aca="false">IF(C55="","",IF(AND(F55="Short",N(U55)&gt;=0.2),-1,0))</f>
        <v/>
      </c>
      <c r="AJ55" s="23" t="str">
        <f aca="false">IF(C55="","",SUM(AB55:AI55))</f>
        <v/>
      </c>
      <c r="AK55" s="24" t="str">
        <f aca="false">IF(C55="","",IF(AJ55&gt;=14,"A",IF(AJ55&gt;=10,"B","C")))</f>
        <v/>
      </c>
      <c r="AL55" s="39" t="str">
        <f aca="false">IFERROR(IF(OR(Y55="",Z55="",AA55=""),"",IF(F55="Short",IF(Z55&lt;=Y55,"",(Y55-AA55)/(Z55-Y55)),IF(Y55&lt;=Z55,"",(AA55-Y55)/(Y55-Z55)))),"")</f>
        <v/>
      </c>
      <c r="AM55" s="37" t="str">
        <f aca="false">IF(OR(Y55="",Z55="",N(Y55)=N(Z55)),"",IF(OR(AND(F55="Short",Z55&lt;Y55),AND(NOT(F55="Short"),Z55&gt;Y55)),"stop on wrong side",ABS(Y55-Z55)))</f>
        <v/>
      </c>
      <c r="AN55" s="40" t="str">
        <f aca="false">IFERROR(IF(OR(NOT(ISNUMBER(AM55)),$C$6=""),"",ROUNDDOWN($C$6*$C$7/AM55,2)),"")</f>
        <v/>
      </c>
      <c r="AO55" s="37" t="str">
        <f aca="false">IFERROR(IF(AN55="","",AN55*Y55),"")</f>
        <v/>
      </c>
      <c r="AP55" s="35"/>
      <c r="AQ55" s="19"/>
      <c r="AR55" s="26"/>
      <c r="AS55" s="41" t="str">
        <f aca="false">IFERROR(IF(OR(AR55="",Y55="",AQ55=""),"",IF(F55="Short",1-AR55/Y55,AR55/Y55-1)),"")</f>
        <v/>
      </c>
      <c r="AT55" s="42" t="str">
        <f aca="true">IF(AQ55="","",IF(ISNUMBER($C$4),$C$4,TODAY())-AQ55)</f>
        <v/>
      </c>
      <c r="AU55" s="14" t="str">
        <f aca="false">IF(C55="","",IF(AP55="Open position",IF(IF(F55="Short",AND(ISNUMBER(AR55),ISNUMBER(Z55),AR55&gt;=Z55),AND(ISNUMBER(AR55),ISNUMBER(Z55),AR55&lt;=Z55)),IF(F55="Short","COVER — stop hit (buy back)","SELL — stop hit"),IF(IF(F55="Short",AND(ISNUMBER(AR55),ISNUMBER(AA55),AR55&lt;=AA55),AND(ISNUMBER(AR55),ISNUMBER(AA55),AR55&gt;=AA55)),"TAKE PROFIT — target hit",IF(AND(ISNUMBER(AT55),AT55&gt;182),IF(F55="Short","COVER — 6-month time limit","SELL — 6-month time limit"),IF(AND(ISNUMBER(AT55),AT55&gt;42,ISNUMBER(AS55),AS55&lt;0.02),"REVIEW — no progress after 6 weeks",IF(IF(F55="Short",AND(L55&lt;&gt;"",N(L55)&gt;0),AND(L55&lt;&gt;"",N(L55)&lt;0)),IF(F55="Short","REVIEW — back above 50-day avg","REVIEW — below 50-day avg"),"HOLD"))))),IF(OR(AP55="Closed",AP55="Dropped"),"Closed",IF(AK55="A",IF(F55="Short","Run Technical Review — SHORT entry","Run Technical Review — LONG entry"),IF(AK55="B","Watch — wait for setup","Drop or re-check next week")))))</f>
        <v/>
      </c>
      <c r="AV55" s="35"/>
      <c r="AX55" s="43" t="str">
        <f aca="false">IF(AND(C55&lt;&gt;"",A55=$C$4,ISNUMBER(AJ55)),AJ55+ROW()/100000,"")</f>
        <v/>
      </c>
    </row>
    <row r="56" customFormat="false" ht="15" hidden="false" customHeight="false" outlineLevel="0" collapsed="false">
      <c r="A56" s="19"/>
      <c r="B56" s="35"/>
      <c r="C56" s="35"/>
      <c r="D56" s="35"/>
      <c r="E56" s="35"/>
      <c r="F56" s="35"/>
      <c r="G56" s="26"/>
      <c r="H56" s="26"/>
      <c r="I56" s="36"/>
      <c r="J56" s="37" t="str">
        <f aca="false">IF(OR(G56="",I56=""),"",G56*I56/1000000)</f>
        <v/>
      </c>
      <c r="K56" s="21"/>
      <c r="L56" s="21"/>
      <c r="M56" s="21"/>
      <c r="N56" s="25"/>
      <c r="O56" s="21"/>
      <c r="P56" s="21"/>
      <c r="Q56" s="21"/>
      <c r="R56" s="21"/>
      <c r="S56" s="38"/>
      <c r="T56" s="21"/>
      <c r="U56" s="21"/>
      <c r="V56" s="19"/>
      <c r="W56" s="26"/>
      <c r="X56" s="35"/>
      <c r="Y56" s="26"/>
      <c r="Z56" s="26"/>
      <c r="AA56" s="26"/>
      <c r="AB56" s="16" t="str">
        <f aca="false">IF(C56="","",IF(F56="Short",(AND(M56&lt;&gt;"",N(M56)&lt;0))+(AND(L56&lt;&gt;"",N(L56)&lt;0))+(AND(K56&lt;&gt;"",N(K56)&lt;0))+AND(L56&lt;&gt;"",M56&lt;&gt;"",N(M56)&lt;N(L56)),(N(M56)&gt;0)+(N(L56)&gt;0)+(N(K56)&gt;0)+AND(L56&lt;&gt;"",M56&lt;&gt;"",N(M56)&gt;N(L56))))</f>
        <v/>
      </c>
      <c r="AC56" s="16" t="str">
        <f aca="false">IF(C56="","",IF(F56="Short",IF(N56="",0,IF(AND(N56&gt;=30,N56&lt;=50),2,IF(OR(AND(N56&gt;=25,N56&lt;30),AND(N56&gt;50,N56&lt;=60)),1,0)))+IF(P56="",0,IF(AND(IF(B56="JSE",$L$5,$L$4)&lt;&gt;"",P56&lt;IF(B56="JSE",$L$5,$L$4)),2,IF(P56&lt;0,1,0))),IF(N56="",0,IF(AND(N56&gt;=50,N56&lt;=70),2,IF(OR(AND(N56&gt;=40,N56&lt;50),AND(N56&gt;70,N56&lt;=75)),1,0)))+IF(P56="",0,IF(AND(IF(B56="JSE",$L$5,$L$4)&lt;&gt;"",P56&gt;IF(B56="JSE",$L$5,$L$4)),2,IF(P56&gt;0,1,0)))))</f>
        <v/>
      </c>
      <c r="AD56" s="16" t="str">
        <f aca="false">IF(C56="","",IF(F56="Short",IF(R56="",0,IF(R56&lt;=0.1,2,IF(R56&lt;=0.25,1,0))),IF(Q56="",0,IF(Q56&gt;=-0.1,2,IF(Q56&gt;=-0.25,1,0)))))</f>
        <v/>
      </c>
      <c r="AE56" s="16" t="str">
        <f aca="false">IF(C56="","",IF(J56="",0,IF(J56&gt;=IF(B56="JSE",$L$7,$L$6),2,IF(J56&gt;=IF(B56="JSE",$L$7,$L$6)/4,1,0))))</f>
        <v/>
      </c>
      <c r="AF56" s="16" t="str">
        <f aca="false">IF(C56="","",IF(F56="Short",AND(T56&lt;&gt;"",N(T56)&lt;0),N(T56)&gt;0)+(N(S56)&gt;=1.5))</f>
        <v/>
      </c>
      <c r="AG56" s="16" t="str">
        <f aca="false">IF(C56="","",IF(AL56="",0,IF(AL56&gt;=3,4,IF(AL56&gt;=2,2,0))))</f>
        <v/>
      </c>
      <c r="AH56" s="16" t="str">
        <f aca="false">IF(C56="","",IF(AND(ISNUMBER(V56),ISNUMBER(A56),V56&gt;=A56,V56-A56&lt;=14),-2,0))</f>
        <v/>
      </c>
      <c r="AI56" s="16" t="str">
        <f aca="false">IF(C56="","",IF(AND(F56="Short",N(U56)&gt;=0.2),-1,0))</f>
        <v/>
      </c>
      <c r="AJ56" s="23" t="str">
        <f aca="false">IF(C56="","",SUM(AB56:AI56))</f>
        <v/>
      </c>
      <c r="AK56" s="24" t="str">
        <f aca="false">IF(C56="","",IF(AJ56&gt;=14,"A",IF(AJ56&gt;=10,"B","C")))</f>
        <v/>
      </c>
      <c r="AL56" s="39" t="str">
        <f aca="false">IFERROR(IF(OR(Y56="",Z56="",AA56=""),"",IF(F56="Short",IF(Z56&lt;=Y56,"",(Y56-AA56)/(Z56-Y56)),IF(Y56&lt;=Z56,"",(AA56-Y56)/(Y56-Z56)))),"")</f>
        <v/>
      </c>
      <c r="AM56" s="37" t="str">
        <f aca="false">IF(OR(Y56="",Z56="",N(Y56)=N(Z56)),"",IF(OR(AND(F56="Short",Z56&lt;Y56),AND(NOT(F56="Short"),Z56&gt;Y56)),"stop on wrong side",ABS(Y56-Z56)))</f>
        <v/>
      </c>
      <c r="AN56" s="40" t="str">
        <f aca="false">IFERROR(IF(OR(NOT(ISNUMBER(AM56)),$C$6=""),"",ROUNDDOWN($C$6*$C$7/AM56,2)),"")</f>
        <v/>
      </c>
      <c r="AO56" s="37" t="str">
        <f aca="false">IFERROR(IF(AN56="","",AN56*Y56),"")</f>
        <v/>
      </c>
      <c r="AP56" s="35"/>
      <c r="AQ56" s="19"/>
      <c r="AR56" s="26"/>
      <c r="AS56" s="41" t="str">
        <f aca="false">IFERROR(IF(OR(AR56="",Y56="",AQ56=""),"",IF(F56="Short",1-AR56/Y56,AR56/Y56-1)),"")</f>
        <v/>
      </c>
      <c r="AT56" s="42" t="str">
        <f aca="true">IF(AQ56="","",IF(ISNUMBER($C$4),$C$4,TODAY())-AQ56)</f>
        <v/>
      </c>
      <c r="AU56" s="14" t="str">
        <f aca="false">IF(C56="","",IF(AP56="Open position",IF(IF(F56="Short",AND(ISNUMBER(AR56),ISNUMBER(Z56),AR56&gt;=Z56),AND(ISNUMBER(AR56),ISNUMBER(Z56),AR56&lt;=Z56)),IF(F56="Short","COVER — stop hit (buy back)","SELL — stop hit"),IF(IF(F56="Short",AND(ISNUMBER(AR56),ISNUMBER(AA56),AR56&lt;=AA56),AND(ISNUMBER(AR56),ISNUMBER(AA56),AR56&gt;=AA56)),"TAKE PROFIT — target hit",IF(AND(ISNUMBER(AT56),AT56&gt;182),IF(F56="Short","COVER — 6-month time limit","SELL — 6-month time limit"),IF(AND(ISNUMBER(AT56),AT56&gt;42,ISNUMBER(AS56),AS56&lt;0.02),"REVIEW — no progress after 6 weeks",IF(IF(F56="Short",AND(L56&lt;&gt;"",N(L56)&gt;0),AND(L56&lt;&gt;"",N(L56)&lt;0)),IF(F56="Short","REVIEW — back above 50-day avg","REVIEW — below 50-day avg"),"HOLD"))))),IF(OR(AP56="Closed",AP56="Dropped"),"Closed",IF(AK56="A",IF(F56="Short","Run Technical Review — SHORT entry","Run Technical Review — LONG entry"),IF(AK56="B","Watch — wait for setup","Drop or re-check next week")))))</f>
        <v/>
      </c>
      <c r="AV56" s="35"/>
      <c r="AX56" s="43" t="str">
        <f aca="false">IF(AND(C56&lt;&gt;"",A56=$C$4,ISNUMBER(AJ56)),AJ56+ROW()/100000,"")</f>
        <v/>
      </c>
    </row>
    <row r="57" customFormat="false" ht="15" hidden="false" customHeight="false" outlineLevel="0" collapsed="false">
      <c r="A57" s="19"/>
      <c r="B57" s="35"/>
      <c r="C57" s="35"/>
      <c r="D57" s="35"/>
      <c r="E57" s="35"/>
      <c r="F57" s="35"/>
      <c r="G57" s="26"/>
      <c r="H57" s="26"/>
      <c r="I57" s="36"/>
      <c r="J57" s="37" t="str">
        <f aca="false">IF(OR(G57="",I57=""),"",G57*I57/1000000)</f>
        <v/>
      </c>
      <c r="K57" s="21"/>
      <c r="L57" s="21"/>
      <c r="M57" s="21"/>
      <c r="N57" s="25"/>
      <c r="O57" s="21"/>
      <c r="P57" s="21"/>
      <c r="Q57" s="21"/>
      <c r="R57" s="21"/>
      <c r="S57" s="38"/>
      <c r="T57" s="21"/>
      <c r="U57" s="21"/>
      <c r="V57" s="19"/>
      <c r="W57" s="26"/>
      <c r="X57" s="35"/>
      <c r="Y57" s="26"/>
      <c r="Z57" s="26"/>
      <c r="AA57" s="26"/>
      <c r="AB57" s="16" t="str">
        <f aca="false">IF(C57="","",IF(F57="Short",(AND(M57&lt;&gt;"",N(M57)&lt;0))+(AND(L57&lt;&gt;"",N(L57)&lt;0))+(AND(K57&lt;&gt;"",N(K57)&lt;0))+AND(L57&lt;&gt;"",M57&lt;&gt;"",N(M57)&lt;N(L57)),(N(M57)&gt;0)+(N(L57)&gt;0)+(N(K57)&gt;0)+AND(L57&lt;&gt;"",M57&lt;&gt;"",N(M57)&gt;N(L57))))</f>
        <v/>
      </c>
      <c r="AC57" s="16" t="str">
        <f aca="false">IF(C57="","",IF(F57="Short",IF(N57="",0,IF(AND(N57&gt;=30,N57&lt;=50),2,IF(OR(AND(N57&gt;=25,N57&lt;30),AND(N57&gt;50,N57&lt;=60)),1,0)))+IF(P57="",0,IF(AND(IF(B57="JSE",$L$5,$L$4)&lt;&gt;"",P57&lt;IF(B57="JSE",$L$5,$L$4)),2,IF(P57&lt;0,1,0))),IF(N57="",0,IF(AND(N57&gt;=50,N57&lt;=70),2,IF(OR(AND(N57&gt;=40,N57&lt;50),AND(N57&gt;70,N57&lt;=75)),1,0)))+IF(P57="",0,IF(AND(IF(B57="JSE",$L$5,$L$4)&lt;&gt;"",P57&gt;IF(B57="JSE",$L$5,$L$4)),2,IF(P57&gt;0,1,0)))))</f>
        <v/>
      </c>
      <c r="AD57" s="16" t="str">
        <f aca="false">IF(C57="","",IF(F57="Short",IF(R57="",0,IF(R57&lt;=0.1,2,IF(R57&lt;=0.25,1,0))),IF(Q57="",0,IF(Q57&gt;=-0.1,2,IF(Q57&gt;=-0.25,1,0)))))</f>
        <v/>
      </c>
      <c r="AE57" s="16" t="str">
        <f aca="false">IF(C57="","",IF(J57="",0,IF(J57&gt;=IF(B57="JSE",$L$7,$L$6),2,IF(J57&gt;=IF(B57="JSE",$L$7,$L$6)/4,1,0))))</f>
        <v/>
      </c>
      <c r="AF57" s="16" t="str">
        <f aca="false">IF(C57="","",IF(F57="Short",AND(T57&lt;&gt;"",N(T57)&lt;0),N(T57)&gt;0)+(N(S57)&gt;=1.5))</f>
        <v/>
      </c>
      <c r="AG57" s="16" t="str">
        <f aca="false">IF(C57="","",IF(AL57="",0,IF(AL57&gt;=3,4,IF(AL57&gt;=2,2,0))))</f>
        <v/>
      </c>
      <c r="AH57" s="16" t="str">
        <f aca="false">IF(C57="","",IF(AND(ISNUMBER(V57),ISNUMBER(A57),V57&gt;=A57,V57-A57&lt;=14),-2,0))</f>
        <v/>
      </c>
      <c r="AI57" s="16" t="str">
        <f aca="false">IF(C57="","",IF(AND(F57="Short",N(U57)&gt;=0.2),-1,0))</f>
        <v/>
      </c>
      <c r="AJ57" s="23" t="str">
        <f aca="false">IF(C57="","",SUM(AB57:AI57))</f>
        <v/>
      </c>
      <c r="AK57" s="24" t="str">
        <f aca="false">IF(C57="","",IF(AJ57&gt;=14,"A",IF(AJ57&gt;=10,"B","C")))</f>
        <v/>
      </c>
      <c r="AL57" s="39" t="str">
        <f aca="false">IFERROR(IF(OR(Y57="",Z57="",AA57=""),"",IF(F57="Short",IF(Z57&lt;=Y57,"",(Y57-AA57)/(Z57-Y57)),IF(Y57&lt;=Z57,"",(AA57-Y57)/(Y57-Z57)))),"")</f>
        <v/>
      </c>
      <c r="AM57" s="37" t="str">
        <f aca="false">IF(OR(Y57="",Z57="",N(Y57)=N(Z57)),"",IF(OR(AND(F57="Short",Z57&lt;Y57),AND(NOT(F57="Short"),Z57&gt;Y57)),"stop on wrong side",ABS(Y57-Z57)))</f>
        <v/>
      </c>
      <c r="AN57" s="40" t="str">
        <f aca="false">IFERROR(IF(OR(NOT(ISNUMBER(AM57)),$C$6=""),"",ROUNDDOWN($C$6*$C$7/AM57,2)),"")</f>
        <v/>
      </c>
      <c r="AO57" s="37" t="str">
        <f aca="false">IFERROR(IF(AN57="","",AN57*Y57),"")</f>
        <v/>
      </c>
      <c r="AP57" s="35"/>
      <c r="AQ57" s="19"/>
      <c r="AR57" s="26"/>
      <c r="AS57" s="41" t="str">
        <f aca="false">IFERROR(IF(OR(AR57="",Y57="",AQ57=""),"",IF(F57="Short",1-AR57/Y57,AR57/Y57-1)),"")</f>
        <v/>
      </c>
      <c r="AT57" s="42" t="str">
        <f aca="true">IF(AQ57="","",IF(ISNUMBER($C$4),$C$4,TODAY())-AQ57)</f>
        <v/>
      </c>
      <c r="AU57" s="14" t="str">
        <f aca="false">IF(C57="","",IF(AP57="Open position",IF(IF(F57="Short",AND(ISNUMBER(AR57),ISNUMBER(Z57),AR57&gt;=Z57),AND(ISNUMBER(AR57),ISNUMBER(Z57),AR57&lt;=Z57)),IF(F57="Short","COVER — stop hit (buy back)","SELL — stop hit"),IF(IF(F57="Short",AND(ISNUMBER(AR57),ISNUMBER(AA57),AR57&lt;=AA57),AND(ISNUMBER(AR57),ISNUMBER(AA57),AR57&gt;=AA57)),"TAKE PROFIT — target hit",IF(AND(ISNUMBER(AT57),AT57&gt;182),IF(F57="Short","COVER — 6-month time limit","SELL — 6-month time limit"),IF(AND(ISNUMBER(AT57),AT57&gt;42,ISNUMBER(AS57),AS57&lt;0.02),"REVIEW — no progress after 6 weeks",IF(IF(F57="Short",AND(L57&lt;&gt;"",N(L57)&gt;0),AND(L57&lt;&gt;"",N(L57)&lt;0)),IF(F57="Short","REVIEW — back above 50-day avg","REVIEW — below 50-day avg"),"HOLD"))))),IF(OR(AP57="Closed",AP57="Dropped"),"Closed",IF(AK57="A",IF(F57="Short","Run Technical Review — SHORT entry","Run Technical Review — LONG entry"),IF(AK57="B","Watch — wait for setup","Drop or re-check next week")))))</f>
        <v/>
      </c>
      <c r="AV57" s="35"/>
      <c r="AX57" s="43" t="str">
        <f aca="false">IF(AND(C57&lt;&gt;"",A57=$C$4,ISNUMBER(AJ57)),AJ57+ROW()/100000,"")</f>
        <v/>
      </c>
    </row>
    <row r="58" customFormat="false" ht="15" hidden="false" customHeight="false" outlineLevel="0" collapsed="false">
      <c r="A58" s="19"/>
      <c r="B58" s="35"/>
      <c r="C58" s="35"/>
      <c r="D58" s="35"/>
      <c r="E58" s="35"/>
      <c r="F58" s="35"/>
      <c r="G58" s="26"/>
      <c r="H58" s="26"/>
      <c r="I58" s="36"/>
      <c r="J58" s="37" t="str">
        <f aca="false">IF(OR(G58="",I58=""),"",G58*I58/1000000)</f>
        <v/>
      </c>
      <c r="K58" s="21"/>
      <c r="L58" s="21"/>
      <c r="M58" s="21"/>
      <c r="N58" s="25"/>
      <c r="O58" s="21"/>
      <c r="P58" s="21"/>
      <c r="Q58" s="21"/>
      <c r="R58" s="21"/>
      <c r="S58" s="38"/>
      <c r="T58" s="21"/>
      <c r="U58" s="21"/>
      <c r="V58" s="19"/>
      <c r="W58" s="26"/>
      <c r="X58" s="35"/>
      <c r="Y58" s="26"/>
      <c r="Z58" s="26"/>
      <c r="AA58" s="26"/>
      <c r="AB58" s="16" t="str">
        <f aca="false">IF(C58="","",IF(F58="Short",(AND(M58&lt;&gt;"",N(M58)&lt;0))+(AND(L58&lt;&gt;"",N(L58)&lt;0))+(AND(K58&lt;&gt;"",N(K58)&lt;0))+AND(L58&lt;&gt;"",M58&lt;&gt;"",N(M58)&lt;N(L58)),(N(M58)&gt;0)+(N(L58)&gt;0)+(N(K58)&gt;0)+AND(L58&lt;&gt;"",M58&lt;&gt;"",N(M58)&gt;N(L58))))</f>
        <v/>
      </c>
      <c r="AC58" s="16" t="str">
        <f aca="false">IF(C58="","",IF(F58="Short",IF(N58="",0,IF(AND(N58&gt;=30,N58&lt;=50),2,IF(OR(AND(N58&gt;=25,N58&lt;30),AND(N58&gt;50,N58&lt;=60)),1,0)))+IF(P58="",0,IF(AND(IF(B58="JSE",$L$5,$L$4)&lt;&gt;"",P58&lt;IF(B58="JSE",$L$5,$L$4)),2,IF(P58&lt;0,1,0))),IF(N58="",0,IF(AND(N58&gt;=50,N58&lt;=70),2,IF(OR(AND(N58&gt;=40,N58&lt;50),AND(N58&gt;70,N58&lt;=75)),1,0)))+IF(P58="",0,IF(AND(IF(B58="JSE",$L$5,$L$4)&lt;&gt;"",P58&gt;IF(B58="JSE",$L$5,$L$4)),2,IF(P58&gt;0,1,0)))))</f>
        <v/>
      </c>
      <c r="AD58" s="16" t="str">
        <f aca="false">IF(C58="","",IF(F58="Short",IF(R58="",0,IF(R58&lt;=0.1,2,IF(R58&lt;=0.25,1,0))),IF(Q58="",0,IF(Q58&gt;=-0.1,2,IF(Q58&gt;=-0.25,1,0)))))</f>
        <v/>
      </c>
      <c r="AE58" s="16" t="str">
        <f aca="false">IF(C58="","",IF(J58="",0,IF(J58&gt;=IF(B58="JSE",$L$7,$L$6),2,IF(J58&gt;=IF(B58="JSE",$L$7,$L$6)/4,1,0))))</f>
        <v/>
      </c>
      <c r="AF58" s="16" t="str">
        <f aca="false">IF(C58="","",IF(F58="Short",AND(T58&lt;&gt;"",N(T58)&lt;0),N(T58)&gt;0)+(N(S58)&gt;=1.5))</f>
        <v/>
      </c>
      <c r="AG58" s="16" t="str">
        <f aca="false">IF(C58="","",IF(AL58="",0,IF(AL58&gt;=3,4,IF(AL58&gt;=2,2,0))))</f>
        <v/>
      </c>
      <c r="AH58" s="16" t="str">
        <f aca="false">IF(C58="","",IF(AND(ISNUMBER(V58),ISNUMBER(A58),V58&gt;=A58,V58-A58&lt;=14),-2,0))</f>
        <v/>
      </c>
      <c r="AI58" s="16" t="str">
        <f aca="false">IF(C58="","",IF(AND(F58="Short",N(U58)&gt;=0.2),-1,0))</f>
        <v/>
      </c>
      <c r="AJ58" s="23" t="str">
        <f aca="false">IF(C58="","",SUM(AB58:AI58))</f>
        <v/>
      </c>
      <c r="AK58" s="24" t="str">
        <f aca="false">IF(C58="","",IF(AJ58&gt;=14,"A",IF(AJ58&gt;=10,"B","C")))</f>
        <v/>
      </c>
      <c r="AL58" s="39" t="str">
        <f aca="false">IFERROR(IF(OR(Y58="",Z58="",AA58=""),"",IF(F58="Short",IF(Z58&lt;=Y58,"",(Y58-AA58)/(Z58-Y58)),IF(Y58&lt;=Z58,"",(AA58-Y58)/(Y58-Z58)))),"")</f>
        <v/>
      </c>
      <c r="AM58" s="37" t="str">
        <f aca="false">IF(OR(Y58="",Z58="",N(Y58)=N(Z58)),"",IF(OR(AND(F58="Short",Z58&lt;Y58),AND(NOT(F58="Short"),Z58&gt;Y58)),"stop on wrong side",ABS(Y58-Z58)))</f>
        <v/>
      </c>
      <c r="AN58" s="40" t="str">
        <f aca="false">IFERROR(IF(OR(NOT(ISNUMBER(AM58)),$C$6=""),"",ROUNDDOWN($C$6*$C$7/AM58,2)),"")</f>
        <v/>
      </c>
      <c r="AO58" s="37" t="str">
        <f aca="false">IFERROR(IF(AN58="","",AN58*Y58),"")</f>
        <v/>
      </c>
      <c r="AP58" s="35"/>
      <c r="AQ58" s="19"/>
      <c r="AR58" s="26"/>
      <c r="AS58" s="41" t="str">
        <f aca="false">IFERROR(IF(OR(AR58="",Y58="",AQ58=""),"",IF(F58="Short",1-AR58/Y58,AR58/Y58-1)),"")</f>
        <v/>
      </c>
      <c r="AT58" s="42" t="str">
        <f aca="true">IF(AQ58="","",IF(ISNUMBER($C$4),$C$4,TODAY())-AQ58)</f>
        <v/>
      </c>
      <c r="AU58" s="14" t="str">
        <f aca="false">IF(C58="","",IF(AP58="Open position",IF(IF(F58="Short",AND(ISNUMBER(AR58),ISNUMBER(Z58),AR58&gt;=Z58),AND(ISNUMBER(AR58),ISNUMBER(Z58),AR58&lt;=Z58)),IF(F58="Short","COVER — stop hit (buy back)","SELL — stop hit"),IF(IF(F58="Short",AND(ISNUMBER(AR58),ISNUMBER(AA58),AR58&lt;=AA58),AND(ISNUMBER(AR58),ISNUMBER(AA58),AR58&gt;=AA58)),"TAKE PROFIT — target hit",IF(AND(ISNUMBER(AT58),AT58&gt;182),IF(F58="Short","COVER — 6-month time limit","SELL — 6-month time limit"),IF(AND(ISNUMBER(AT58),AT58&gt;42,ISNUMBER(AS58),AS58&lt;0.02),"REVIEW — no progress after 6 weeks",IF(IF(F58="Short",AND(L58&lt;&gt;"",N(L58)&gt;0),AND(L58&lt;&gt;"",N(L58)&lt;0)),IF(F58="Short","REVIEW — back above 50-day avg","REVIEW — below 50-day avg"),"HOLD"))))),IF(OR(AP58="Closed",AP58="Dropped"),"Closed",IF(AK58="A",IF(F58="Short","Run Technical Review — SHORT entry","Run Technical Review — LONG entry"),IF(AK58="B","Watch — wait for setup","Drop or re-check next week")))))</f>
        <v/>
      </c>
      <c r="AV58" s="35"/>
      <c r="AX58" s="43" t="str">
        <f aca="false">IF(AND(C58&lt;&gt;"",A58=$C$4,ISNUMBER(AJ58)),AJ58+ROW()/100000,"")</f>
        <v/>
      </c>
    </row>
    <row r="59" customFormat="false" ht="15" hidden="false" customHeight="false" outlineLevel="0" collapsed="false">
      <c r="A59" s="19"/>
      <c r="B59" s="35"/>
      <c r="C59" s="35"/>
      <c r="D59" s="35"/>
      <c r="E59" s="35"/>
      <c r="F59" s="35"/>
      <c r="G59" s="26"/>
      <c r="H59" s="26"/>
      <c r="I59" s="36"/>
      <c r="J59" s="37" t="str">
        <f aca="false">IF(OR(G59="",I59=""),"",G59*I59/1000000)</f>
        <v/>
      </c>
      <c r="K59" s="21"/>
      <c r="L59" s="21"/>
      <c r="M59" s="21"/>
      <c r="N59" s="25"/>
      <c r="O59" s="21"/>
      <c r="P59" s="21"/>
      <c r="Q59" s="21"/>
      <c r="R59" s="21"/>
      <c r="S59" s="38"/>
      <c r="T59" s="21"/>
      <c r="U59" s="21"/>
      <c r="V59" s="19"/>
      <c r="W59" s="26"/>
      <c r="X59" s="35"/>
      <c r="Y59" s="26"/>
      <c r="Z59" s="26"/>
      <c r="AA59" s="26"/>
      <c r="AB59" s="16" t="str">
        <f aca="false">IF(C59="","",IF(F59="Short",(AND(M59&lt;&gt;"",N(M59)&lt;0))+(AND(L59&lt;&gt;"",N(L59)&lt;0))+(AND(K59&lt;&gt;"",N(K59)&lt;0))+AND(L59&lt;&gt;"",M59&lt;&gt;"",N(M59)&lt;N(L59)),(N(M59)&gt;0)+(N(L59)&gt;0)+(N(K59)&gt;0)+AND(L59&lt;&gt;"",M59&lt;&gt;"",N(M59)&gt;N(L59))))</f>
        <v/>
      </c>
      <c r="AC59" s="16" t="str">
        <f aca="false">IF(C59="","",IF(F59="Short",IF(N59="",0,IF(AND(N59&gt;=30,N59&lt;=50),2,IF(OR(AND(N59&gt;=25,N59&lt;30),AND(N59&gt;50,N59&lt;=60)),1,0)))+IF(P59="",0,IF(AND(IF(B59="JSE",$L$5,$L$4)&lt;&gt;"",P59&lt;IF(B59="JSE",$L$5,$L$4)),2,IF(P59&lt;0,1,0))),IF(N59="",0,IF(AND(N59&gt;=50,N59&lt;=70),2,IF(OR(AND(N59&gt;=40,N59&lt;50),AND(N59&gt;70,N59&lt;=75)),1,0)))+IF(P59="",0,IF(AND(IF(B59="JSE",$L$5,$L$4)&lt;&gt;"",P59&gt;IF(B59="JSE",$L$5,$L$4)),2,IF(P59&gt;0,1,0)))))</f>
        <v/>
      </c>
      <c r="AD59" s="16" t="str">
        <f aca="false">IF(C59="","",IF(F59="Short",IF(R59="",0,IF(R59&lt;=0.1,2,IF(R59&lt;=0.25,1,0))),IF(Q59="",0,IF(Q59&gt;=-0.1,2,IF(Q59&gt;=-0.25,1,0)))))</f>
        <v/>
      </c>
      <c r="AE59" s="16" t="str">
        <f aca="false">IF(C59="","",IF(J59="",0,IF(J59&gt;=IF(B59="JSE",$L$7,$L$6),2,IF(J59&gt;=IF(B59="JSE",$L$7,$L$6)/4,1,0))))</f>
        <v/>
      </c>
      <c r="AF59" s="16" t="str">
        <f aca="false">IF(C59="","",IF(F59="Short",AND(T59&lt;&gt;"",N(T59)&lt;0),N(T59)&gt;0)+(N(S59)&gt;=1.5))</f>
        <v/>
      </c>
      <c r="AG59" s="16" t="str">
        <f aca="false">IF(C59="","",IF(AL59="",0,IF(AL59&gt;=3,4,IF(AL59&gt;=2,2,0))))</f>
        <v/>
      </c>
      <c r="AH59" s="16" t="str">
        <f aca="false">IF(C59="","",IF(AND(ISNUMBER(V59),ISNUMBER(A59),V59&gt;=A59,V59-A59&lt;=14),-2,0))</f>
        <v/>
      </c>
      <c r="AI59" s="16" t="str">
        <f aca="false">IF(C59="","",IF(AND(F59="Short",N(U59)&gt;=0.2),-1,0))</f>
        <v/>
      </c>
      <c r="AJ59" s="23" t="str">
        <f aca="false">IF(C59="","",SUM(AB59:AI59))</f>
        <v/>
      </c>
      <c r="AK59" s="24" t="str">
        <f aca="false">IF(C59="","",IF(AJ59&gt;=14,"A",IF(AJ59&gt;=10,"B","C")))</f>
        <v/>
      </c>
      <c r="AL59" s="39" t="str">
        <f aca="false">IFERROR(IF(OR(Y59="",Z59="",AA59=""),"",IF(F59="Short",IF(Z59&lt;=Y59,"",(Y59-AA59)/(Z59-Y59)),IF(Y59&lt;=Z59,"",(AA59-Y59)/(Y59-Z59)))),"")</f>
        <v/>
      </c>
      <c r="AM59" s="37" t="str">
        <f aca="false">IF(OR(Y59="",Z59="",N(Y59)=N(Z59)),"",IF(OR(AND(F59="Short",Z59&lt;Y59),AND(NOT(F59="Short"),Z59&gt;Y59)),"stop on wrong side",ABS(Y59-Z59)))</f>
        <v/>
      </c>
      <c r="AN59" s="40" t="str">
        <f aca="false">IFERROR(IF(OR(NOT(ISNUMBER(AM59)),$C$6=""),"",ROUNDDOWN($C$6*$C$7/AM59,2)),"")</f>
        <v/>
      </c>
      <c r="AO59" s="37" t="str">
        <f aca="false">IFERROR(IF(AN59="","",AN59*Y59),"")</f>
        <v/>
      </c>
      <c r="AP59" s="35"/>
      <c r="AQ59" s="19"/>
      <c r="AR59" s="26"/>
      <c r="AS59" s="41" t="str">
        <f aca="false">IFERROR(IF(OR(AR59="",Y59="",AQ59=""),"",IF(F59="Short",1-AR59/Y59,AR59/Y59-1)),"")</f>
        <v/>
      </c>
      <c r="AT59" s="42" t="str">
        <f aca="true">IF(AQ59="","",IF(ISNUMBER($C$4),$C$4,TODAY())-AQ59)</f>
        <v/>
      </c>
      <c r="AU59" s="14" t="str">
        <f aca="false">IF(C59="","",IF(AP59="Open position",IF(IF(F59="Short",AND(ISNUMBER(AR59),ISNUMBER(Z59),AR59&gt;=Z59),AND(ISNUMBER(AR59),ISNUMBER(Z59),AR59&lt;=Z59)),IF(F59="Short","COVER — stop hit (buy back)","SELL — stop hit"),IF(IF(F59="Short",AND(ISNUMBER(AR59),ISNUMBER(AA59),AR59&lt;=AA59),AND(ISNUMBER(AR59),ISNUMBER(AA59),AR59&gt;=AA59)),"TAKE PROFIT — target hit",IF(AND(ISNUMBER(AT59),AT59&gt;182),IF(F59="Short","COVER — 6-month time limit","SELL — 6-month time limit"),IF(AND(ISNUMBER(AT59),AT59&gt;42,ISNUMBER(AS59),AS59&lt;0.02),"REVIEW — no progress after 6 weeks",IF(IF(F59="Short",AND(L59&lt;&gt;"",N(L59)&gt;0),AND(L59&lt;&gt;"",N(L59)&lt;0)),IF(F59="Short","REVIEW — back above 50-day avg","REVIEW — below 50-day avg"),"HOLD"))))),IF(OR(AP59="Closed",AP59="Dropped"),"Closed",IF(AK59="A",IF(F59="Short","Run Technical Review — SHORT entry","Run Technical Review — LONG entry"),IF(AK59="B","Watch — wait for setup","Drop or re-check next week")))))</f>
        <v/>
      </c>
      <c r="AV59" s="35"/>
      <c r="AX59" s="43" t="str">
        <f aca="false">IF(AND(C59&lt;&gt;"",A59=$C$4,ISNUMBER(AJ59)),AJ59+ROW()/100000,"")</f>
        <v/>
      </c>
    </row>
    <row r="60" customFormat="false" ht="15" hidden="false" customHeight="false" outlineLevel="0" collapsed="false">
      <c r="A60" s="19"/>
      <c r="B60" s="35"/>
      <c r="C60" s="35"/>
      <c r="D60" s="35"/>
      <c r="E60" s="35"/>
      <c r="F60" s="35"/>
      <c r="G60" s="26"/>
      <c r="H60" s="26"/>
      <c r="I60" s="36"/>
      <c r="J60" s="37" t="str">
        <f aca="false">IF(OR(G60="",I60=""),"",G60*I60/1000000)</f>
        <v/>
      </c>
      <c r="K60" s="21"/>
      <c r="L60" s="21"/>
      <c r="M60" s="21"/>
      <c r="N60" s="25"/>
      <c r="O60" s="21"/>
      <c r="P60" s="21"/>
      <c r="Q60" s="21"/>
      <c r="R60" s="21"/>
      <c r="S60" s="38"/>
      <c r="T60" s="21"/>
      <c r="U60" s="21"/>
      <c r="V60" s="19"/>
      <c r="W60" s="26"/>
      <c r="X60" s="35"/>
      <c r="Y60" s="26"/>
      <c r="Z60" s="26"/>
      <c r="AA60" s="26"/>
      <c r="AB60" s="16" t="str">
        <f aca="false">IF(C60="","",IF(F60="Short",(AND(M60&lt;&gt;"",N(M60)&lt;0))+(AND(L60&lt;&gt;"",N(L60)&lt;0))+(AND(K60&lt;&gt;"",N(K60)&lt;0))+AND(L60&lt;&gt;"",M60&lt;&gt;"",N(M60)&lt;N(L60)),(N(M60)&gt;0)+(N(L60)&gt;0)+(N(K60)&gt;0)+AND(L60&lt;&gt;"",M60&lt;&gt;"",N(M60)&gt;N(L60))))</f>
        <v/>
      </c>
      <c r="AC60" s="16" t="str">
        <f aca="false">IF(C60="","",IF(F60="Short",IF(N60="",0,IF(AND(N60&gt;=30,N60&lt;=50),2,IF(OR(AND(N60&gt;=25,N60&lt;30),AND(N60&gt;50,N60&lt;=60)),1,0)))+IF(P60="",0,IF(AND(IF(B60="JSE",$L$5,$L$4)&lt;&gt;"",P60&lt;IF(B60="JSE",$L$5,$L$4)),2,IF(P60&lt;0,1,0))),IF(N60="",0,IF(AND(N60&gt;=50,N60&lt;=70),2,IF(OR(AND(N60&gt;=40,N60&lt;50),AND(N60&gt;70,N60&lt;=75)),1,0)))+IF(P60="",0,IF(AND(IF(B60="JSE",$L$5,$L$4)&lt;&gt;"",P60&gt;IF(B60="JSE",$L$5,$L$4)),2,IF(P60&gt;0,1,0)))))</f>
        <v/>
      </c>
      <c r="AD60" s="16" t="str">
        <f aca="false">IF(C60="","",IF(F60="Short",IF(R60="",0,IF(R60&lt;=0.1,2,IF(R60&lt;=0.25,1,0))),IF(Q60="",0,IF(Q60&gt;=-0.1,2,IF(Q60&gt;=-0.25,1,0)))))</f>
        <v/>
      </c>
      <c r="AE60" s="16" t="str">
        <f aca="false">IF(C60="","",IF(J60="",0,IF(J60&gt;=IF(B60="JSE",$L$7,$L$6),2,IF(J60&gt;=IF(B60="JSE",$L$7,$L$6)/4,1,0))))</f>
        <v/>
      </c>
      <c r="AF60" s="16" t="str">
        <f aca="false">IF(C60="","",IF(F60="Short",AND(T60&lt;&gt;"",N(T60)&lt;0),N(T60)&gt;0)+(N(S60)&gt;=1.5))</f>
        <v/>
      </c>
      <c r="AG60" s="16" t="str">
        <f aca="false">IF(C60="","",IF(AL60="",0,IF(AL60&gt;=3,4,IF(AL60&gt;=2,2,0))))</f>
        <v/>
      </c>
      <c r="AH60" s="16" t="str">
        <f aca="false">IF(C60="","",IF(AND(ISNUMBER(V60),ISNUMBER(A60),V60&gt;=A60,V60-A60&lt;=14),-2,0))</f>
        <v/>
      </c>
      <c r="AI60" s="16" t="str">
        <f aca="false">IF(C60="","",IF(AND(F60="Short",N(U60)&gt;=0.2),-1,0))</f>
        <v/>
      </c>
      <c r="AJ60" s="23" t="str">
        <f aca="false">IF(C60="","",SUM(AB60:AI60))</f>
        <v/>
      </c>
      <c r="AK60" s="24" t="str">
        <f aca="false">IF(C60="","",IF(AJ60&gt;=14,"A",IF(AJ60&gt;=10,"B","C")))</f>
        <v/>
      </c>
      <c r="AL60" s="39" t="str">
        <f aca="false">IFERROR(IF(OR(Y60="",Z60="",AA60=""),"",IF(F60="Short",IF(Z60&lt;=Y60,"",(Y60-AA60)/(Z60-Y60)),IF(Y60&lt;=Z60,"",(AA60-Y60)/(Y60-Z60)))),"")</f>
        <v/>
      </c>
      <c r="AM60" s="37" t="str">
        <f aca="false">IF(OR(Y60="",Z60="",N(Y60)=N(Z60)),"",IF(OR(AND(F60="Short",Z60&lt;Y60),AND(NOT(F60="Short"),Z60&gt;Y60)),"stop on wrong side",ABS(Y60-Z60)))</f>
        <v/>
      </c>
      <c r="AN60" s="40" t="str">
        <f aca="false">IFERROR(IF(OR(NOT(ISNUMBER(AM60)),$C$6=""),"",ROUNDDOWN($C$6*$C$7/AM60,2)),"")</f>
        <v/>
      </c>
      <c r="AO60" s="37" t="str">
        <f aca="false">IFERROR(IF(AN60="","",AN60*Y60),"")</f>
        <v/>
      </c>
      <c r="AP60" s="35"/>
      <c r="AQ60" s="19"/>
      <c r="AR60" s="26"/>
      <c r="AS60" s="41" t="str">
        <f aca="false">IFERROR(IF(OR(AR60="",Y60="",AQ60=""),"",IF(F60="Short",1-AR60/Y60,AR60/Y60-1)),"")</f>
        <v/>
      </c>
      <c r="AT60" s="42" t="str">
        <f aca="true">IF(AQ60="","",IF(ISNUMBER($C$4),$C$4,TODAY())-AQ60)</f>
        <v/>
      </c>
      <c r="AU60" s="14" t="str">
        <f aca="false">IF(C60="","",IF(AP60="Open position",IF(IF(F60="Short",AND(ISNUMBER(AR60),ISNUMBER(Z60),AR60&gt;=Z60),AND(ISNUMBER(AR60),ISNUMBER(Z60),AR60&lt;=Z60)),IF(F60="Short","COVER — stop hit (buy back)","SELL — stop hit"),IF(IF(F60="Short",AND(ISNUMBER(AR60),ISNUMBER(AA60),AR60&lt;=AA60),AND(ISNUMBER(AR60),ISNUMBER(AA60),AR60&gt;=AA60)),"TAKE PROFIT — target hit",IF(AND(ISNUMBER(AT60),AT60&gt;182),IF(F60="Short","COVER — 6-month time limit","SELL — 6-month time limit"),IF(AND(ISNUMBER(AT60),AT60&gt;42,ISNUMBER(AS60),AS60&lt;0.02),"REVIEW — no progress after 6 weeks",IF(IF(F60="Short",AND(L60&lt;&gt;"",N(L60)&gt;0),AND(L60&lt;&gt;"",N(L60)&lt;0)),IF(F60="Short","REVIEW — back above 50-day avg","REVIEW — below 50-day avg"),"HOLD"))))),IF(OR(AP60="Closed",AP60="Dropped"),"Closed",IF(AK60="A",IF(F60="Short","Run Technical Review — SHORT entry","Run Technical Review — LONG entry"),IF(AK60="B","Watch — wait for setup","Drop or re-check next week")))))</f>
        <v/>
      </c>
      <c r="AV60" s="35"/>
      <c r="AX60" s="43" t="str">
        <f aca="false">IF(AND(C60&lt;&gt;"",A60=$C$4,ISNUMBER(AJ60)),AJ60+ROW()/100000,"")</f>
        <v/>
      </c>
    </row>
    <row r="61" customFormat="false" ht="15" hidden="false" customHeight="false" outlineLevel="0" collapsed="false">
      <c r="A61" s="19"/>
      <c r="B61" s="35"/>
      <c r="C61" s="35"/>
      <c r="D61" s="35"/>
      <c r="E61" s="35"/>
      <c r="F61" s="35"/>
      <c r="G61" s="26"/>
      <c r="H61" s="26"/>
      <c r="I61" s="36"/>
      <c r="J61" s="37" t="str">
        <f aca="false">IF(OR(G61="",I61=""),"",G61*I61/1000000)</f>
        <v/>
      </c>
      <c r="K61" s="21"/>
      <c r="L61" s="21"/>
      <c r="M61" s="21"/>
      <c r="N61" s="25"/>
      <c r="O61" s="21"/>
      <c r="P61" s="21"/>
      <c r="Q61" s="21"/>
      <c r="R61" s="21"/>
      <c r="S61" s="38"/>
      <c r="T61" s="21"/>
      <c r="U61" s="21"/>
      <c r="V61" s="19"/>
      <c r="W61" s="26"/>
      <c r="X61" s="35"/>
      <c r="Y61" s="26"/>
      <c r="Z61" s="26"/>
      <c r="AA61" s="26"/>
      <c r="AB61" s="16" t="str">
        <f aca="false">IF(C61="","",IF(F61="Short",(AND(M61&lt;&gt;"",N(M61)&lt;0))+(AND(L61&lt;&gt;"",N(L61)&lt;0))+(AND(K61&lt;&gt;"",N(K61)&lt;0))+AND(L61&lt;&gt;"",M61&lt;&gt;"",N(M61)&lt;N(L61)),(N(M61)&gt;0)+(N(L61)&gt;0)+(N(K61)&gt;0)+AND(L61&lt;&gt;"",M61&lt;&gt;"",N(M61)&gt;N(L61))))</f>
        <v/>
      </c>
      <c r="AC61" s="16" t="str">
        <f aca="false">IF(C61="","",IF(F61="Short",IF(N61="",0,IF(AND(N61&gt;=30,N61&lt;=50),2,IF(OR(AND(N61&gt;=25,N61&lt;30),AND(N61&gt;50,N61&lt;=60)),1,0)))+IF(P61="",0,IF(AND(IF(B61="JSE",$L$5,$L$4)&lt;&gt;"",P61&lt;IF(B61="JSE",$L$5,$L$4)),2,IF(P61&lt;0,1,0))),IF(N61="",0,IF(AND(N61&gt;=50,N61&lt;=70),2,IF(OR(AND(N61&gt;=40,N61&lt;50),AND(N61&gt;70,N61&lt;=75)),1,0)))+IF(P61="",0,IF(AND(IF(B61="JSE",$L$5,$L$4)&lt;&gt;"",P61&gt;IF(B61="JSE",$L$5,$L$4)),2,IF(P61&gt;0,1,0)))))</f>
        <v/>
      </c>
      <c r="AD61" s="16" t="str">
        <f aca="false">IF(C61="","",IF(F61="Short",IF(R61="",0,IF(R61&lt;=0.1,2,IF(R61&lt;=0.25,1,0))),IF(Q61="",0,IF(Q61&gt;=-0.1,2,IF(Q61&gt;=-0.25,1,0)))))</f>
        <v/>
      </c>
      <c r="AE61" s="16" t="str">
        <f aca="false">IF(C61="","",IF(J61="",0,IF(J61&gt;=IF(B61="JSE",$L$7,$L$6),2,IF(J61&gt;=IF(B61="JSE",$L$7,$L$6)/4,1,0))))</f>
        <v/>
      </c>
      <c r="AF61" s="16" t="str">
        <f aca="false">IF(C61="","",IF(F61="Short",AND(T61&lt;&gt;"",N(T61)&lt;0),N(T61)&gt;0)+(N(S61)&gt;=1.5))</f>
        <v/>
      </c>
      <c r="AG61" s="16" t="str">
        <f aca="false">IF(C61="","",IF(AL61="",0,IF(AL61&gt;=3,4,IF(AL61&gt;=2,2,0))))</f>
        <v/>
      </c>
      <c r="AH61" s="16" t="str">
        <f aca="false">IF(C61="","",IF(AND(ISNUMBER(V61),ISNUMBER(A61),V61&gt;=A61,V61-A61&lt;=14),-2,0))</f>
        <v/>
      </c>
      <c r="AI61" s="16" t="str">
        <f aca="false">IF(C61="","",IF(AND(F61="Short",N(U61)&gt;=0.2),-1,0))</f>
        <v/>
      </c>
      <c r="AJ61" s="23" t="str">
        <f aca="false">IF(C61="","",SUM(AB61:AI61))</f>
        <v/>
      </c>
      <c r="AK61" s="24" t="str">
        <f aca="false">IF(C61="","",IF(AJ61&gt;=14,"A",IF(AJ61&gt;=10,"B","C")))</f>
        <v/>
      </c>
      <c r="AL61" s="39" t="str">
        <f aca="false">IFERROR(IF(OR(Y61="",Z61="",AA61=""),"",IF(F61="Short",IF(Z61&lt;=Y61,"",(Y61-AA61)/(Z61-Y61)),IF(Y61&lt;=Z61,"",(AA61-Y61)/(Y61-Z61)))),"")</f>
        <v/>
      </c>
      <c r="AM61" s="37" t="str">
        <f aca="false">IF(OR(Y61="",Z61="",N(Y61)=N(Z61)),"",IF(OR(AND(F61="Short",Z61&lt;Y61),AND(NOT(F61="Short"),Z61&gt;Y61)),"stop on wrong side",ABS(Y61-Z61)))</f>
        <v/>
      </c>
      <c r="AN61" s="40" t="str">
        <f aca="false">IFERROR(IF(OR(NOT(ISNUMBER(AM61)),$C$6=""),"",ROUNDDOWN($C$6*$C$7/AM61,2)),"")</f>
        <v/>
      </c>
      <c r="AO61" s="37" t="str">
        <f aca="false">IFERROR(IF(AN61="","",AN61*Y61),"")</f>
        <v/>
      </c>
      <c r="AP61" s="35"/>
      <c r="AQ61" s="19"/>
      <c r="AR61" s="26"/>
      <c r="AS61" s="41" t="str">
        <f aca="false">IFERROR(IF(OR(AR61="",Y61="",AQ61=""),"",IF(F61="Short",1-AR61/Y61,AR61/Y61-1)),"")</f>
        <v/>
      </c>
      <c r="AT61" s="42" t="str">
        <f aca="true">IF(AQ61="","",IF(ISNUMBER($C$4),$C$4,TODAY())-AQ61)</f>
        <v/>
      </c>
      <c r="AU61" s="14" t="str">
        <f aca="false">IF(C61="","",IF(AP61="Open position",IF(IF(F61="Short",AND(ISNUMBER(AR61),ISNUMBER(Z61),AR61&gt;=Z61),AND(ISNUMBER(AR61),ISNUMBER(Z61),AR61&lt;=Z61)),IF(F61="Short","COVER — stop hit (buy back)","SELL — stop hit"),IF(IF(F61="Short",AND(ISNUMBER(AR61),ISNUMBER(AA61),AR61&lt;=AA61),AND(ISNUMBER(AR61),ISNUMBER(AA61),AR61&gt;=AA61)),"TAKE PROFIT — target hit",IF(AND(ISNUMBER(AT61),AT61&gt;182),IF(F61="Short","COVER — 6-month time limit","SELL — 6-month time limit"),IF(AND(ISNUMBER(AT61),AT61&gt;42,ISNUMBER(AS61),AS61&lt;0.02),"REVIEW — no progress after 6 weeks",IF(IF(F61="Short",AND(L61&lt;&gt;"",N(L61)&gt;0),AND(L61&lt;&gt;"",N(L61)&lt;0)),IF(F61="Short","REVIEW — back above 50-day avg","REVIEW — below 50-day avg"),"HOLD"))))),IF(OR(AP61="Closed",AP61="Dropped"),"Closed",IF(AK61="A",IF(F61="Short","Run Technical Review — SHORT entry","Run Technical Review — LONG entry"),IF(AK61="B","Watch — wait for setup","Drop or re-check next week")))))</f>
        <v/>
      </c>
      <c r="AV61" s="35"/>
      <c r="AX61" s="43" t="str">
        <f aca="false">IF(AND(C61&lt;&gt;"",A61=$C$4,ISNUMBER(AJ61)),AJ61+ROW()/100000,"")</f>
        <v/>
      </c>
    </row>
    <row r="62" customFormat="false" ht="15" hidden="false" customHeight="false" outlineLevel="0" collapsed="false">
      <c r="A62" s="19"/>
      <c r="B62" s="35"/>
      <c r="C62" s="35"/>
      <c r="D62" s="35"/>
      <c r="E62" s="35"/>
      <c r="F62" s="35"/>
      <c r="G62" s="26"/>
      <c r="H62" s="26"/>
      <c r="I62" s="36"/>
      <c r="J62" s="37" t="str">
        <f aca="false">IF(OR(G62="",I62=""),"",G62*I62/1000000)</f>
        <v/>
      </c>
      <c r="K62" s="21"/>
      <c r="L62" s="21"/>
      <c r="M62" s="21"/>
      <c r="N62" s="25"/>
      <c r="O62" s="21"/>
      <c r="P62" s="21"/>
      <c r="Q62" s="21"/>
      <c r="R62" s="21"/>
      <c r="S62" s="38"/>
      <c r="T62" s="21"/>
      <c r="U62" s="21"/>
      <c r="V62" s="19"/>
      <c r="W62" s="26"/>
      <c r="X62" s="35"/>
      <c r="Y62" s="26"/>
      <c r="Z62" s="26"/>
      <c r="AA62" s="26"/>
      <c r="AB62" s="16" t="str">
        <f aca="false">IF(C62="","",IF(F62="Short",(AND(M62&lt;&gt;"",N(M62)&lt;0))+(AND(L62&lt;&gt;"",N(L62)&lt;0))+(AND(K62&lt;&gt;"",N(K62)&lt;0))+AND(L62&lt;&gt;"",M62&lt;&gt;"",N(M62)&lt;N(L62)),(N(M62)&gt;0)+(N(L62)&gt;0)+(N(K62)&gt;0)+AND(L62&lt;&gt;"",M62&lt;&gt;"",N(M62)&gt;N(L62))))</f>
        <v/>
      </c>
      <c r="AC62" s="16" t="str">
        <f aca="false">IF(C62="","",IF(F62="Short",IF(N62="",0,IF(AND(N62&gt;=30,N62&lt;=50),2,IF(OR(AND(N62&gt;=25,N62&lt;30),AND(N62&gt;50,N62&lt;=60)),1,0)))+IF(P62="",0,IF(AND(IF(B62="JSE",$L$5,$L$4)&lt;&gt;"",P62&lt;IF(B62="JSE",$L$5,$L$4)),2,IF(P62&lt;0,1,0))),IF(N62="",0,IF(AND(N62&gt;=50,N62&lt;=70),2,IF(OR(AND(N62&gt;=40,N62&lt;50),AND(N62&gt;70,N62&lt;=75)),1,0)))+IF(P62="",0,IF(AND(IF(B62="JSE",$L$5,$L$4)&lt;&gt;"",P62&gt;IF(B62="JSE",$L$5,$L$4)),2,IF(P62&gt;0,1,0)))))</f>
        <v/>
      </c>
      <c r="AD62" s="16" t="str">
        <f aca="false">IF(C62="","",IF(F62="Short",IF(R62="",0,IF(R62&lt;=0.1,2,IF(R62&lt;=0.25,1,0))),IF(Q62="",0,IF(Q62&gt;=-0.1,2,IF(Q62&gt;=-0.25,1,0)))))</f>
        <v/>
      </c>
      <c r="AE62" s="16" t="str">
        <f aca="false">IF(C62="","",IF(J62="",0,IF(J62&gt;=IF(B62="JSE",$L$7,$L$6),2,IF(J62&gt;=IF(B62="JSE",$L$7,$L$6)/4,1,0))))</f>
        <v/>
      </c>
      <c r="AF62" s="16" t="str">
        <f aca="false">IF(C62="","",IF(F62="Short",AND(T62&lt;&gt;"",N(T62)&lt;0),N(T62)&gt;0)+(N(S62)&gt;=1.5))</f>
        <v/>
      </c>
      <c r="AG62" s="16" t="str">
        <f aca="false">IF(C62="","",IF(AL62="",0,IF(AL62&gt;=3,4,IF(AL62&gt;=2,2,0))))</f>
        <v/>
      </c>
      <c r="AH62" s="16" t="str">
        <f aca="false">IF(C62="","",IF(AND(ISNUMBER(V62),ISNUMBER(A62),V62&gt;=A62,V62-A62&lt;=14),-2,0))</f>
        <v/>
      </c>
      <c r="AI62" s="16" t="str">
        <f aca="false">IF(C62="","",IF(AND(F62="Short",N(U62)&gt;=0.2),-1,0))</f>
        <v/>
      </c>
      <c r="AJ62" s="23" t="str">
        <f aca="false">IF(C62="","",SUM(AB62:AI62))</f>
        <v/>
      </c>
      <c r="AK62" s="24" t="str">
        <f aca="false">IF(C62="","",IF(AJ62&gt;=14,"A",IF(AJ62&gt;=10,"B","C")))</f>
        <v/>
      </c>
      <c r="AL62" s="39" t="str">
        <f aca="false">IFERROR(IF(OR(Y62="",Z62="",AA62=""),"",IF(F62="Short",IF(Z62&lt;=Y62,"",(Y62-AA62)/(Z62-Y62)),IF(Y62&lt;=Z62,"",(AA62-Y62)/(Y62-Z62)))),"")</f>
        <v/>
      </c>
      <c r="AM62" s="37" t="str">
        <f aca="false">IF(OR(Y62="",Z62="",N(Y62)=N(Z62)),"",IF(OR(AND(F62="Short",Z62&lt;Y62),AND(NOT(F62="Short"),Z62&gt;Y62)),"stop on wrong side",ABS(Y62-Z62)))</f>
        <v/>
      </c>
      <c r="AN62" s="40" t="str">
        <f aca="false">IFERROR(IF(OR(NOT(ISNUMBER(AM62)),$C$6=""),"",ROUNDDOWN($C$6*$C$7/AM62,2)),"")</f>
        <v/>
      </c>
      <c r="AO62" s="37" t="str">
        <f aca="false">IFERROR(IF(AN62="","",AN62*Y62),"")</f>
        <v/>
      </c>
      <c r="AP62" s="35"/>
      <c r="AQ62" s="19"/>
      <c r="AR62" s="26"/>
      <c r="AS62" s="41" t="str">
        <f aca="false">IFERROR(IF(OR(AR62="",Y62="",AQ62=""),"",IF(F62="Short",1-AR62/Y62,AR62/Y62-1)),"")</f>
        <v/>
      </c>
      <c r="AT62" s="42" t="str">
        <f aca="true">IF(AQ62="","",IF(ISNUMBER($C$4),$C$4,TODAY())-AQ62)</f>
        <v/>
      </c>
      <c r="AU62" s="14" t="str">
        <f aca="false">IF(C62="","",IF(AP62="Open position",IF(IF(F62="Short",AND(ISNUMBER(AR62),ISNUMBER(Z62),AR62&gt;=Z62),AND(ISNUMBER(AR62),ISNUMBER(Z62),AR62&lt;=Z62)),IF(F62="Short","COVER — stop hit (buy back)","SELL — stop hit"),IF(IF(F62="Short",AND(ISNUMBER(AR62),ISNUMBER(AA62),AR62&lt;=AA62),AND(ISNUMBER(AR62),ISNUMBER(AA62),AR62&gt;=AA62)),"TAKE PROFIT — target hit",IF(AND(ISNUMBER(AT62),AT62&gt;182),IF(F62="Short","COVER — 6-month time limit","SELL — 6-month time limit"),IF(AND(ISNUMBER(AT62),AT62&gt;42,ISNUMBER(AS62),AS62&lt;0.02),"REVIEW — no progress after 6 weeks",IF(IF(F62="Short",AND(L62&lt;&gt;"",N(L62)&gt;0),AND(L62&lt;&gt;"",N(L62)&lt;0)),IF(F62="Short","REVIEW — back above 50-day avg","REVIEW — below 50-day avg"),"HOLD"))))),IF(OR(AP62="Closed",AP62="Dropped"),"Closed",IF(AK62="A",IF(F62="Short","Run Technical Review — SHORT entry","Run Technical Review — LONG entry"),IF(AK62="B","Watch — wait for setup","Drop or re-check next week")))))</f>
        <v/>
      </c>
      <c r="AV62" s="35"/>
      <c r="AX62" s="43" t="str">
        <f aca="false">IF(AND(C62&lt;&gt;"",A62=$C$4,ISNUMBER(AJ62)),AJ62+ROW()/100000,"")</f>
        <v/>
      </c>
    </row>
    <row r="63" customFormat="false" ht="15" hidden="false" customHeight="false" outlineLevel="0" collapsed="false">
      <c r="A63" s="19"/>
      <c r="B63" s="35"/>
      <c r="C63" s="35"/>
      <c r="D63" s="35"/>
      <c r="E63" s="35"/>
      <c r="F63" s="35"/>
      <c r="G63" s="26"/>
      <c r="H63" s="26"/>
      <c r="I63" s="36"/>
      <c r="J63" s="37" t="str">
        <f aca="false">IF(OR(G63="",I63=""),"",G63*I63/1000000)</f>
        <v/>
      </c>
      <c r="K63" s="21"/>
      <c r="L63" s="21"/>
      <c r="M63" s="21"/>
      <c r="N63" s="25"/>
      <c r="O63" s="21"/>
      <c r="P63" s="21"/>
      <c r="Q63" s="21"/>
      <c r="R63" s="21"/>
      <c r="S63" s="38"/>
      <c r="T63" s="21"/>
      <c r="U63" s="21"/>
      <c r="V63" s="19"/>
      <c r="W63" s="26"/>
      <c r="X63" s="35"/>
      <c r="Y63" s="26"/>
      <c r="Z63" s="26"/>
      <c r="AA63" s="26"/>
      <c r="AB63" s="16" t="str">
        <f aca="false">IF(C63="","",IF(F63="Short",(AND(M63&lt;&gt;"",N(M63)&lt;0))+(AND(L63&lt;&gt;"",N(L63)&lt;0))+(AND(K63&lt;&gt;"",N(K63)&lt;0))+AND(L63&lt;&gt;"",M63&lt;&gt;"",N(M63)&lt;N(L63)),(N(M63)&gt;0)+(N(L63)&gt;0)+(N(K63)&gt;0)+AND(L63&lt;&gt;"",M63&lt;&gt;"",N(M63)&gt;N(L63))))</f>
        <v/>
      </c>
      <c r="AC63" s="16" t="str">
        <f aca="false">IF(C63="","",IF(F63="Short",IF(N63="",0,IF(AND(N63&gt;=30,N63&lt;=50),2,IF(OR(AND(N63&gt;=25,N63&lt;30),AND(N63&gt;50,N63&lt;=60)),1,0)))+IF(P63="",0,IF(AND(IF(B63="JSE",$L$5,$L$4)&lt;&gt;"",P63&lt;IF(B63="JSE",$L$5,$L$4)),2,IF(P63&lt;0,1,0))),IF(N63="",0,IF(AND(N63&gt;=50,N63&lt;=70),2,IF(OR(AND(N63&gt;=40,N63&lt;50),AND(N63&gt;70,N63&lt;=75)),1,0)))+IF(P63="",0,IF(AND(IF(B63="JSE",$L$5,$L$4)&lt;&gt;"",P63&gt;IF(B63="JSE",$L$5,$L$4)),2,IF(P63&gt;0,1,0)))))</f>
        <v/>
      </c>
      <c r="AD63" s="16" t="str">
        <f aca="false">IF(C63="","",IF(F63="Short",IF(R63="",0,IF(R63&lt;=0.1,2,IF(R63&lt;=0.25,1,0))),IF(Q63="",0,IF(Q63&gt;=-0.1,2,IF(Q63&gt;=-0.25,1,0)))))</f>
        <v/>
      </c>
      <c r="AE63" s="16" t="str">
        <f aca="false">IF(C63="","",IF(J63="",0,IF(J63&gt;=IF(B63="JSE",$L$7,$L$6),2,IF(J63&gt;=IF(B63="JSE",$L$7,$L$6)/4,1,0))))</f>
        <v/>
      </c>
      <c r="AF63" s="16" t="str">
        <f aca="false">IF(C63="","",IF(F63="Short",AND(T63&lt;&gt;"",N(T63)&lt;0),N(T63)&gt;0)+(N(S63)&gt;=1.5))</f>
        <v/>
      </c>
      <c r="AG63" s="16" t="str">
        <f aca="false">IF(C63="","",IF(AL63="",0,IF(AL63&gt;=3,4,IF(AL63&gt;=2,2,0))))</f>
        <v/>
      </c>
      <c r="AH63" s="16" t="str">
        <f aca="false">IF(C63="","",IF(AND(ISNUMBER(V63),ISNUMBER(A63),V63&gt;=A63,V63-A63&lt;=14),-2,0))</f>
        <v/>
      </c>
      <c r="AI63" s="16" t="str">
        <f aca="false">IF(C63="","",IF(AND(F63="Short",N(U63)&gt;=0.2),-1,0))</f>
        <v/>
      </c>
      <c r="AJ63" s="23" t="str">
        <f aca="false">IF(C63="","",SUM(AB63:AI63))</f>
        <v/>
      </c>
      <c r="AK63" s="24" t="str">
        <f aca="false">IF(C63="","",IF(AJ63&gt;=14,"A",IF(AJ63&gt;=10,"B","C")))</f>
        <v/>
      </c>
      <c r="AL63" s="39" t="str">
        <f aca="false">IFERROR(IF(OR(Y63="",Z63="",AA63=""),"",IF(F63="Short",IF(Z63&lt;=Y63,"",(Y63-AA63)/(Z63-Y63)),IF(Y63&lt;=Z63,"",(AA63-Y63)/(Y63-Z63)))),"")</f>
        <v/>
      </c>
      <c r="AM63" s="37" t="str">
        <f aca="false">IF(OR(Y63="",Z63="",N(Y63)=N(Z63)),"",IF(OR(AND(F63="Short",Z63&lt;Y63),AND(NOT(F63="Short"),Z63&gt;Y63)),"stop on wrong side",ABS(Y63-Z63)))</f>
        <v/>
      </c>
      <c r="AN63" s="40" t="str">
        <f aca="false">IFERROR(IF(OR(NOT(ISNUMBER(AM63)),$C$6=""),"",ROUNDDOWN($C$6*$C$7/AM63,2)),"")</f>
        <v/>
      </c>
      <c r="AO63" s="37" t="str">
        <f aca="false">IFERROR(IF(AN63="","",AN63*Y63),"")</f>
        <v/>
      </c>
      <c r="AP63" s="35"/>
      <c r="AQ63" s="19"/>
      <c r="AR63" s="26"/>
      <c r="AS63" s="41" t="str">
        <f aca="false">IFERROR(IF(OR(AR63="",Y63="",AQ63=""),"",IF(F63="Short",1-AR63/Y63,AR63/Y63-1)),"")</f>
        <v/>
      </c>
      <c r="AT63" s="42" t="str">
        <f aca="true">IF(AQ63="","",IF(ISNUMBER($C$4),$C$4,TODAY())-AQ63)</f>
        <v/>
      </c>
      <c r="AU63" s="14" t="str">
        <f aca="false">IF(C63="","",IF(AP63="Open position",IF(IF(F63="Short",AND(ISNUMBER(AR63),ISNUMBER(Z63),AR63&gt;=Z63),AND(ISNUMBER(AR63),ISNUMBER(Z63),AR63&lt;=Z63)),IF(F63="Short","COVER — stop hit (buy back)","SELL — stop hit"),IF(IF(F63="Short",AND(ISNUMBER(AR63),ISNUMBER(AA63),AR63&lt;=AA63),AND(ISNUMBER(AR63),ISNUMBER(AA63),AR63&gt;=AA63)),"TAKE PROFIT — target hit",IF(AND(ISNUMBER(AT63),AT63&gt;182),IF(F63="Short","COVER — 6-month time limit","SELL — 6-month time limit"),IF(AND(ISNUMBER(AT63),AT63&gt;42,ISNUMBER(AS63),AS63&lt;0.02),"REVIEW — no progress after 6 weeks",IF(IF(F63="Short",AND(L63&lt;&gt;"",N(L63)&gt;0),AND(L63&lt;&gt;"",N(L63)&lt;0)),IF(F63="Short","REVIEW — back above 50-day avg","REVIEW — below 50-day avg"),"HOLD"))))),IF(OR(AP63="Closed",AP63="Dropped"),"Closed",IF(AK63="A",IF(F63="Short","Run Technical Review — SHORT entry","Run Technical Review — LONG entry"),IF(AK63="B","Watch — wait for setup","Drop or re-check next week")))))</f>
        <v/>
      </c>
      <c r="AV63" s="35"/>
      <c r="AX63" s="43" t="str">
        <f aca="false">IF(AND(C63&lt;&gt;"",A63=$C$4,ISNUMBER(AJ63)),AJ63+ROW()/100000,"")</f>
        <v/>
      </c>
    </row>
    <row r="64" customFormat="false" ht="15" hidden="false" customHeight="false" outlineLevel="0" collapsed="false">
      <c r="A64" s="19"/>
      <c r="B64" s="35"/>
      <c r="C64" s="35"/>
      <c r="D64" s="35"/>
      <c r="E64" s="35"/>
      <c r="F64" s="35"/>
      <c r="G64" s="26"/>
      <c r="H64" s="26"/>
      <c r="I64" s="36"/>
      <c r="J64" s="37" t="str">
        <f aca="false">IF(OR(G64="",I64=""),"",G64*I64/1000000)</f>
        <v/>
      </c>
      <c r="K64" s="21"/>
      <c r="L64" s="21"/>
      <c r="M64" s="21"/>
      <c r="N64" s="25"/>
      <c r="O64" s="21"/>
      <c r="P64" s="21"/>
      <c r="Q64" s="21"/>
      <c r="R64" s="21"/>
      <c r="S64" s="38"/>
      <c r="T64" s="21"/>
      <c r="U64" s="21"/>
      <c r="V64" s="19"/>
      <c r="W64" s="26"/>
      <c r="X64" s="35"/>
      <c r="Y64" s="26"/>
      <c r="Z64" s="26"/>
      <c r="AA64" s="26"/>
      <c r="AB64" s="16" t="str">
        <f aca="false">IF(C64="","",IF(F64="Short",(AND(M64&lt;&gt;"",N(M64)&lt;0))+(AND(L64&lt;&gt;"",N(L64)&lt;0))+(AND(K64&lt;&gt;"",N(K64)&lt;0))+AND(L64&lt;&gt;"",M64&lt;&gt;"",N(M64)&lt;N(L64)),(N(M64)&gt;0)+(N(L64)&gt;0)+(N(K64)&gt;0)+AND(L64&lt;&gt;"",M64&lt;&gt;"",N(M64)&gt;N(L64))))</f>
        <v/>
      </c>
      <c r="AC64" s="16" t="str">
        <f aca="false">IF(C64="","",IF(F64="Short",IF(N64="",0,IF(AND(N64&gt;=30,N64&lt;=50),2,IF(OR(AND(N64&gt;=25,N64&lt;30),AND(N64&gt;50,N64&lt;=60)),1,0)))+IF(P64="",0,IF(AND(IF(B64="JSE",$L$5,$L$4)&lt;&gt;"",P64&lt;IF(B64="JSE",$L$5,$L$4)),2,IF(P64&lt;0,1,0))),IF(N64="",0,IF(AND(N64&gt;=50,N64&lt;=70),2,IF(OR(AND(N64&gt;=40,N64&lt;50),AND(N64&gt;70,N64&lt;=75)),1,0)))+IF(P64="",0,IF(AND(IF(B64="JSE",$L$5,$L$4)&lt;&gt;"",P64&gt;IF(B64="JSE",$L$5,$L$4)),2,IF(P64&gt;0,1,0)))))</f>
        <v/>
      </c>
      <c r="AD64" s="16" t="str">
        <f aca="false">IF(C64="","",IF(F64="Short",IF(R64="",0,IF(R64&lt;=0.1,2,IF(R64&lt;=0.25,1,0))),IF(Q64="",0,IF(Q64&gt;=-0.1,2,IF(Q64&gt;=-0.25,1,0)))))</f>
        <v/>
      </c>
      <c r="AE64" s="16" t="str">
        <f aca="false">IF(C64="","",IF(J64="",0,IF(J64&gt;=IF(B64="JSE",$L$7,$L$6),2,IF(J64&gt;=IF(B64="JSE",$L$7,$L$6)/4,1,0))))</f>
        <v/>
      </c>
      <c r="AF64" s="16" t="str">
        <f aca="false">IF(C64="","",IF(F64="Short",AND(T64&lt;&gt;"",N(T64)&lt;0),N(T64)&gt;0)+(N(S64)&gt;=1.5))</f>
        <v/>
      </c>
      <c r="AG64" s="16" t="str">
        <f aca="false">IF(C64="","",IF(AL64="",0,IF(AL64&gt;=3,4,IF(AL64&gt;=2,2,0))))</f>
        <v/>
      </c>
      <c r="AH64" s="16" t="str">
        <f aca="false">IF(C64="","",IF(AND(ISNUMBER(V64),ISNUMBER(A64),V64&gt;=A64,V64-A64&lt;=14),-2,0))</f>
        <v/>
      </c>
      <c r="AI64" s="16" t="str">
        <f aca="false">IF(C64="","",IF(AND(F64="Short",N(U64)&gt;=0.2),-1,0))</f>
        <v/>
      </c>
      <c r="AJ64" s="23" t="str">
        <f aca="false">IF(C64="","",SUM(AB64:AI64))</f>
        <v/>
      </c>
      <c r="AK64" s="24" t="str">
        <f aca="false">IF(C64="","",IF(AJ64&gt;=14,"A",IF(AJ64&gt;=10,"B","C")))</f>
        <v/>
      </c>
      <c r="AL64" s="39" t="str">
        <f aca="false">IFERROR(IF(OR(Y64="",Z64="",AA64=""),"",IF(F64="Short",IF(Z64&lt;=Y64,"",(Y64-AA64)/(Z64-Y64)),IF(Y64&lt;=Z64,"",(AA64-Y64)/(Y64-Z64)))),"")</f>
        <v/>
      </c>
      <c r="AM64" s="37" t="str">
        <f aca="false">IF(OR(Y64="",Z64="",N(Y64)=N(Z64)),"",IF(OR(AND(F64="Short",Z64&lt;Y64),AND(NOT(F64="Short"),Z64&gt;Y64)),"stop on wrong side",ABS(Y64-Z64)))</f>
        <v/>
      </c>
      <c r="AN64" s="40" t="str">
        <f aca="false">IFERROR(IF(OR(NOT(ISNUMBER(AM64)),$C$6=""),"",ROUNDDOWN($C$6*$C$7/AM64,2)),"")</f>
        <v/>
      </c>
      <c r="AO64" s="37" t="str">
        <f aca="false">IFERROR(IF(AN64="","",AN64*Y64),"")</f>
        <v/>
      </c>
      <c r="AP64" s="35"/>
      <c r="AQ64" s="19"/>
      <c r="AR64" s="26"/>
      <c r="AS64" s="41" t="str">
        <f aca="false">IFERROR(IF(OR(AR64="",Y64="",AQ64=""),"",IF(F64="Short",1-AR64/Y64,AR64/Y64-1)),"")</f>
        <v/>
      </c>
      <c r="AT64" s="42" t="str">
        <f aca="true">IF(AQ64="","",IF(ISNUMBER($C$4),$C$4,TODAY())-AQ64)</f>
        <v/>
      </c>
      <c r="AU64" s="14" t="str">
        <f aca="false">IF(C64="","",IF(AP64="Open position",IF(IF(F64="Short",AND(ISNUMBER(AR64),ISNUMBER(Z64),AR64&gt;=Z64),AND(ISNUMBER(AR64),ISNUMBER(Z64),AR64&lt;=Z64)),IF(F64="Short","COVER — stop hit (buy back)","SELL — stop hit"),IF(IF(F64="Short",AND(ISNUMBER(AR64),ISNUMBER(AA64),AR64&lt;=AA64),AND(ISNUMBER(AR64),ISNUMBER(AA64),AR64&gt;=AA64)),"TAKE PROFIT — target hit",IF(AND(ISNUMBER(AT64),AT64&gt;182),IF(F64="Short","COVER — 6-month time limit","SELL — 6-month time limit"),IF(AND(ISNUMBER(AT64),AT64&gt;42,ISNUMBER(AS64),AS64&lt;0.02),"REVIEW — no progress after 6 weeks",IF(IF(F64="Short",AND(L64&lt;&gt;"",N(L64)&gt;0),AND(L64&lt;&gt;"",N(L64)&lt;0)),IF(F64="Short","REVIEW — back above 50-day avg","REVIEW — below 50-day avg"),"HOLD"))))),IF(OR(AP64="Closed",AP64="Dropped"),"Closed",IF(AK64="A",IF(F64="Short","Run Technical Review — SHORT entry","Run Technical Review — LONG entry"),IF(AK64="B","Watch — wait for setup","Drop or re-check next week")))))</f>
        <v/>
      </c>
      <c r="AV64" s="35"/>
      <c r="AX64" s="43" t="str">
        <f aca="false">IF(AND(C64&lt;&gt;"",A64=$C$4,ISNUMBER(AJ64)),AJ64+ROW()/100000,"")</f>
        <v/>
      </c>
    </row>
    <row r="65" customFormat="false" ht="15" hidden="false" customHeight="false" outlineLevel="0" collapsed="false">
      <c r="A65" s="19"/>
      <c r="B65" s="35"/>
      <c r="C65" s="35"/>
      <c r="D65" s="35"/>
      <c r="E65" s="35"/>
      <c r="F65" s="35"/>
      <c r="G65" s="26"/>
      <c r="H65" s="26"/>
      <c r="I65" s="36"/>
      <c r="J65" s="37" t="str">
        <f aca="false">IF(OR(G65="",I65=""),"",G65*I65/1000000)</f>
        <v/>
      </c>
      <c r="K65" s="21"/>
      <c r="L65" s="21"/>
      <c r="M65" s="21"/>
      <c r="N65" s="25"/>
      <c r="O65" s="21"/>
      <c r="P65" s="21"/>
      <c r="Q65" s="21"/>
      <c r="R65" s="21"/>
      <c r="S65" s="38"/>
      <c r="T65" s="21"/>
      <c r="U65" s="21"/>
      <c r="V65" s="19"/>
      <c r="W65" s="26"/>
      <c r="X65" s="35"/>
      <c r="Y65" s="26"/>
      <c r="Z65" s="26"/>
      <c r="AA65" s="26"/>
      <c r="AB65" s="16" t="str">
        <f aca="false">IF(C65="","",IF(F65="Short",(AND(M65&lt;&gt;"",N(M65)&lt;0))+(AND(L65&lt;&gt;"",N(L65)&lt;0))+(AND(K65&lt;&gt;"",N(K65)&lt;0))+AND(L65&lt;&gt;"",M65&lt;&gt;"",N(M65)&lt;N(L65)),(N(M65)&gt;0)+(N(L65)&gt;0)+(N(K65)&gt;0)+AND(L65&lt;&gt;"",M65&lt;&gt;"",N(M65)&gt;N(L65))))</f>
        <v/>
      </c>
      <c r="AC65" s="16" t="str">
        <f aca="false">IF(C65="","",IF(F65="Short",IF(N65="",0,IF(AND(N65&gt;=30,N65&lt;=50),2,IF(OR(AND(N65&gt;=25,N65&lt;30),AND(N65&gt;50,N65&lt;=60)),1,0)))+IF(P65="",0,IF(AND(IF(B65="JSE",$L$5,$L$4)&lt;&gt;"",P65&lt;IF(B65="JSE",$L$5,$L$4)),2,IF(P65&lt;0,1,0))),IF(N65="",0,IF(AND(N65&gt;=50,N65&lt;=70),2,IF(OR(AND(N65&gt;=40,N65&lt;50),AND(N65&gt;70,N65&lt;=75)),1,0)))+IF(P65="",0,IF(AND(IF(B65="JSE",$L$5,$L$4)&lt;&gt;"",P65&gt;IF(B65="JSE",$L$5,$L$4)),2,IF(P65&gt;0,1,0)))))</f>
        <v/>
      </c>
      <c r="AD65" s="16" t="str">
        <f aca="false">IF(C65="","",IF(F65="Short",IF(R65="",0,IF(R65&lt;=0.1,2,IF(R65&lt;=0.25,1,0))),IF(Q65="",0,IF(Q65&gt;=-0.1,2,IF(Q65&gt;=-0.25,1,0)))))</f>
        <v/>
      </c>
      <c r="AE65" s="16" t="str">
        <f aca="false">IF(C65="","",IF(J65="",0,IF(J65&gt;=IF(B65="JSE",$L$7,$L$6),2,IF(J65&gt;=IF(B65="JSE",$L$7,$L$6)/4,1,0))))</f>
        <v/>
      </c>
      <c r="AF65" s="16" t="str">
        <f aca="false">IF(C65="","",IF(F65="Short",AND(T65&lt;&gt;"",N(T65)&lt;0),N(T65)&gt;0)+(N(S65)&gt;=1.5))</f>
        <v/>
      </c>
      <c r="AG65" s="16" t="str">
        <f aca="false">IF(C65="","",IF(AL65="",0,IF(AL65&gt;=3,4,IF(AL65&gt;=2,2,0))))</f>
        <v/>
      </c>
      <c r="AH65" s="16" t="str">
        <f aca="false">IF(C65="","",IF(AND(ISNUMBER(V65),ISNUMBER(A65),V65&gt;=A65,V65-A65&lt;=14),-2,0))</f>
        <v/>
      </c>
      <c r="AI65" s="16" t="str">
        <f aca="false">IF(C65="","",IF(AND(F65="Short",N(U65)&gt;=0.2),-1,0))</f>
        <v/>
      </c>
      <c r="AJ65" s="23" t="str">
        <f aca="false">IF(C65="","",SUM(AB65:AI65))</f>
        <v/>
      </c>
      <c r="AK65" s="24" t="str">
        <f aca="false">IF(C65="","",IF(AJ65&gt;=14,"A",IF(AJ65&gt;=10,"B","C")))</f>
        <v/>
      </c>
      <c r="AL65" s="39" t="str">
        <f aca="false">IFERROR(IF(OR(Y65="",Z65="",AA65=""),"",IF(F65="Short",IF(Z65&lt;=Y65,"",(Y65-AA65)/(Z65-Y65)),IF(Y65&lt;=Z65,"",(AA65-Y65)/(Y65-Z65)))),"")</f>
        <v/>
      </c>
      <c r="AM65" s="37" t="str">
        <f aca="false">IF(OR(Y65="",Z65="",N(Y65)=N(Z65)),"",IF(OR(AND(F65="Short",Z65&lt;Y65),AND(NOT(F65="Short"),Z65&gt;Y65)),"stop on wrong side",ABS(Y65-Z65)))</f>
        <v/>
      </c>
      <c r="AN65" s="40" t="str">
        <f aca="false">IFERROR(IF(OR(NOT(ISNUMBER(AM65)),$C$6=""),"",ROUNDDOWN($C$6*$C$7/AM65,2)),"")</f>
        <v/>
      </c>
      <c r="AO65" s="37" t="str">
        <f aca="false">IFERROR(IF(AN65="","",AN65*Y65),"")</f>
        <v/>
      </c>
      <c r="AP65" s="35"/>
      <c r="AQ65" s="19"/>
      <c r="AR65" s="26"/>
      <c r="AS65" s="41" t="str">
        <f aca="false">IFERROR(IF(OR(AR65="",Y65="",AQ65=""),"",IF(F65="Short",1-AR65/Y65,AR65/Y65-1)),"")</f>
        <v/>
      </c>
      <c r="AT65" s="42" t="str">
        <f aca="true">IF(AQ65="","",IF(ISNUMBER($C$4),$C$4,TODAY())-AQ65)</f>
        <v/>
      </c>
      <c r="AU65" s="14" t="str">
        <f aca="false">IF(C65="","",IF(AP65="Open position",IF(IF(F65="Short",AND(ISNUMBER(AR65),ISNUMBER(Z65),AR65&gt;=Z65),AND(ISNUMBER(AR65),ISNUMBER(Z65),AR65&lt;=Z65)),IF(F65="Short","COVER — stop hit (buy back)","SELL — stop hit"),IF(IF(F65="Short",AND(ISNUMBER(AR65),ISNUMBER(AA65),AR65&lt;=AA65),AND(ISNUMBER(AR65),ISNUMBER(AA65),AR65&gt;=AA65)),"TAKE PROFIT — target hit",IF(AND(ISNUMBER(AT65),AT65&gt;182),IF(F65="Short","COVER — 6-month time limit","SELL — 6-month time limit"),IF(AND(ISNUMBER(AT65),AT65&gt;42,ISNUMBER(AS65),AS65&lt;0.02),"REVIEW — no progress after 6 weeks",IF(IF(F65="Short",AND(L65&lt;&gt;"",N(L65)&gt;0),AND(L65&lt;&gt;"",N(L65)&lt;0)),IF(F65="Short","REVIEW — back above 50-day avg","REVIEW — below 50-day avg"),"HOLD"))))),IF(OR(AP65="Closed",AP65="Dropped"),"Closed",IF(AK65="A",IF(F65="Short","Run Technical Review — SHORT entry","Run Technical Review — LONG entry"),IF(AK65="B","Watch — wait for setup","Drop or re-check next week")))))</f>
        <v/>
      </c>
      <c r="AV65" s="35"/>
      <c r="AX65" s="43" t="str">
        <f aca="false">IF(AND(C65&lt;&gt;"",A65=$C$4,ISNUMBER(AJ65)),AJ65+ROW()/100000,"")</f>
        <v/>
      </c>
    </row>
    <row r="66" customFormat="false" ht="15" hidden="false" customHeight="false" outlineLevel="0" collapsed="false">
      <c r="A66" s="19"/>
      <c r="B66" s="35"/>
      <c r="C66" s="35"/>
      <c r="D66" s="35"/>
      <c r="E66" s="35"/>
      <c r="F66" s="35"/>
      <c r="G66" s="26"/>
      <c r="H66" s="26"/>
      <c r="I66" s="36"/>
      <c r="J66" s="37" t="str">
        <f aca="false">IF(OR(G66="",I66=""),"",G66*I66/1000000)</f>
        <v/>
      </c>
      <c r="K66" s="21"/>
      <c r="L66" s="21"/>
      <c r="M66" s="21"/>
      <c r="N66" s="25"/>
      <c r="O66" s="21"/>
      <c r="P66" s="21"/>
      <c r="Q66" s="21"/>
      <c r="R66" s="21"/>
      <c r="S66" s="38"/>
      <c r="T66" s="21"/>
      <c r="U66" s="21"/>
      <c r="V66" s="19"/>
      <c r="W66" s="26"/>
      <c r="X66" s="35"/>
      <c r="Y66" s="26"/>
      <c r="Z66" s="26"/>
      <c r="AA66" s="26"/>
      <c r="AB66" s="16" t="str">
        <f aca="false">IF(C66="","",IF(F66="Short",(AND(M66&lt;&gt;"",N(M66)&lt;0))+(AND(L66&lt;&gt;"",N(L66)&lt;0))+(AND(K66&lt;&gt;"",N(K66)&lt;0))+AND(L66&lt;&gt;"",M66&lt;&gt;"",N(M66)&lt;N(L66)),(N(M66)&gt;0)+(N(L66)&gt;0)+(N(K66)&gt;0)+AND(L66&lt;&gt;"",M66&lt;&gt;"",N(M66)&gt;N(L66))))</f>
        <v/>
      </c>
      <c r="AC66" s="16" t="str">
        <f aca="false">IF(C66="","",IF(F66="Short",IF(N66="",0,IF(AND(N66&gt;=30,N66&lt;=50),2,IF(OR(AND(N66&gt;=25,N66&lt;30),AND(N66&gt;50,N66&lt;=60)),1,0)))+IF(P66="",0,IF(AND(IF(B66="JSE",$L$5,$L$4)&lt;&gt;"",P66&lt;IF(B66="JSE",$L$5,$L$4)),2,IF(P66&lt;0,1,0))),IF(N66="",0,IF(AND(N66&gt;=50,N66&lt;=70),2,IF(OR(AND(N66&gt;=40,N66&lt;50),AND(N66&gt;70,N66&lt;=75)),1,0)))+IF(P66="",0,IF(AND(IF(B66="JSE",$L$5,$L$4)&lt;&gt;"",P66&gt;IF(B66="JSE",$L$5,$L$4)),2,IF(P66&gt;0,1,0)))))</f>
        <v/>
      </c>
      <c r="AD66" s="16" t="str">
        <f aca="false">IF(C66="","",IF(F66="Short",IF(R66="",0,IF(R66&lt;=0.1,2,IF(R66&lt;=0.25,1,0))),IF(Q66="",0,IF(Q66&gt;=-0.1,2,IF(Q66&gt;=-0.25,1,0)))))</f>
        <v/>
      </c>
      <c r="AE66" s="16" t="str">
        <f aca="false">IF(C66="","",IF(J66="",0,IF(J66&gt;=IF(B66="JSE",$L$7,$L$6),2,IF(J66&gt;=IF(B66="JSE",$L$7,$L$6)/4,1,0))))</f>
        <v/>
      </c>
      <c r="AF66" s="16" t="str">
        <f aca="false">IF(C66="","",IF(F66="Short",AND(T66&lt;&gt;"",N(T66)&lt;0),N(T66)&gt;0)+(N(S66)&gt;=1.5))</f>
        <v/>
      </c>
      <c r="AG66" s="16" t="str">
        <f aca="false">IF(C66="","",IF(AL66="",0,IF(AL66&gt;=3,4,IF(AL66&gt;=2,2,0))))</f>
        <v/>
      </c>
      <c r="AH66" s="16" t="str">
        <f aca="false">IF(C66="","",IF(AND(ISNUMBER(V66),ISNUMBER(A66),V66&gt;=A66,V66-A66&lt;=14),-2,0))</f>
        <v/>
      </c>
      <c r="AI66" s="16" t="str">
        <f aca="false">IF(C66="","",IF(AND(F66="Short",N(U66)&gt;=0.2),-1,0))</f>
        <v/>
      </c>
      <c r="AJ66" s="23" t="str">
        <f aca="false">IF(C66="","",SUM(AB66:AI66))</f>
        <v/>
      </c>
      <c r="AK66" s="24" t="str">
        <f aca="false">IF(C66="","",IF(AJ66&gt;=14,"A",IF(AJ66&gt;=10,"B","C")))</f>
        <v/>
      </c>
      <c r="AL66" s="39" t="str">
        <f aca="false">IFERROR(IF(OR(Y66="",Z66="",AA66=""),"",IF(F66="Short",IF(Z66&lt;=Y66,"",(Y66-AA66)/(Z66-Y66)),IF(Y66&lt;=Z66,"",(AA66-Y66)/(Y66-Z66)))),"")</f>
        <v/>
      </c>
      <c r="AM66" s="37" t="str">
        <f aca="false">IF(OR(Y66="",Z66="",N(Y66)=N(Z66)),"",IF(OR(AND(F66="Short",Z66&lt;Y66),AND(NOT(F66="Short"),Z66&gt;Y66)),"stop on wrong side",ABS(Y66-Z66)))</f>
        <v/>
      </c>
      <c r="AN66" s="40" t="str">
        <f aca="false">IFERROR(IF(OR(NOT(ISNUMBER(AM66)),$C$6=""),"",ROUNDDOWN($C$6*$C$7/AM66,2)),"")</f>
        <v/>
      </c>
      <c r="AO66" s="37" t="str">
        <f aca="false">IFERROR(IF(AN66="","",AN66*Y66),"")</f>
        <v/>
      </c>
      <c r="AP66" s="35"/>
      <c r="AQ66" s="19"/>
      <c r="AR66" s="26"/>
      <c r="AS66" s="41" t="str">
        <f aca="false">IFERROR(IF(OR(AR66="",Y66="",AQ66=""),"",IF(F66="Short",1-AR66/Y66,AR66/Y66-1)),"")</f>
        <v/>
      </c>
      <c r="AT66" s="42" t="str">
        <f aca="true">IF(AQ66="","",IF(ISNUMBER($C$4),$C$4,TODAY())-AQ66)</f>
        <v/>
      </c>
      <c r="AU66" s="14" t="str">
        <f aca="false">IF(C66="","",IF(AP66="Open position",IF(IF(F66="Short",AND(ISNUMBER(AR66),ISNUMBER(Z66),AR66&gt;=Z66),AND(ISNUMBER(AR66),ISNUMBER(Z66),AR66&lt;=Z66)),IF(F66="Short","COVER — stop hit (buy back)","SELL — stop hit"),IF(IF(F66="Short",AND(ISNUMBER(AR66),ISNUMBER(AA66),AR66&lt;=AA66),AND(ISNUMBER(AR66),ISNUMBER(AA66),AR66&gt;=AA66)),"TAKE PROFIT — target hit",IF(AND(ISNUMBER(AT66),AT66&gt;182),IF(F66="Short","COVER — 6-month time limit","SELL — 6-month time limit"),IF(AND(ISNUMBER(AT66),AT66&gt;42,ISNUMBER(AS66),AS66&lt;0.02),"REVIEW — no progress after 6 weeks",IF(IF(F66="Short",AND(L66&lt;&gt;"",N(L66)&gt;0),AND(L66&lt;&gt;"",N(L66)&lt;0)),IF(F66="Short","REVIEW — back above 50-day avg","REVIEW — below 50-day avg"),"HOLD"))))),IF(OR(AP66="Closed",AP66="Dropped"),"Closed",IF(AK66="A",IF(F66="Short","Run Technical Review — SHORT entry","Run Technical Review — LONG entry"),IF(AK66="B","Watch — wait for setup","Drop or re-check next week")))))</f>
        <v/>
      </c>
      <c r="AV66" s="35"/>
      <c r="AX66" s="43" t="str">
        <f aca="false">IF(AND(C66&lt;&gt;"",A66=$C$4,ISNUMBER(AJ66)),AJ66+ROW()/100000,"")</f>
        <v/>
      </c>
    </row>
    <row r="67" customFormat="false" ht="15" hidden="false" customHeight="false" outlineLevel="0" collapsed="false">
      <c r="A67" s="19"/>
      <c r="B67" s="35"/>
      <c r="C67" s="35"/>
      <c r="D67" s="35"/>
      <c r="E67" s="35"/>
      <c r="F67" s="35"/>
      <c r="G67" s="26"/>
      <c r="H67" s="26"/>
      <c r="I67" s="36"/>
      <c r="J67" s="37" t="str">
        <f aca="false">IF(OR(G67="",I67=""),"",G67*I67/1000000)</f>
        <v/>
      </c>
      <c r="K67" s="21"/>
      <c r="L67" s="21"/>
      <c r="M67" s="21"/>
      <c r="N67" s="25"/>
      <c r="O67" s="21"/>
      <c r="P67" s="21"/>
      <c r="Q67" s="21"/>
      <c r="R67" s="21"/>
      <c r="S67" s="38"/>
      <c r="T67" s="21"/>
      <c r="U67" s="21"/>
      <c r="V67" s="19"/>
      <c r="W67" s="26"/>
      <c r="X67" s="35"/>
      <c r="Y67" s="26"/>
      <c r="Z67" s="26"/>
      <c r="AA67" s="26"/>
      <c r="AB67" s="16" t="str">
        <f aca="false">IF(C67="","",IF(F67="Short",(AND(M67&lt;&gt;"",N(M67)&lt;0))+(AND(L67&lt;&gt;"",N(L67)&lt;0))+(AND(K67&lt;&gt;"",N(K67)&lt;0))+AND(L67&lt;&gt;"",M67&lt;&gt;"",N(M67)&lt;N(L67)),(N(M67)&gt;0)+(N(L67)&gt;0)+(N(K67)&gt;0)+AND(L67&lt;&gt;"",M67&lt;&gt;"",N(M67)&gt;N(L67))))</f>
        <v/>
      </c>
      <c r="AC67" s="16" t="str">
        <f aca="false">IF(C67="","",IF(F67="Short",IF(N67="",0,IF(AND(N67&gt;=30,N67&lt;=50),2,IF(OR(AND(N67&gt;=25,N67&lt;30),AND(N67&gt;50,N67&lt;=60)),1,0)))+IF(P67="",0,IF(AND(IF(B67="JSE",$L$5,$L$4)&lt;&gt;"",P67&lt;IF(B67="JSE",$L$5,$L$4)),2,IF(P67&lt;0,1,0))),IF(N67="",0,IF(AND(N67&gt;=50,N67&lt;=70),2,IF(OR(AND(N67&gt;=40,N67&lt;50),AND(N67&gt;70,N67&lt;=75)),1,0)))+IF(P67="",0,IF(AND(IF(B67="JSE",$L$5,$L$4)&lt;&gt;"",P67&gt;IF(B67="JSE",$L$5,$L$4)),2,IF(P67&gt;0,1,0)))))</f>
        <v/>
      </c>
      <c r="AD67" s="16" t="str">
        <f aca="false">IF(C67="","",IF(F67="Short",IF(R67="",0,IF(R67&lt;=0.1,2,IF(R67&lt;=0.25,1,0))),IF(Q67="",0,IF(Q67&gt;=-0.1,2,IF(Q67&gt;=-0.25,1,0)))))</f>
        <v/>
      </c>
      <c r="AE67" s="16" t="str">
        <f aca="false">IF(C67="","",IF(J67="",0,IF(J67&gt;=IF(B67="JSE",$L$7,$L$6),2,IF(J67&gt;=IF(B67="JSE",$L$7,$L$6)/4,1,0))))</f>
        <v/>
      </c>
      <c r="AF67" s="16" t="str">
        <f aca="false">IF(C67="","",IF(F67="Short",AND(T67&lt;&gt;"",N(T67)&lt;0),N(T67)&gt;0)+(N(S67)&gt;=1.5))</f>
        <v/>
      </c>
      <c r="AG67" s="16" t="str">
        <f aca="false">IF(C67="","",IF(AL67="",0,IF(AL67&gt;=3,4,IF(AL67&gt;=2,2,0))))</f>
        <v/>
      </c>
      <c r="AH67" s="16" t="str">
        <f aca="false">IF(C67="","",IF(AND(ISNUMBER(V67),ISNUMBER(A67),V67&gt;=A67,V67-A67&lt;=14),-2,0))</f>
        <v/>
      </c>
      <c r="AI67" s="16" t="str">
        <f aca="false">IF(C67="","",IF(AND(F67="Short",N(U67)&gt;=0.2),-1,0))</f>
        <v/>
      </c>
      <c r="AJ67" s="23" t="str">
        <f aca="false">IF(C67="","",SUM(AB67:AI67))</f>
        <v/>
      </c>
      <c r="AK67" s="24" t="str">
        <f aca="false">IF(C67="","",IF(AJ67&gt;=14,"A",IF(AJ67&gt;=10,"B","C")))</f>
        <v/>
      </c>
      <c r="AL67" s="39" t="str">
        <f aca="false">IFERROR(IF(OR(Y67="",Z67="",AA67=""),"",IF(F67="Short",IF(Z67&lt;=Y67,"",(Y67-AA67)/(Z67-Y67)),IF(Y67&lt;=Z67,"",(AA67-Y67)/(Y67-Z67)))),"")</f>
        <v/>
      </c>
      <c r="AM67" s="37" t="str">
        <f aca="false">IF(OR(Y67="",Z67="",N(Y67)=N(Z67)),"",IF(OR(AND(F67="Short",Z67&lt;Y67),AND(NOT(F67="Short"),Z67&gt;Y67)),"stop on wrong side",ABS(Y67-Z67)))</f>
        <v/>
      </c>
      <c r="AN67" s="40" t="str">
        <f aca="false">IFERROR(IF(OR(NOT(ISNUMBER(AM67)),$C$6=""),"",ROUNDDOWN($C$6*$C$7/AM67,2)),"")</f>
        <v/>
      </c>
      <c r="AO67" s="37" t="str">
        <f aca="false">IFERROR(IF(AN67="","",AN67*Y67),"")</f>
        <v/>
      </c>
      <c r="AP67" s="35"/>
      <c r="AQ67" s="19"/>
      <c r="AR67" s="26"/>
      <c r="AS67" s="41" t="str">
        <f aca="false">IFERROR(IF(OR(AR67="",Y67="",AQ67=""),"",IF(F67="Short",1-AR67/Y67,AR67/Y67-1)),"")</f>
        <v/>
      </c>
      <c r="AT67" s="42" t="str">
        <f aca="true">IF(AQ67="","",IF(ISNUMBER($C$4),$C$4,TODAY())-AQ67)</f>
        <v/>
      </c>
      <c r="AU67" s="14" t="str">
        <f aca="false">IF(C67="","",IF(AP67="Open position",IF(IF(F67="Short",AND(ISNUMBER(AR67),ISNUMBER(Z67),AR67&gt;=Z67),AND(ISNUMBER(AR67),ISNUMBER(Z67),AR67&lt;=Z67)),IF(F67="Short","COVER — stop hit (buy back)","SELL — stop hit"),IF(IF(F67="Short",AND(ISNUMBER(AR67),ISNUMBER(AA67),AR67&lt;=AA67),AND(ISNUMBER(AR67),ISNUMBER(AA67),AR67&gt;=AA67)),"TAKE PROFIT — target hit",IF(AND(ISNUMBER(AT67),AT67&gt;182),IF(F67="Short","COVER — 6-month time limit","SELL — 6-month time limit"),IF(AND(ISNUMBER(AT67),AT67&gt;42,ISNUMBER(AS67),AS67&lt;0.02),"REVIEW — no progress after 6 weeks",IF(IF(F67="Short",AND(L67&lt;&gt;"",N(L67)&gt;0),AND(L67&lt;&gt;"",N(L67)&lt;0)),IF(F67="Short","REVIEW — back above 50-day avg","REVIEW — below 50-day avg"),"HOLD"))))),IF(OR(AP67="Closed",AP67="Dropped"),"Closed",IF(AK67="A",IF(F67="Short","Run Technical Review — SHORT entry","Run Technical Review — LONG entry"),IF(AK67="B","Watch — wait for setup","Drop or re-check next week")))))</f>
        <v/>
      </c>
      <c r="AV67" s="35"/>
      <c r="AX67" s="43" t="str">
        <f aca="false">IF(AND(C67&lt;&gt;"",A67=$C$4,ISNUMBER(AJ67)),AJ67+ROW()/100000,"")</f>
        <v/>
      </c>
    </row>
    <row r="68" customFormat="false" ht="15" hidden="false" customHeight="false" outlineLevel="0" collapsed="false">
      <c r="A68" s="19"/>
      <c r="B68" s="35"/>
      <c r="C68" s="35"/>
      <c r="D68" s="35"/>
      <c r="E68" s="35"/>
      <c r="F68" s="35"/>
      <c r="G68" s="26"/>
      <c r="H68" s="26"/>
      <c r="I68" s="36"/>
      <c r="J68" s="37" t="str">
        <f aca="false">IF(OR(G68="",I68=""),"",G68*I68/1000000)</f>
        <v/>
      </c>
      <c r="K68" s="21"/>
      <c r="L68" s="21"/>
      <c r="M68" s="21"/>
      <c r="N68" s="25"/>
      <c r="O68" s="21"/>
      <c r="P68" s="21"/>
      <c r="Q68" s="21"/>
      <c r="R68" s="21"/>
      <c r="S68" s="38"/>
      <c r="T68" s="21"/>
      <c r="U68" s="21"/>
      <c r="V68" s="19"/>
      <c r="W68" s="26"/>
      <c r="X68" s="35"/>
      <c r="Y68" s="26"/>
      <c r="Z68" s="26"/>
      <c r="AA68" s="26"/>
      <c r="AB68" s="16" t="str">
        <f aca="false">IF(C68="","",IF(F68="Short",(AND(M68&lt;&gt;"",N(M68)&lt;0))+(AND(L68&lt;&gt;"",N(L68)&lt;0))+(AND(K68&lt;&gt;"",N(K68)&lt;0))+AND(L68&lt;&gt;"",M68&lt;&gt;"",N(M68)&lt;N(L68)),(N(M68)&gt;0)+(N(L68)&gt;0)+(N(K68)&gt;0)+AND(L68&lt;&gt;"",M68&lt;&gt;"",N(M68)&gt;N(L68))))</f>
        <v/>
      </c>
      <c r="AC68" s="16" t="str">
        <f aca="false">IF(C68="","",IF(F68="Short",IF(N68="",0,IF(AND(N68&gt;=30,N68&lt;=50),2,IF(OR(AND(N68&gt;=25,N68&lt;30),AND(N68&gt;50,N68&lt;=60)),1,0)))+IF(P68="",0,IF(AND(IF(B68="JSE",$L$5,$L$4)&lt;&gt;"",P68&lt;IF(B68="JSE",$L$5,$L$4)),2,IF(P68&lt;0,1,0))),IF(N68="",0,IF(AND(N68&gt;=50,N68&lt;=70),2,IF(OR(AND(N68&gt;=40,N68&lt;50),AND(N68&gt;70,N68&lt;=75)),1,0)))+IF(P68="",0,IF(AND(IF(B68="JSE",$L$5,$L$4)&lt;&gt;"",P68&gt;IF(B68="JSE",$L$5,$L$4)),2,IF(P68&gt;0,1,0)))))</f>
        <v/>
      </c>
      <c r="AD68" s="16" t="str">
        <f aca="false">IF(C68="","",IF(F68="Short",IF(R68="",0,IF(R68&lt;=0.1,2,IF(R68&lt;=0.25,1,0))),IF(Q68="",0,IF(Q68&gt;=-0.1,2,IF(Q68&gt;=-0.25,1,0)))))</f>
        <v/>
      </c>
      <c r="AE68" s="16" t="str">
        <f aca="false">IF(C68="","",IF(J68="",0,IF(J68&gt;=IF(B68="JSE",$L$7,$L$6),2,IF(J68&gt;=IF(B68="JSE",$L$7,$L$6)/4,1,0))))</f>
        <v/>
      </c>
      <c r="AF68" s="16" t="str">
        <f aca="false">IF(C68="","",IF(F68="Short",AND(T68&lt;&gt;"",N(T68)&lt;0),N(T68)&gt;0)+(N(S68)&gt;=1.5))</f>
        <v/>
      </c>
      <c r="AG68" s="16" t="str">
        <f aca="false">IF(C68="","",IF(AL68="",0,IF(AL68&gt;=3,4,IF(AL68&gt;=2,2,0))))</f>
        <v/>
      </c>
      <c r="AH68" s="16" t="str">
        <f aca="false">IF(C68="","",IF(AND(ISNUMBER(V68),ISNUMBER(A68),V68&gt;=A68,V68-A68&lt;=14),-2,0))</f>
        <v/>
      </c>
      <c r="AI68" s="16" t="str">
        <f aca="false">IF(C68="","",IF(AND(F68="Short",N(U68)&gt;=0.2),-1,0))</f>
        <v/>
      </c>
      <c r="AJ68" s="23" t="str">
        <f aca="false">IF(C68="","",SUM(AB68:AI68))</f>
        <v/>
      </c>
      <c r="AK68" s="24" t="str">
        <f aca="false">IF(C68="","",IF(AJ68&gt;=14,"A",IF(AJ68&gt;=10,"B","C")))</f>
        <v/>
      </c>
      <c r="AL68" s="39" t="str">
        <f aca="false">IFERROR(IF(OR(Y68="",Z68="",AA68=""),"",IF(F68="Short",IF(Z68&lt;=Y68,"",(Y68-AA68)/(Z68-Y68)),IF(Y68&lt;=Z68,"",(AA68-Y68)/(Y68-Z68)))),"")</f>
        <v/>
      </c>
      <c r="AM68" s="37" t="str">
        <f aca="false">IF(OR(Y68="",Z68="",N(Y68)=N(Z68)),"",IF(OR(AND(F68="Short",Z68&lt;Y68),AND(NOT(F68="Short"),Z68&gt;Y68)),"stop on wrong side",ABS(Y68-Z68)))</f>
        <v/>
      </c>
      <c r="AN68" s="40" t="str">
        <f aca="false">IFERROR(IF(OR(NOT(ISNUMBER(AM68)),$C$6=""),"",ROUNDDOWN($C$6*$C$7/AM68,2)),"")</f>
        <v/>
      </c>
      <c r="AO68" s="37" t="str">
        <f aca="false">IFERROR(IF(AN68="","",AN68*Y68),"")</f>
        <v/>
      </c>
      <c r="AP68" s="35"/>
      <c r="AQ68" s="19"/>
      <c r="AR68" s="26"/>
      <c r="AS68" s="41" t="str">
        <f aca="false">IFERROR(IF(OR(AR68="",Y68="",AQ68=""),"",IF(F68="Short",1-AR68/Y68,AR68/Y68-1)),"")</f>
        <v/>
      </c>
      <c r="AT68" s="42" t="str">
        <f aca="true">IF(AQ68="","",IF(ISNUMBER($C$4),$C$4,TODAY())-AQ68)</f>
        <v/>
      </c>
      <c r="AU68" s="14" t="str">
        <f aca="false">IF(C68="","",IF(AP68="Open position",IF(IF(F68="Short",AND(ISNUMBER(AR68),ISNUMBER(Z68),AR68&gt;=Z68),AND(ISNUMBER(AR68),ISNUMBER(Z68),AR68&lt;=Z68)),IF(F68="Short","COVER — stop hit (buy back)","SELL — stop hit"),IF(IF(F68="Short",AND(ISNUMBER(AR68),ISNUMBER(AA68),AR68&lt;=AA68),AND(ISNUMBER(AR68),ISNUMBER(AA68),AR68&gt;=AA68)),"TAKE PROFIT — target hit",IF(AND(ISNUMBER(AT68),AT68&gt;182),IF(F68="Short","COVER — 6-month time limit","SELL — 6-month time limit"),IF(AND(ISNUMBER(AT68),AT68&gt;42,ISNUMBER(AS68),AS68&lt;0.02),"REVIEW — no progress after 6 weeks",IF(IF(F68="Short",AND(L68&lt;&gt;"",N(L68)&gt;0),AND(L68&lt;&gt;"",N(L68)&lt;0)),IF(F68="Short","REVIEW — back above 50-day avg","REVIEW — below 50-day avg"),"HOLD"))))),IF(OR(AP68="Closed",AP68="Dropped"),"Closed",IF(AK68="A",IF(F68="Short","Run Technical Review — SHORT entry","Run Technical Review — LONG entry"),IF(AK68="B","Watch — wait for setup","Drop or re-check next week")))))</f>
        <v/>
      </c>
      <c r="AV68" s="35"/>
      <c r="AX68" s="43" t="str">
        <f aca="false">IF(AND(C68&lt;&gt;"",A68=$C$4,ISNUMBER(AJ68)),AJ68+ROW()/100000,"")</f>
        <v/>
      </c>
    </row>
    <row r="69" customFormat="false" ht="15" hidden="false" customHeight="false" outlineLevel="0" collapsed="false">
      <c r="A69" s="19"/>
      <c r="B69" s="35"/>
      <c r="C69" s="35"/>
      <c r="D69" s="35"/>
      <c r="E69" s="35"/>
      <c r="F69" s="35"/>
      <c r="G69" s="26"/>
      <c r="H69" s="26"/>
      <c r="I69" s="36"/>
      <c r="J69" s="37" t="str">
        <f aca="false">IF(OR(G69="",I69=""),"",G69*I69/1000000)</f>
        <v/>
      </c>
      <c r="K69" s="21"/>
      <c r="L69" s="21"/>
      <c r="M69" s="21"/>
      <c r="N69" s="25"/>
      <c r="O69" s="21"/>
      <c r="P69" s="21"/>
      <c r="Q69" s="21"/>
      <c r="R69" s="21"/>
      <c r="S69" s="38"/>
      <c r="T69" s="21"/>
      <c r="U69" s="21"/>
      <c r="V69" s="19"/>
      <c r="W69" s="26"/>
      <c r="X69" s="35"/>
      <c r="Y69" s="26"/>
      <c r="Z69" s="26"/>
      <c r="AA69" s="26"/>
      <c r="AB69" s="16" t="str">
        <f aca="false">IF(C69="","",IF(F69="Short",(AND(M69&lt;&gt;"",N(M69)&lt;0))+(AND(L69&lt;&gt;"",N(L69)&lt;0))+(AND(K69&lt;&gt;"",N(K69)&lt;0))+AND(L69&lt;&gt;"",M69&lt;&gt;"",N(M69)&lt;N(L69)),(N(M69)&gt;0)+(N(L69)&gt;0)+(N(K69)&gt;0)+AND(L69&lt;&gt;"",M69&lt;&gt;"",N(M69)&gt;N(L69))))</f>
        <v/>
      </c>
      <c r="AC69" s="16" t="str">
        <f aca="false">IF(C69="","",IF(F69="Short",IF(N69="",0,IF(AND(N69&gt;=30,N69&lt;=50),2,IF(OR(AND(N69&gt;=25,N69&lt;30),AND(N69&gt;50,N69&lt;=60)),1,0)))+IF(P69="",0,IF(AND(IF(B69="JSE",$L$5,$L$4)&lt;&gt;"",P69&lt;IF(B69="JSE",$L$5,$L$4)),2,IF(P69&lt;0,1,0))),IF(N69="",0,IF(AND(N69&gt;=50,N69&lt;=70),2,IF(OR(AND(N69&gt;=40,N69&lt;50),AND(N69&gt;70,N69&lt;=75)),1,0)))+IF(P69="",0,IF(AND(IF(B69="JSE",$L$5,$L$4)&lt;&gt;"",P69&gt;IF(B69="JSE",$L$5,$L$4)),2,IF(P69&gt;0,1,0)))))</f>
        <v/>
      </c>
      <c r="AD69" s="16" t="str">
        <f aca="false">IF(C69="","",IF(F69="Short",IF(R69="",0,IF(R69&lt;=0.1,2,IF(R69&lt;=0.25,1,0))),IF(Q69="",0,IF(Q69&gt;=-0.1,2,IF(Q69&gt;=-0.25,1,0)))))</f>
        <v/>
      </c>
      <c r="AE69" s="16" t="str">
        <f aca="false">IF(C69="","",IF(J69="",0,IF(J69&gt;=IF(B69="JSE",$L$7,$L$6),2,IF(J69&gt;=IF(B69="JSE",$L$7,$L$6)/4,1,0))))</f>
        <v/>
      </c>
      <c r="AF69" s="16" t="str">
        <f aca="false">IF(C69="","",IF(F69="Short",AND(T69&lt;&gt;"",N(T69)&lt;0),N(T69)&gt;0)+(N(S69)&gt;=1.5))</f>
        <v/>
      </c>
      <c r="AG69" s="16" t="str">
        <f aca="false">IF(C69="","",IF(AL69="",0,IF(AL69&gt;=3,4,IF(AL69&gt;=2,2,0))))</f>
        <v/>
      </c>
      <c r="AH69" s="16" t="str">
        <f aca="false">IF(C69="","",IF(AND(ISNUMBER(V69),ISNUMBER(A69),V69&gt;=A69,V69-A69&lt;=14),-2,0))</f>
        <v/>
      </c>
      <c r="AI69" s="16" t="str">
        <f aca="false">IF(C69="","",IF(AND(F69="Short",N(U69)&gt;=0.2),-1,0))</f>
        <v/>
      </c>
      <c r="AJ69" s="23" t="str">
        <f aca="false">IF(C69="","",SUM(AB69:AI69))</f>
        <v/>
      </c>
      <c r="AK69" s="24" t="str">
        <f aca="false">IF(C69="","",IF(AJ69&gt;=14,"A",IF(AJ69&gt;=10,"B","C")))</f>
        <v/>
      </c>
      <c r="AL69" s="39" t="str">
        <f aca="false">IFERROR(IF(OR(Y69="",Z69="",AA69=""),"",IF(F69="Short",IF(Z69&lt;=Y69,"",(Y69-AA69)/(Z69-Y69)),IF(Y69&lt;=Z69,"",(AA69-Y69)/(Y69-Z69)))),"")</f>
        <v/>
      </c>
      <c r="AM69" s="37" t="str">
        <f aca="false">IF(OR(Y69="",Z69="",N(Y69)=N(Z69)),"",IF(OR(AND(F69="Short",Z69&lt;Y69),AND(NOT(F69="Short"),Z69&gt;Y69)),"stop on wrong side",ABS(Y69-Z69)))</f>
        <v/>
      </c>
      <c r="AN69" s="40" t="str">
        <f aca="false">IFERROR(IF(OR(NOT(ISNUMBER(AM69)),$C$6=""),"",ROUNDDOWN($C$6*$C$7/AM69,2)),"")</f>
        <v/>
      </c>
      <c r="AO69" s="37" t="str">
        <f aca="false">IFERROR(IF(AN69="","",AN69*Y69),"")</f>
        <v/>
      </c>
      <c r="AP69" s="35"/>
      <c r="AQ69" s="19"/>
      <c r="AR69" s="26"/>
      <c r="AS69" s="41" t="str">
        <f aca="false">IFERROR(IF(OR(AR69="",Y69="",AQ69=""),"",IF(F69="Short",1-AR69/Y69,AR69/Y69-1)),"")</f>
        <v/>
      </c>
      <c r="AT69" s="42" t="str">
        <f aca="true">IF(AQ69="","",IF(ISNUMBER($C$4),$C$4,TODAY())-AQ69)</f>
        <v/>
      </c>
      <c r="AU69" s="14" t="str">
        <f aca="false">IF(C69="","",IF(AP69="Open position",IF(IF(F69="Short",AND(ISNUMBER(AR69),ISNUMBER(Z69),AR69&gt;=Z69),AND(ISNUMBER(AR69),ISNUMBER(Z69),AR69&lt;=Z69)),IF(F69="Short","COVER — stop hit (buy back)","SELL — stop hit"),IF(IF(F69="Short",AND(ISNUMBER(AR69),ISNUMBER(AA69),AR69&lt;=AA69),AND(ISNUMBER(AR69),ISNUMBER(AA69),AR69&gt;=AA69)),"TAKE PROFIT — target hit",IF(AND(ISNUMBER(AT69),AT69&gt;182),IF(F69="Short","COVER — 6-month time limit","SELL — 6-month time limit"),IF(AND(ISNUMBER(AT69),AT69&gt;42,ISNUMBER(AS69),AS69&lt;0.02),"REVIEW — no progress after 6 weeks",IF(IF(F69="Short",AND(L69&lt;&gt;"",N(L69)&gt;0),AND(L69&lt;&gt;"",N(L69)&lt;0)),IF(F69="Short","REVIEW — back above 50-day avg","REVIEW — below 50-day avg"),"HOLD"))))),IF(OR(AP69="Closed",AP69="Dropped"),"Closed",IF(AK69="A",IF(F69="Short","Run Technical Review — SHORT entry","Run Technical Review — LONG entry"),IF(AK69="B","Watch — wait for setup","Drop or re-check next week")))))</f>
        <v/>
      </c>
      <c r="AV69" s="35"/>
      <c r="AX69" s="43" t="str">
        <f aca="false">IF(AND(C69&lt;&gt;"",A69=$C$4,ISNUMBER(AJ69)),AJ69+ROW()/100000,"")</f>
        <v/>
      </c>
    </row>
    <row r="70" customFormat="false" ht="15" hidden="false" customHeight="false" outlineLevel="0" collapsed="false">
      <c r="A70" s="19"/>
      <c r="B70" s="35"/>
      <c r="C70" s="35"/>
      <c r="D70" s="35"/>
      <c r="E70" s="35"/>
      <c r="F70" s="35"/>
      <c r="G70" s="26"/>
      <c r="H70" s="26"/>
      <c r="I70" s="36"/>
      <c r="J70" s="37" t="str">
        <f aca="false">IF(OR(G70="",I70=""),"",G70*I70/1000000)</f>
        <v/>
      </c>
      <c r="K70" s="21"/>
      <c r="L70" s="21"/>
      <c r="M70" s="21"/>
      <c r="N70" s="25"/>
      <c r="O70" s="21"/>
      <c r="P70" s="21"/>
      <c r="Q70" s="21"/>
      <c r="R70" s="21"/>
      <c r="S70" s="38"/>
      <c r="T70" s="21"/>
      <c r="U70" s="21"/>
      <c r="V70" s="19"/>
      <c r="W70" s="26"/>
      <c r="X70" s="35"/>
      <c r="Y70" s="26"/>
      <c r="Z70" s="26"/>
      <c r="AA70" s="26"/>
      <c r="AB70" s="16" t="str">
        <f aca="false">IF(C70="","",IF(F70="Short",(AND(M70&lt;&gt;"",N(M70)&lt;0))+(AND(L70&lt;&gt;"",N(L70)&lt;0))+(AND(K70&lt;&gt;"",N(K70)&lt;0))+AND(L70&lt;&gt;"",M70&lt;&gt;"",N(M70)&lt;N(L70)),(N(M70)&gt;0)+(N(L70)&gt;0)+(N(K70)&gt;0)+AND(L70&lt;&gt;"",M70&lt;&gt;"",N(M70)&gt;N(L70))))</f>
        <v/>
      </c>
      <c r="AC70" s="16" t="str">
        <f aca="false">IF(C70="","",IF(F70="Short",IF(N70="",0,IF(AND(N70&gt;=30,N70&lt;=50),2,IF(OR(AND(N70&gt;=25,N70&lt;30),AND(N70&gt;50,N70&lt;=60)),1,0)))+IF(P70="",0,IF(AND(IF(B70="JSE",$L$5,$L$4)&lt;&gt;"",P70&lt;IF(B70="JSE",$L$5,$L$4)),2,IF(P70&lt;0,1,0))),IF(N70="",0,IF(AND(N70&gt;=50,N70&lt;=70),2,IF(OR(AND(N70&gt;=40,N70&lt;50),AND(N70&gt;70,N70&lt;=75)),1,0)))+IF(P70="",0,IF(AND(IF(B70="JSE",$L$5,$L$4)&lt;&gt;"",P70&gt;IF(B70="JSE",$L$5,$L$4)),2,IF(P70&gt;0,1,0)))))</f>
        <v/>
      </c>
      <c r="AD70" s="16" t="str">
        <f aca="false">IF(C70="","",IF(F70="Short",IF(R70="",0,IF(R70&lt;=0.1,2,IF(R70&lt;=0.25,1,0))),IF(Q70="",0,IF(Q70&gt;=-0.1,2,IF(Q70&gt;=-0.25,1,0)))))</f>
        <v/>
      </c>
      <c r="AE70" s="16" t="str">
        <f aca="false">IF(C70="","",IF(J70="",0,IF(J70&gt;=IF(B70="JSE",$L$7,$L$6),2,IF(J70&gt;=IF(B70="JSE",$L$7,$L$6)/4,1,0))))</f>
        <v/>
      </c>
      <c r="AF70" s="16" t="str">
        <f aca="false">IF(C70="","",IF(F70="Short",AND(T70&lt;&gt;"",N(T70)&lt;0),N(T70)&gt;0)+(N(S70)&gt;=1.5))</f>
        <v/>
      </c>
      <c r="AG70" s="16" t="str">
        <f aca="false">IF(C70="","",IF(AL70="",0,IF(AL70&gt;=3,4,IF(AL70&gt;=2,2,0))))</f>
        <v/>
      </c>
      <c r="AH70" s="16" t="str">
        <f aca="false">IF(C70="","",IF(AND(ISNUMBER(V70),ISNUMBER(A70),V70&gt;=A70,V70-A70&lt;=14),-2,0))</f>
        <v/>
      </c>
      <c r="AI70" s="16" t="str">
        <f aca="false">IF(C70="","",IF(AND(F70="Short",N(U70)&gt;=0.2),-1,0))</f>
        <v/>
      </c>
      <c r="AJ70" s="23" t="str">
        <f aca="false">IF(C70="","",SUM(AB70:AI70))</f>
        <v/>
      </c>
      <c r="AK70" s="24" t="str">
        <f aca="false">IF(C70="","",IF(AJ70&gt;=14,"A",IF(AJ70&gt;=10,"B","C")))</f>
        <v/>
      </c>
      <c r="AL70" s="39" t="str">
        <f aca="false">IFERROR(IF(OR(Y70="",Z70="",AA70=""),"",IF(F70="Short",IF(Z70&lt;=Y70,"",(Y70-AA70)/(Z70-Y70)),IF(Y70&lt;=Z70,"",(AA70-Y70)/(Y70-Z70)))),"")</f>
        <v/>
      </c>
      <c r="AM70" s="37" t="str">
        <f aca="false">IF(OR(Y70="",Z70="",N(Y70)=N(Z70)),"",IF(OR(AND(F70="Short",Z70&lt;Y70),AND(NOT(F70="Short"),Z70&gt;Y70)),"stop on wrong side",ABS(Y70-Z70)))</f>
        <v/>
      </c>
      <c r="AN70" s="40" t="str">
        <f aca="false">IFERROR(IF(OR(NOT(ISNUMBER(AM70)),$C$6=""),"",ROUNDDOWN($C$6*$C$7/AM70,2)),"")</f>
        <v/>
      </c>
      <c r="AO70" s="37" t="str">
        <f aca="false">IFERROR(IF(AN70="","",AN70*Y70),"")</f>
        <v/>
      </c>
      <c r="AP70" s="35"/>
      <c r="AQ70" s="19"/>
      <c r="AR70" s="26"/>
      <c r="AS70" s="41" t="str">
        <f aca="false">IFERROR(IF(OR(AR70="",Y70="",AQ70=""),"",IF(F70="Short",1-AR70/Y70,AR70/Y70-1)),"")</f>
        <v/>
      </c>
      <c r="AT70" s="42" t="str">
        <f aca="true">IF(AQ70="","",IF(ISNUMBER($C$4),$C$4,TODAY())-AQ70)</f>
        <v/>
      </c>
      <c r="AU70" s="14" t="str">
        <f aca="false">IF(C70="","",IF(AP70="Open position",IF(IF(F70="Short",AND(ISNUMBER(AR70),ISNUMBER(Z70),AR70&gt;=Z70),AND(ISNUMBER(AR70),ISNUMBER(Z70),AR70&lt;=Z70)),IF(F70="Short","COVER — stop hit (buy back)","SELL — stop hit"),IF(IF(F70="Short",AND(ISNUMBER(AR70),ISNUMBER(AA70),AR70&lt;=AA70),AND(ISNUMBER(AR70),ISNUMBER(AA70),AR70&gt;=AA70)),"TAKE PROFIT — target hit",IF(AND(ISNUMBER(AT70),AT70&gt;182),IF(F70="Short","COVER — 6-month time limit","SELL — 6-month time limit"),IF(AND(ISNUMBER(AT70),AT70&gt;42,ISNUMBER(AS70),AS70&lt;0.02),"REVIEW — no progress after 6 weeks",IF(IF(F70="Short",AND(L70&lt;&gt;"",N(L70)&gt;0),AND(L70&lt;&gt;"",N(L70)&lt;0)),IF(F70="Short","REVIEW — back above 50-day avg","REVIEW — below 50-day avg"),"HOLD"))))),IF(OR(AP70="Closed",AP70="Dropped"),"Closed",IF(AK70="A",IF(F70="Short","Run Technical Review — SHORT entry","Run Technical Review — LONG entry"),IF(AK70="B","Watch — wait for setup","Drop or re-check next week")))))</f>
        <v/>
      </c>
      <c r="AV70" s="35"/>
      <c r="AX70" s="43" t="str">
        <f aca="false">IF(AND(C70&lt;&gt;"",A70=$C$4,ISNUMBER(AJ70)),AJ70+ROW()/100000,"")</f>
        <v/>
      </c>
    </row>
    <row r="71" customFormat="false" ht="15" hidden="false" customHeight="false" outlineLevel="0" collapsed="false">
      <c r="A71" s="19"/>
      <c r="B71" s="35"/>
      <c r="C71" s="35"/>
      <c r="D71" s="35"/>
      <c r="E71" s="35"/>
      <c r="F71" s="35"/>
      <c r="G71" s="26"/>
      <c r="H71" s="26"/>
      <c r="I71" s="36"/>
      <c r="J71" s="37" t="str">
        <f aca="false">IF(OR(G71="",I71=""),"",G71*I71/1000000)</f>
        <v/>
      </c>
      <c r="K71" s="21"/>
      <c r="L71" s="21"/>
      <c r="M71" s="21"/>
      <c r="N71" s="25"/>
      <c r="O71" s="21"/>
      <c r="P71" s="21"/>
      <c r="Q71" s="21"/>
      <c r="R71" s="21"/>
      <c r="S71" s="38"/>
      <c r="T71" s="21"/>
      <c r="U71" s="21"/>
      <c r="V71" s="19"/>
      <c r="W71" s="26"/>
      <c r="X71" s="35"/>
      <c r="Y71" s="26"/>
      <c r="Z71" s="26"/>
      <c r="AA71" s="26"/>
      <c r="AB71" s="16" t="str">
        <f aca="false">IF(C71="","",IF(F71="Short",(AND(M71&lt;&gt;"",N(M71)&lt;0))+(AND(L71&lt;&gt;"",N(L71)&lt;0))+(AND(K71&lt;&gt;"",N(K71)&lt;0))+AND(L71&lt;&gt;"",M71&lt;&gt;"",N(M71)&lt;N(L71)),(N(M71)&gt;0)+(N(L71)&gt;0)+(N(K71)&gt;0)+AND(L71&lt;&gt;"",M71&lt;&gt;"",N(M71)&gt;N(L71))))</f>
        <v/>
      </c>
      <c r="AC71" s="16" t="str">
        <f aca="false">IF(C71="","",IF(F71="Short",IF(N71="",0,IF(AND(N71&gt;=30,N71&lt;=50),2,IF(OR(AND(N71&gt;=25,N71&lt;30),AND(N71&gt;50,N71&lt;=60)),1,0)))+IF(P71="",0,IF(AND(IF(B71="JSE",$L$5,$L$4)&lt;&gt;"",P71&lt;IF(B71="JSE",$L$5,$L$4)),2,IF(P71&lt;0,1,0))),IF(N71="",0,IF(AND(N71&gt;=50,N71&lt;=70),2,IF(OR(AND(N71&gt;=40,N71&lt;50),AND(N71&gt;70,N71&lt;=75)),1,0)))+IF(P71="",0,IF(AND(IF(B71="JSE",$L$5,$L$4)&lt;&gt;"",P71&gt;IF(B71="JSE",$L$5,$L$4)),2,IF(P71&gt;0,1,0)))))</f>
        <v/>
      </c>
      <c r="AD71" s="16" t="str">
        <f aca="false">IF(C71="","",IF(F71="Short",IF(R71="",0,IF(R71&lt;=0.1,2,IF(R71&lt;=0.25,1,0))),IF(Q71="",0,IF(Q71&gt;=-0.1,2,IF(Q71&gt;=-0.25,1,0)))))</f>
        <v/>
      </c>
      <c r="AE71" s="16" t="str">
        <f aca="false">IF(C71="","",IF(J71="",0,IF(J71&gt;=IF(B71="JSE",$L$7,$L$6),2,IF(J71&gt;=IF(B71="JSE",$L$7,$L$6)/4,1,0))))</f>
        <v/>
      </c>
      <c r="AF71" s="16" t="str">
        <f aca="false">IF(C71="","",IF(F71="Short",AND(T71&lt;&gt;"",N(T71)&lt;0),N(T71)&gt;0)+(N(S71)&gt;=1.5))</f>
        <v/>
      </c>
      <c r="AG71" s="16" t="str">
        <f aca="false">IF(C71="","",IF(AL71="",0,IF(AL71&gt;=3,4,IF(AL71&gt;=2,2,0))))</f>
        <v/>
      </c>
      <c r="AH71" s="16" t="str">
        <f aca="false">IF(C71="","",IF(AND(ISNUMBER(V71),ISNUMBER(A71),V71&gt;=A71,V71-A71&lt;=14),-2,0))</f>
        <v/>
      </c>
      <c r="AI71" s="16" t="str">
        <f aca="false">IF(C71="","",IF(AND(F71="Short",N(U71)&gt;=0.2),-1,0))</f>
        <v/>
      </c>
      <c r="AJ71" s="23" t="str">
        <f aca="false">IF(C71="","",SUM(AB71:AI71))</f>
        <v/>
      </c>
      <c r="AK71" s="24" t="str">
        <f aca="false">IF(C71="","",IF(AJ71&gt;=14,"A",IF(AJ71&gt;=10,"B","C")))</f>
        <v/>
      </c>
      <c r="AL71" s="39" t="str">
        <f aca="false">IFERROR(IF(OR(Y71="",Z71="",AA71=""),"",IF(F71="Short",IF(Z71&lt;=Y71,"",(Y71-AA71)/(Z71-Y71)),IF(Y71&lt;=Z71,"",(AA71-Y71)/(Y71-Z71)))),"")</f>
        <v/>
      </c>
      <c r="AM71" s="37" t="str">
        <f aca="false">IF(OR(Y71="",Z71="",N(Y71)=N(Z71)),"",IF(OR(AND(F71="Short",Z71&lt;Y71),AND(NOT(F71="Short"),Z71&gt;Y71)),"stop on wrong side",ABS(Y71-Z71)))</f>
        <v/>
      </c>
      <c r="AN71" s="40" t="str">
        <f aca="false">IFERROR(IF(OR(NOT(ISNUMBER(AM71)),$C$6=""),"",ROUNDDOWN($C$6*$C$7/AM71,2)),"")</f>
        <v/>
      </c>
      <c r="AO71" s="37" t="str">
        <f aca="false">IFERROR(IF(AN71="","",AN71*Y71),"")</f>
        <v/>
      </c>
      <c r="AP71" s="35"/>
      <c r="AQ71" s="19"/>
      <c r="AR71" s="26"/>
      <c r="AS71" s="41" t="str">
        <f aca="false">IFERROR(IF(OR(AR71="",Y71="",AQ71=""),"",IF(F71="Short",1-AR71/Y71,AR71/Y71-1)),"")</f>
        <v/>
      </c>
      <c r="AT71" s="42" t="str">
        <f aca="true">IF(AQ71="","",IF(ISNUMBER($C$4),$C$4,TODAY())-AQ71)</f>
        <v/>
      </c>
      <c r="AU71" s="14" t="str">
        <f aca="false">IF(C71="","",IF(AP71="Open position",IF(IF(F71="Short",AND(ISNUMBER(AR71),ISNUMBER(Z71),AR71&gt;=Z71),AND(ISNUMBER(AR71),ISNUMBER(Z71),AR71&lt;=Z71)),IF(F71="Short","COVER — stop hit (buy back)","SELL — stop hit"),IF(IF(F71="Short",AND(ISNUMBER(AR71),ISNUMBER(AA71),AR71&lt;=AA71),AND(ISNUMBER(AR71),ISNUMBER(AA71),AR71&gt;=AA71)),"TAKE PROFIT — target hit",IF(AND(ISNUMBER(AT71),AT71&gt;182),IF(F71="Short","COVER — 6-month time limit","SELL — 6-month time limit"),IF(AND(ISNUMBER(AT71),AT71&gt;42,ISNUMBER(AS71),AS71&lt;0.02),"REVIEW — no progress after 6 weeks",IF(IF(F71="Short",AND(L71&lt;&gt;"",N(L71)&gt;0),AND(L71&lt;&gt;"",N(L71)&lt;0)),IF(F71="Short","REVIEW — back above 50-day avg","REVIEW — below 50-day avg"),"HOLD"))))),IF(OR(AP71="Closed",AP71="Dropped"),"Closed",IF(AK71="A",IF(F71="Short","Run Technical Review — SHORT entry","Run Technical Review — LONG entry"),IF(AK71="B","Watch — wait for setup","Drop or re-check next week")))))</f>
        <v/>
      </c>
      <c r="AV71" s="35"/>
      <c r="AX71" s="43" t="str">
        <f aca="false">IF(AND(C71&lt;&gt;"",A71=$C$4,ISNUMBER(AJ71)),AJ71+ROW()/100000,"")</f>
        <v/>
      </c>
    </row>
    <row r="72" customFormat="false" ht="15" hidden="false" customHeight="false" outlineLevel="0" collapsed="false">
      <c r="A72" s="19"/>
      <c r="B72" s="35"/>
      <c r="C72" s="35"/>
      <c r="D72" s="35"/>
      <c r="E72" s="35"/>
      <c r="F72" s="35"/>
      <c r="G72" s="26"/>
      <c r="H72" s="26"/>
      <c r="I72" s="36"/>
      <c r="J72" s="37" t="str">
        <f aca="false">IF(OR(G72="",I72=""),"",G72*I72/1000000)</f>
        <v/>
      </c>
      <c r="K72" s="21"/>
      <c r="L72" s="21"/>
      <c r="M72" s="21"/>
      <c r="N72" s="25"/>
      <c r="O72" s="21"/>
      <c r="P72" s="21"/>
      <c r="Q72" s="21"/>
      <c r="R72" s="21"/>
      <c r="S72" s="38"/>
      <c r="T72" s="21"/>
      <c r="U72" s="21"/>
      <c r="V72" s="19"/>
      <c r="W72" s="26"/>
      <c r="X72" s="35"/>
      <c r="Y72" s="26"/>
      <c r="Z72" s="26"/>
      <c r="AA72" s="26"/>
      <c r="AB72" s="16" t="str">
        <f aca="false">IF(C72="","",IF(F72="Short",(AND(M72&lt;&gt;"",N(M72)&lt;0))+(AND(L72&lt;&gt;"",N(L72)&lt;0))+(AND(K72&lt;&gt;"",N(K72)&lt;0))+AND(L72&lt;&gt;"",M72&lt;&gt;"",N(M72)&lt;N(L72)),(N(M72)&gt;0)+(N(L72)&gt;0)+(N(K72)&gt;0)+AND(L72&lt;&gt;"",M72&lt;&gt;"",N(M72)&gt;N(L72))))</f>
        <v/>
      </c>
      <c r="AC72" s="16" t="str">
        <f aca="false">IF(C72="","",IF(F72="Short",IF(N72="",0,IF(AND(N72&gt;=30,N72&lt;=50),2,IF(OR(AND(N72&gt;=25,N72&lt;30),AND(N72&gt;50,N72&lt;=60)),1,0)))+IF(P72="",0,IF(AND(IF(B72="JSE",$L$5,$L$4)&lt;&gt;"",P72&lt;IF(B72="JSE",$L$5,$L$4)),2,IF(P72&lt;0,1,0))),IF(N72="",0,IF(AND(N72&gt;=50,N72&lt;=70),2,IF(OR(AND(N72&gt;=40,N72&lt;50),AND(N72&gt;70,N72&lt;=75)),1,0)))+IF(P72="",0,IF(AND(IF(B72="JSE",$L$5,$L$4)&lt;&gt;"",P72&gt;IF(B72="JSE",$L$5,$L$4)),2,IF(P72&gt;0,1,0)))))</f>
        <v/>
      </c>
      <c r="AD72" s="16" t="str">
        <f aca="false">IF(C72="","",IF(F72="Short",IF(R72="",0,IF(R72&lt;=0.1,2,IF(R72&lt;=0.25,1,0))),IF(Q72="",0,IF(Q72&gt;=-0.1,2,IF(Q72&gt;=-0.25,1,0)))))</f>
        <v/>
      </c>
      <c r="AE72" s="16" t="str">
        <f aca="false">IF(C72="","",IF(J72="",0,IF(J72&gt;=IF(B72="JSE",$L$7,$L$6),2,IF(J72&gt;=IF(B72="JSE",$L$7,$L$6)/4,1,0))))</f>
        <v/>
      </c>
      <c r="AF72" s="16" t="str">
        <f aca="false">IF(C72="","",IF(F72="Short",AND(T72&lt;&gt;"",N(T72)&lt;0),N(T72)&gt;0)+(N(S72)&gt;=1.5))</f>
        <v/>
      </c>
      <c r="AG72" s="16" t="str">
        <f aca="false">IF(C72="","",IF(AL72="",0,IF(AL72&gt;=3,4,IF(AL72&gt;=2,2,0))))</f>
        <v/>
      </c>
      <c r="AH72" s="16" t="str">
        <f aca="false">IF(C72="","",IF(AND(ISNUMBER(V72),ISNUMBER(A72),V72&gt;=A72,V72-A72&lt;=14),-2,0))</f>
        <v/>
      </c>
      <c r="AI72" s="16" t="str">
        <f aca="false">IF(C72="","",IF(AND(F72="Short",N(U72)&gt;=0.2),-1,0))</f>
        <v/>
      </c>
      <c r="AJ72" s="23" t="str">
        <f aca="false">IF(C72="","",SUM(AB72:AI72))</f>
        <v/>
      </c>
      <c r="AK72" s="24" t="str">
        <f aca="false">IF(C72="","",IF(AJ72&gt;=14,"A",IF(AJ72&gt;=10,"B","C")))</f>
        <v/>
      </c>
      <c r="AL72" s="39" t="str">
        <f aca="false">IFERROR(IF(OR(Y72="",Z72="",AA72=""),"",IF(F72="Short",IF(Z72&lt;=Y72,"",(Y72-AA72)/(Z72-Y72)),IF(Y72&lt;=Z72,"",(AA72-Y72)/(Y72-Z72)))),"")</f>
        <v/>
      </c>
      <c r="AM72" s="37" t="str">
        <f aca="false">IF(OR(Y72="",Z72="",N(Y72)=N(Z72)),"",IF(OR(AND(F72="Short",Z72&lt;Y72),AND(NOT(F72="Short"),Z72&gt;Y72)),"stop on wrong side",ABS(Y72-Z72)))</f>
        <v/>
      </c>
      <c r="AN72" s="40" t="str">
        <f aca="false">IFERROR(IF(OR(NOT(ISNUMBER(AM72)),$C$6=""),"",ROUNDDOWN($C$6*$C$7/AM72,2)),"")</f>
        <v/>
      </c>
      <c r="AO72" s="37" t="str">
        <f aca="false">IFERROR(IF(AN72="","",AN72*Y72),"")</f>
        <v/>
      </c>
      <c r="AP72" s="35"/>
      <c r="AQ72" s="19"/>
      <c r="AR72" s="26"/>
      <c r="AS72" s="41" t="str">
        <f aca="false">IFERROR(IF(OR(AR72="",Y72="",AQ72=""),"",IF(F72="Short",1-AR72/Y72,AR72/Y72-1)),"")</f>
        <v/>
      </c>
      <c r="AT72" s="42" t="str">
        <f aca="true">IF(AQ72="","",IF(ISNUMBER($C$4),$C$4,TODAY())-AQ72)</f>
        <v/>
      </c>
      <c r="AU72" s="14" t="str">
        <f aca="false">IF(C72="","",IF(AP72="Open position",IF(IF(F72="Short",AND(ISNUMBER(AR72),ISNUMBER(Z72),AR72&gt;=Z72),AND(ISNUMBER(AR72),ISNUMBER(Z72),AR72&lt;=Z72)),IF(F72="Short","COVER — stop hit (buy back)","SELL — stop hit"),IF(IF(F72="Short",AND(ISNUMBER(AR72),ISNUMBER(AA72),AR72&lt;=AA72),AND(ISNUMBER(AR72),ISNUMBER(AA72),AR72&gt;=AA72)),"TAKE PROFIT — target hit",IF(AND(ISNUMBER(AT72),AT72&gt;182),IF(F72="Short","COVER — 6-month time limit","SELL — 6-month time limit"),IF(AND(ISNUMBER(AT72),AT72&gt;42,ISNUMBER(AS72),AS72&lt;0.02),"REVIEW — no progress after 6 weeks",IF(IF(F72="Short",AND(L72&lt;&gt;"",N(L72)&gt;0),AND(L72&lt;&gt;"",N(L72)&lt;0)),IF(F72="Short","REVIEW — back above 50-day avg","REVIEW — below 50-day avg"),"HOLD"))))),IF(OR(AP72="Closed",AP72="Dropped"),"Closed",IF(AK72="A",IF(F72="Short","Run Technical Review — SHORT entry","Run Technical Review — LONG entry"),IF(AK72="B","Watch — wait for setup","Drop or re-check next week")))))</f>
        <v/>
      </c>
      <c r="AV72" s="35"/>
      <c r="AX72" s="43" t="str">
        <f aca="false">IF(AND(C72&lt;&gt;"",A72=$C$4,ISNUMBER(AJ72)),AJ72+ROW()/100000,"")</f>
        <v/>
      </c>
    </row>
    <row r="73" customFormat="false" ht="15" hidden="false" customHeight="false" outlineLevel="0" collapsed="false">
      <c r="A73" s="19"/>
      <c r="B73" s="35"/>
      <c r="C73" s="35"/>
      <c r="D73" s="35"/>
      <c r="E73" s="35"/>
      <c r="F73" s="35"/>
      <c r="G73" s="26"/>
      <c r="H73" s="26"/>
      <c r="I73" s="36"/>
      <c r="J73" s="37" t="str">
        <f aca="false">IF(OR(G73="",I73=""),"",G73*I73/1000000)</f>
        <v/>
      </c>
      <c r="K73" s="21"/>
      <c r="L73" s="21"/>
      <c r="M73" s="21"/>
      <c r="N73" s="25"/>
      <c r="O73" s="21"/>
      <c r="P73" s="21"/>
      <c r="Q73" s="21"/>
      <c r="R73" s="21"/>
      <c r="S73" s="38"/>
      <c r="T73" s="21"/>
      <c r="U73" s="21"/>
      <c r="V73" s="19"/>
      <c r="W73" s="26"/>
      <c r="X73" s="35"/>
      <c r="Y73" s="26"/>
      <c r="Z73" s="26"/>
      <c r="AA73" s="26"/>
      <c r="AB73" s="16" t="str">
        <f aca="false">IF(C73="","",IF(F73="Short",(AND(M73&lt;&gt;"",N(M73)&lt;0))+(AND(L73&lt;&gt;"",N(L73)&lt;0))+(AND(K73&lt;&gt;"",N(K73)&lt;0))+AND(L73&lt;&gt;"",M73&lt;&gt;"",N(M73)&lt;N(L73)),(N(M73)&gt;0)+(N(L73)&gt;0)+(N(K73)&gt;0)+AND(L73&lt;&gt;"",M73&lt;&gt;"",N(M73)&gt;N(L73))))</f>
        <v/>
      </c>
      <c r="AC73" s="16" t="str">
        <f aca="false">IF(C73="","",IF(F73="Short",IF(N73="",0,IF(AND(N73&gt;=30,N73&lt;=50),2,IF(OR(AND(N73&gt;=25,N73&lt;30),AND(N73&gt;50,N73&lt;=60)),1,0)))+IF(P73="",0,IF(AND(IF(B73="JSE",$L$5,$L$4)&lt;&gt;"",P73&lt;IF(B73="JSE",$L$5,$L$4)),2,IF(P73&lt;0,1,0))),IF(N73="",0,IF(AND(N73&gt;=50,N73&lt;=70),2,IF(OR(AND(N73&gt;=40,N73&lt;50),AND(N73&gt;70,N73&lt;=75)),1,0)))+IF(P73="",0,IF(AND(IF(B73="JSE",$L$5,$L$4)&lt;&gt;"",P73&gt;IF(B73="JSE",$L$5,$L$4)),2,IF(P73&gt;0,1,0)))))</f>
        <v/>
      </c>
      <c r="AD73" s="16" t="str">
        <f aca="false">IF(C73="","",IF(F73="Short",IF(R73="",0,IF(R73&lt;=0.1,2,IF(R73&lt;=0.25,1,0))),IF(Q73="",0,IF(Q73&gt;=-0.1,2,IF(Q73&gt;=-0.25,1,0)))))</f>
        <v/>
      </c>
      <c r="AE73" s="16" t="str">
        <f aca="false">IF(C73="","",IF(J73="",0,IF(J73&gt;=IF(B73="JSE",$L$7,$L$6),2,IF(J73&gt;=IF(B73="JSE",$L$7,$L$6)/4,1,0))))</f>
        <v/>
      </c>
      <c r="AF73" s="16" t="str">
        <f aca="false">IF(C73="","",IF(F73="Short",AND(T73&lt;&gt;"",N(T73)&lt;0),N(T73)&gt;0)+(N(S73)&gt;=1.5))</f>
        <v/>
      </c>
      <c r="AG73" s="16" t="str">
        <f aca="false">IF(C73="","",IF(AL73="",0,IF(AL73&gt;=3,4,IF(AL73&gt;=2,2,0))))</f>
        <v/>
      </c>
      <c r="AH73" s="16" t="str">
        <f aca="false">IF(C73="","",IF(AND(ISNUMBER(V73),ISNUMBER(A73),V73&gt;=A73,V73-A73&lt;=14),-2,0))</f>
        <v/>
      </c>
      <c r="AI73" s="16" t="str">
        <f aca="false">IF(C73="","",IF(AND(F73="Short",N(U73)&gt;=0.2),-1,0))</f>
        <v/>
      </c>
      <c r="AJ73" s="23" t="str">
        <f aca="false">IF(C73="","",SUM(AB73:AI73))</f>
        <v/>
      </c>
      <c r="AK73" s="24" t="str">
        <f aca="false">IF(C73="","",IF(AJ73&gt;=14,"A",IF(AJ73&gt;=10,"B","C")))</f>
        <v/>
      </c>
      <c r="AL73" s="39" t="str">
        <f aca="false">IFERROR(IF(OR(Y73="",Z73="",AA73=""),"",IF(F73="Short",IF(Z73&lt;=Y73,"",(Y73-AA73)/(Z73-Y73)),IF(Y73&lt;=Z73,"",(AA73-Y73)/(Y73-Z73)))),"")</f>
        <v/>
      </c>
      <c r="AM73" s="37" t="str">
        <f aca="false">IF(OR(Y73="",Z73="",N(Y73)=N(Z73)),"",IF(OR(AND(F73="Short",Z73&lt;Y73),AND(NOT(F73="Short"),Z73&gt;Y73)),"stop on wrong side",ABS(Y73-Z73)))</f>
        <v/>
      </c>
      <c r="AN73" s="40" t="str">
        <f aca="false">IFERROR(IF(OR(NOT(ISNUMBER(AM73)),$C$6=""),"",ROUNDDOWN($C$6*$C$7/AM73,2)),"")</f>
        <v/>
      </c>
      <c r="AO73" s="37" t="str">
        <f aca="false">IFERROR(IF(AN73="","",AN73*Y73),"")</f>
        <v/>
      </c>
      <c r="AP73" s="35"/>
      <c r="AQ73" s="19"/>
      <c r="AR73" s="26"/>
      <c r="AS73" s="41" t="str">
        <f aca="false">IFERROR(IF(OR(AR73="",Y73="",AQ73=""),"",IF(F73="Short",1-AR73/Y73,AR73/Y73-1)),"")</f>
        <v/>
      </c>
      <c r="AT73" s="42" t="str">
        <f aca="true">IF(AQ73="","",IF(ISNUMBER($C$4),$C$4,TODAY())-AQ73)</f>
        <v/>
      </c>
      <c r="AU73" s="14" t="str">
        <f aca="false">IF(C73="","",IF(AP73="Open position",IF(IF(F73="Short",AND(ISNUMBER(AR73),ISNUMBER(Z73),AR73&gt;=Z73),AND(ISNUMBER(AR73),ISNUMBER(Z73),AR73&lt;=Z73)),IF(F73="Short","COVER — stop hit (buy back)","SELL — stop hit"),IF(IF(F73="Short",AND(ISNUMBER(AR73),ISNUMBER(AA73),AR73&lt;=AA73),AND(ISNUMBER(AR73),ISNUMBER(AA73),AR73&gt;=AA73)),"TAKE PROFIT — target hit",IF(AND(ISNUMBER(AT73),AT73&gt;182),IF(F73="Short","COVER — 6-month time limit","SELL — 6-month time limit"),IF(AND(ISNUMBER(AT73),AT73&gt;42,ISNUMBER(AS73),AS73&lt;0.02),"REVIEW — no progress after 6 weeks",IF(IF(F73="Short",AND(L73&lt;&gt;"",N(L73)&gt;0),AND(L73&lt;&gt;"",N(L73)&lt;0)),IF(F73="Short","REVIEW — back above 50-day avg","REVIEW — below 50-day avg"),"HOLD"))))),IF(OR(AP73="Closed",AP73="Dropped"),"Closed",IF(AK73="A",IF(F73="Short","Run Technical Review — SHORT entry","Run Technical Review — LONG entry"),IF(AK73="B","Watch — wait for setup","Drop or re-check next week")))))</f>
        <v/>
      </c>
      <c r="AV73" s="35"/>
      <c r="AX73" s="43" t="str">
        <f aca="false">IF(AND(C73&lt;&gt;"",A73=$C$4,ISNUMBER(AJ73)),AJ73+ROW()/100000,"")</f>
        <v/>
      </c>
    </row>
    <row r="74" customFormat="false" ht="15" hidden="false" customHeight="false" outlineLevel="0" collapsed="false">
      <c r="A74" s="19"/>
      <c r="B74" s="35"/>
      <c r="C74" s="35"/>
      <c r="D74" s="35"/>
      <c r="E74" s="35"/>
      <c r="F74" s="35"/>
      <c r="G74" s="26"/>
      <c r="H74" s="26"/>
      <c r="I74" s="36"/>
      <c r="J74" s="37" t="str">
        <f aca="false">IF(OR(G74="",I74=""),"",G74*I74/1000000)</f>
        <v/>
      </c>
      <c r="K74" s="21"/>
      <c r="L74" s="21"/>
      <c r="M74" s="21"/>
      <c r="N74" s="25"/>
      <c r="O74" s="21"/>
      <c r="P74" s="21"/>
      <c r="Q74" s="21"/>
      <c r="R74" s="21"/>
      <c r="S74" s="38"/>
      <c r="T74" s="21"/>
      <c r="U74" s="21"/>
      <c r="V74" s="19"/>
      <c r="W74" s="26"/>
      <c r="X74" s="35"/>
      <c r="Y74" s="26"/>
      <c r="Z74" s="26"/>
      <c r="AA74" s="26"/>
      <c r="AB74" s="16" t="str">
        <f aca="false">IF(C74="","",IF(F74="Short",(AND(M74&lt;&gt;"",N(M74)&lt;0))+(AND(L74&lt;&gt;"",N(L74)&lt;0))+(AND(K74&lt;&gt;"",N(K74)&lt;0))+AND(L74&lt;&gt;"",M74&lt;&gt;"",N(M74)&lt;N(L74)),(N(M74)&gt;0)+(N(L74)&gt;0)+(N(K74)&gt;0)+AND(L74&lt;&gt;"",M74&lt;&gt;"",N(M74)&gt;N(L74))))</f>
        <v/>
      </c>
      <c r="AC74" s="16" t="str">
        <f aca="false">IF(C74="","",IF(F74="Short",IF(N74="",0,IF(AND(N74&gt;=30,N74&lt;=50),2,IF(OR(AND(N74&gt;=25,N74&lt;30),AND(N74&gt;50,N74&lt;=60)),1,0)))+IF(P74="",0,IF(AND(IF(B74="JSE",$L$5,$L$4)&lt;&gt;"",P74&lt;IF(B74="JSE",$L$5,$L$4)),2,IF(P74&lt;0,1,0))),IF(N74="",0,IF(AND(N74&gt;=50,N74&lt;=70),2,IF(OR(AND(N74&gt;=40,N74&lt;50),AND(N74&gt;70,N74&lt;=75)),1,0)))+IF(P74="",0,IF(AND(IF(B74="JSE",$L$5,$L$4)&lt;&gt;"",P74&gt;IF(B74="JSE",$L$5,$L$4)),2,IF(P74&gt;0,1,0)))))</f>
        <v/>
      </c>
      <c r="AD74" s="16" t="str">
        <f aca="false">IF(C74="","",IF(F74="Short",IF(R74="",0,IF(R74&lt;=0.1,2,IF(R74&lt;=0.25,1,0))),IF(Q74="",0,IF(Q74&gt;=-0.1,2,IF(Q74&gt;=-0.25,1,0)))))</f>
        <v/>
      </c>
      <c r="AE74" s="16" t="str">
        <f aca="false">IF(C74="","",IF(J74="",0,IF(J74&gt;=IF(B74="JSE",$L$7,$L$6),2,IF(J74&gt;=IF(B74="JSE",$L$7,$L$6)/4,1,0))))</f>
        <v/>
      </c>
      <c r="AF74" s="16" t="str">
        <f aca="false">IF(C74="","",IF(F74="Short",AND(T74&lt;&gt;"",N(T74)&lt;0),N(T74)&gt;0)+(N(S74)&gt;=1.5))</f>
        <v/>
      </c>
      <c r="AG74" s="16" t="str">
        <f aca="false">IF(C74="","",IF(AL74="",0,IF(AL74&gt;=3,4,IF(AL74&gt;=2,2,0))))</f>
        <v/>
      </c>
      <c r="AH74" s="16" t="str">
        <f aca="false">IF(C74="","",IF(AND(ISNUMBER(V74),ISNUMBER(A74),V74&gt;=A74,V74-A74&lt;=14),-2,0))</f>
        <v/>
      </c>
      <c r="AI74" s="16" t="str">
        <f aca="false">IF(C74="","",IF(AND(F74="Short",N(U74)&gt;=0.2),-1,0))</f>
        <v/>
      </c>
      <c r="AJ74" s="23" t="str">
        <f aca="false">IF(C74="","",SUM(AB74:AI74))</f>
        <v/>
      </c>
      <c r="AK74" s="24" t="str">
        <f aca="false">IF(C74="","",IF(AJ74&gt;=14,"A",IF(AJ74&gt;=10,"B","C")))</f>
        <v/>
      </c>
      <c r="AL74" s="39" t="str">
        <f aca="false">IFERROR(IF(OR(Y74="",Z74="",AA74=""),"",IF(F74="Short",IF(Z74&lt;=Y74,"",(Y74-AA74)/(Z74-Y74)),IF(Y74&lt;=Z74,"",(AA74-Y74)/(Y74-Z74)))),"")</f>
        <v/>
      </c>
      <c r="AM74" s="37" t="str">
        <f aca="false">IF(OR(Y74="",Z74="",N(Y74)=N(Z74)),"",IF(OR(AND(F74="Short",Z74&lt;Y74),AND(NOT(F74="Short"),Z74&gt;Y74)),"stop on wrong side",ABS(Y74-Z74)))</f>
        <v/>
      </c>
      <c r="AN74" s="40" t="str">
        <f aca="false">IFERROR(IF(OR(NOT(ISNUMBER(AM74)),$C$6=""),"",ROUNDDOWN($C$6*$C$7/AM74,2)),"")</f>
        <v/>
      </c>
      <c r="AO74" s="37" t="str">
        <f aca="false">IFERROR(IF(AN74="","",AN74*Y74),"")</f>
        <v/>
      </c>
      <c r="AP74" s="35"/>
      <c r="AQ74" s="19"/>
      <c r="AR74" s="26"/>
      <c r="AS74" s="41" t="str">
        <f aca="false">IFERROR(IF(OR(AR74="",Y74="",AQ74=""),"",IF(F74="Short",1-AR74/Y74,AR74/Y74-1)),"")</f>
        <v/>
      </c>
      <c r="AT74" s="42" t="str">
        <f aca="true">IF(AQ74="","",IF(ISNUMBER($C$4),$C$4,TODAY())-AQ74)</f>
        <v/>
      </c>
      <c r="AU74" s="14" t="str">
        <f aca="false">IF(C74="","",IF(AP74="Open position",IF(IF(F74="Short",AND(ISNUMBER(AR74),ISNUMBER(Z74),AR74&gt;=Z74),AND(ISNUMBER(AR74),ISNUMBER(Z74),AR74&lt;=Z74)),IF(F74="Short","COVER — stop hit (buy back)","SELL — stop hit"),IF(IF(F74="Short",AND(ISNUMBER(AR74),ISNUMBER(AA74),AR74&lt;=AA74),AND(ISNUMBER(AR74),ISNUMBER(AA74),AR74&gt;=AA74)),"TAKE PROFIT — target hit",IF(AND(ISNUMBER(AT74),AT74&gt;182),IF(F74="Short","COVER — 6-month time limit","SELL — 6-month time limit"),IF(AND(ISNUMBER(AT74),AT74&gt;42,ISNUMBER(AS74),AS74&lt;0.02),"REVIEW — no progress after 6 weeks",IF(IF(F74="Short",AND(L74&lt;&gt;"",N(L74)&gt;0),AND(L74&lt;&gt;"",N(L74)&lt;0)),IF(F74="Short","REVIEW — back above 50-day avg","REVIEW — below 50-day avg"),"HOLD"))))),IF(OR(AP74="Closed",AP74="Dropped"),"Closed",IF(AK74="A",IF(F74="Short","Run Technical Review — SHORT entry","Run Technical Review — LONG entry"),IF(AK74="B","Watch — wait for setup","Drop or re-check next week")))))</f>
        <v/>
      </c>
      <c r="AV74" s="35"/>
      <c r="AX74" s="43" t="str">
        <f aca="false">IF(AND(C74&lt;&gt;"",A74=$C$4,ISNUMBER(AJ74)),AJ74+ROW()/100000,"")</f>
        <v/>
      </c>
    </row>
    <row r="75" customFormat="false" ht="15" hidden="false" customHeight="false" outlineLevel="0" collapsed="false">
      <c r="A75" s="19"/>
      <c r="B75" s="35"/>
      <c r="C75" s="35"/>
      <c r="D75" s="35"/>
      <c r="E75" s="35"/>
      <c r="F75" s="35"/>
      <c r="G75" s="26"/>
      <c r="H75" s="26"/>
      <c r="I75" s="36"/>
      <c r="J75" s="37" t="str">
        <f aca="false">IF(OR(G75="",I75=""),"",G75*I75/1000000)</f>
        <v/>
      </c>
      <c r="K75" s="21"/>
      <c r="L75" s="21"/>
      <c r="M75" s="21"/>
      <c r="N75" s="25"/>
      <c r="O75" s="21"/>
      <c r="P75" s="21"/>
      <c r="Q75" s="21"/>
      <c r="R75" s="21"/>
      <c r="S75" s="38"/>
      <c r="T75" s="21"/>
      <c r="U75" s="21"/>
      <c r="V75" s="19"/>
      <c r="W75" s="26"/>
      <c r="X75" s="35"/>
      <c r="Y75" s="26"/>
      <c r="Z75" s="26"/>
      <c r="AA75" s="26"/>
      <c r="AB75" s="16" t="str">
        <f aca="false">IF(C75="","",IF(F75="Short",(AND(M75&lt;&gt;"",N(M75)&lt;0))+(AND(L75&lt;&gt;"",N(L75)&lt;0))+(AND(K75&lt;&gt;"",N(K75)&lt;0))+AND(L75&lt;&gt;"",M75&lt;&gt;"",N(M75)&lt;N(L75)),(N(M75)&gt;0)+(N(L75)&gt;0)+(N(K75)&gt;0)+AND(L75&lt;&gt;"",M75&lt;&gt;"",N(M75)&gt;N(L75))))</f>
        <v/>
      </c>
      <c r="AC75" s="16" t="str">
        <f aca="false">IF(C75="","",IF(F75="Short",IF(N75="",0,IF(AND(N75&gt;=30,N75&lt;=50),2,IF(OR(AND(N75&gt;=25,N75&lt;30),AND(N75&gt;50,N75&lt;=60)),1,0)))+IF(P75="",0,IF(AND(IF(B75="JSE",$L$5,$L$4)&lt;&gt;"",P75&lt;IF(B75="JSE",$L$5,$L$4)),2,IF(P75&lt;0,1,0))),IF(N75="",0,IF(AND(N75&gt;=50,N75&lt;=70),2,IF(OR(AND(N75&gt;=40,N75&lt;50),AND(N75&gt;70,N75&lt;=75)),1,0)))+IF(P75="",0,IF(AND(IF(B75="JSE",$L$5,$L$4)&lt;&gt;"",P75&gt;IF(B75="JSE",$L$5,$L$4)),2,IF(P75&gt;0,1,0)))))</f>
        <v/>
      </c>
      <c r="AD75" s="16" t="str">
        <f aca="false">IF(C75="","",IF(F75="Short",IF(R75="",0,IF(R75&lt;=0.1,2,IF(R75&lt;=0.25,1,0))),IF(Q75="",0,IF(Q75&gt;=-0.1,2,IF(Q75&gt;=-0.25,1,0)))))</f>
        <v/>
      </c>
      <c r="AE75" s="16" t="str">
        <f aca="false">IF(C75="","",IF(J75="",0,IF(J75&gt;=IF(B75="JSE",$L$7,$L$6),2,IF(J75&gt;=IF(B75="JSE",$L$7,$L$6)/4,1,0))))</f>
        <v/>
      </c>
      <c r="AF75" s="16" t="str">
        <f aca="false">IF(C75="","",IF(F75="Short",AND(T75&lt;&gt;"",N(T75)&lt;0),N(T75)&gt;0)+(N(S75)&gt;=1.5))</f>
        <v/>
      </c>
      <c r="AG75" s="16" t="str">
        <f aca="false">IF(C75="","",IF(AL75="",0,IF(AL75&gt;=3,4,IF(AL75&gt;=2,2,0))))</f>
        <v/>
      </c>
      <c r="AH75" s="16" t="str">
        <f aca="false">IF(C75="","",IF(AND(ISNUMBER(V75),ISNUMBER(A75),V75&gt;=A75,V75-A75&lt;=14),-2,0))</f>
        <v/>
      </c>
      <c r="AI75" s="16" t="str">
        <f aca="false">IF(C75="","",IF(AND(F75="Short",N(U75)&gt;=0.2),-1,0))</f>
        <v/>
      </c>
      <c r="AJ75" s="23" t="str">
        <f aca="false">IF(C75="","",SUM(AB75:AI75))</f>
        <v/>
      </c>
      <c r="AK75" s="24" t="str">
        <f aca="false">IF(C75="","",IF(AJ75&gt;=14,"A",IF(AJ75&gt;=10,"B","C")))</f>
        <v/>
      </c>
      <c r="AL75" s="39" t="str">
        <f aca="false">IFERROR(IF(OR(Y75="",Z75="",AA75=""),"",IF(F75="Short",IF(Z75&lt;=Y75,"",(Y75-AA75)/(Z75-Y75)),IF(Y75&lt;=Z75,"",(AA75-Y75)/(Y75-Z75)))),"")</f>
        <v/>
      </c>
      <c r="AM75" s="37" t="str">
        <f aca="false">IF(OR(Y75="",Z75="",N(Y75)=N(Z75)),"",IF(OR(AND(F75="Short",Z75&lt;Y75),AND(NOT(F75="Short"),Z75&gt;Y75)),"stop on wrong side",ABS(Y75-Z75)))</f>
        <v/>
      </c>
      <c r="AN75" s="40" t="str">
        <f aca="false">IFERROR(IF(OR(NOT(ISNUMBER(AM75)),$C$6=""),"",ROUNDDOWN($C$6*$C$7/AM75,2)),"")</f>
        <v/>
      </c>
      <c r="AO75" s="37" t="str">
        <f aca="false">IFERROR(IF(AN75="","",AN75*Y75),"")</f>
        <v/>
      </c>
      <c r="AP75" s="35"/>
      <c r="AQ75" s="19"/>
      <c r="AR75" s="26"/>
      <c r="AS75" s="41" t="str">
        <f aca="false">IFERROR(IF(OR(AR75="",Y75="",AQ75=""),"",IF(F75="Short",1-AR75/Y75,AR75/Y75-1)),"")</f>
        <v/>
      </c>
      <c r="AT75" s="42" t="str">
        <f aca="true">IF(AQ75="","",IF(ISNUMBER($C$4),$C$4,TODAY())-AQ75)</f>
        <v/>
      </c>
      <c r="AU75" s="14" t="str">
        <f aca="false">IF(C75="","",IF(AP75="Open position",IF(IF(F75="Short",AND(ISNUMBER(AR75),ISNUMBER(Z75),AR75&gt;=Z75),AND(ISNUMBER(AR75),ISNUMBER(Z75),AR75&lt;=Z75)),IF(F75="Short","COVER — stop hit (buy back)","SELL — stop hit"),IF(IF(F75="Short",AND(ISNUMBER(AR75),ISNUMBER(AA75),AR75&lt;=AA75),AND(ISNUMBER(AR75),ISNUMBER(AA75),AR75&gt;=AA75)),"TAKE PROFIT — target hit",IF(AND(ISNUMBER(AT75),AT75&gt;182),IF(F75="Short","COVER — 6-month time limit","SELL — 6-month time limit"),IF(AND(ISNUMBER(AT75),AT75&gt;42,ISNUMBER(AS75),AS75&lt;0.02),"REVIEW — no progress after 6 weeks",IF(IF(F75="Short",AND(L75&lt;&gt;"",N(L75)&gt;0),AND(L75&lt;&gt;"",N(L75)&lt;0)),IF(F75="Short","REVIEW — back above 50-day avg","REVIEW — below 50-day avg"),"HOLD"))))),IF(OR(AP75="Closed",AP75="Dropped"),"Closed",IF(AK75="A",IF(F75="Short","Run Technical Review — SHORT entry","Run Technical Review — LONG entry"),IF(AK75="B","Watch — wait for setup","Drop or re-check next week")))))</f>
        <v/>
      </c>
      <c r="AV75" s="35"/>
      <c r="AX75" s="43" t="str">
        <f aca="false">IF(AND(C75&lt;&gt;"",A75=$C$4,ISNUMBER(AJ75)),AJ75+ROW()/100000,"")</f>
        <v/>
      </c>
    </row>
    <row r="76" customFormat="false" ht="15" hidden="false" customHeight="false" outlineLevel="0" collapsed="false">
      <c r="A76" s="19"/>
      <c r="B76" s="35"/>
      <c r="C76" s="35"/>
      <c r="D76" s="35"/>
      <c r="E76" s="35"/>
      <c r="F76" s="35"/>
      <c r="G76" s="26"/>
      <c r="H76" s="26"/>
      <c r="I76" s="36"/>
      <c r="J76" s="37" t="str">
        <f aca="false">IF(OR(G76="",I76=""),"",G76*I76/1000000)</f>
        <v/>
      </c>
      <c r="K76" s="21"/>
      <c r="L76" s="21"/>
      <c r="M76" s="21"/>
      <c r="N76" s="25"/>
      <c r="O76" s="21"/>
      <c r="P76" s="21"/>
      <c r="Q76" s="21"/>
      <c r="R76" s="21"/>
      <c r="S76" s="38"/>
      <c r="T76" s="21"/>
      <c r="U76" s="21"/>
      <c r="V76" s="19"/>
      <c r="W76" s="26"/>
      <c r="X76" s="35"/>
      <c r="Y76" s="26"/>
      <c r="Z76" s="26"/>
      <c r="AA76" s="26"/>
      <c r="AB76" s="16" t="str">
        <f aca="false">IF(C76="","",IF(F76="Short",(AND(M76&lt;&gt;"",N(M76)&lt;0))+(AND(L76&lt;&gt;"",N(L76)&lt;0))+(AND(K76&lt;&gt;"",N(K76)&lt;0))+AND(L76&lt;&gt;"",M76&lt;&gt;"",N(M76)&lt;N(L76)),(N(M76)&gt;0)+(N(L76)&gt;0)+(N(K76)&gt;0)+AND(L76&lt;&gt;"",M76&lt;&gt;"",N(M76)&gt;N(L76))))</f>
        <v/>
      </c>
      <c r="AC76" s="16" t="str">
        <f aca="false">IF(C76="","",IF(F76="Short",IF(N76="",0,IF(AND(N76&gt;=30,N76&lt;=50),2,IF(OR(AND(N76&gt;=25,N76&lt;30),AND(N76&gt;50,N76&lt;=60)),1,0)))+IF(P76="",0,IF(AND(IF(B76="JSE",$L$5,$L$4)&lt;&gt;"",P76&lt;IF(B76="JSE",$L$5,$L$4)),2,IF(P76&lt;0,1,0))),IF(N76="",0,IF(AND(N76&gt;=50,N76&lt;=70),2,IF(OR(AND(N76&gt;=40,N76&lt;50),AND(N76&gt;70,N76&lt;=75)),1,0)))+IF(P76="",0,IF(AND(IF(B76="JSE",$L$5,$L$4)&lt;&gt;"",P76&gt;IF(B76="JSE",$L$5,$L$4)),2,IF(P76&gt;0,1,0)))))</f>
        <v/>
      </c>
      <c r="AD76" s="16" t="str">
        <f aca="false">IF(C76="","",IF(F76="Short",IF(R76="",0,IF(R76&lt;=0.1,2,IF(R76&lt;=0.25,1,0))),IF(Q76="",0,IF(Q76&gt;=-0.1,2,IF(Q76&gt;=-0.25,1,0)))))</f>
        <v/>
      </c>
      <c r="AE76" s="16" t="str">
        <f aca="false">IF(C76="","",IF(J76="",0,IF(J76&gt;=IF(B76="JSE",$L$7,$L$6),2,IF(J76&gt;=IF(B76="JSE",$L$7,$L$6)/4,1,0))))</f>
        <v/>
      </c>
      <c r="AF76" s="16" t="str">
        <f aca="false">IF(C76="","",IF(F76="Short",AND(T76&lt;&gt;"",N(T76)&lt;0),N(T76)&gt;0)+(N(S76)&gt;=1.5))</f>
        <v/>
      </c>
      <c r="AG76" s="16" t="str">
        <f aca="false">IF(C76="","",IF(AL76="",0,IF(AL76&gt;=3,4,IF(AL76&gt;=2,2,0))))</f>
        <v/>
      </c>
      <c r="AH76" s="16" t="str">
        <f aca="false">IF(C76="","",IF(AND(ISNUMBER(V76),ISNUMBER(A76),V76&gt;=A76,V76-A76&lt;=14),-2,0))</f>
        <v/>
      </c>
      <c r="AI76" s="16" t="str">
        <f aca="false">IF(C76="","",IF(AND(F76="Short",N(U76)&gt;=0.2),-1,0))</f>
        <v/>
      </c>
      <c r="AJ76" s="23" t="str">
        <f aca="false">IF(C76="","",SUM(AB76:AI76))</f>
        <v/>
      </c>
      <c r="AK76" s="24" t="str">
        <f aca="false">IF(C76="","",IF(AJ76&gt;=14,"A",IF(AJ76&gt;=10,"B","C")))</f>
        <v/>
      </c>
      <c r="AL76" s="39" t="str">
        <f aca="false">IFERROR(IF(OR(Y76="",Z76="",AA76=""),"",IF(F76="Short",IF(Z76&lt;=Y76,"",(Y76-AA76)/(Z76-Y76)),IF(Y76&lt;=Z76,"",(AA76-Y76)/(Y76-Z76)))),"")</f>
        <v/>
      </c>
      <c r="AM76" s="37" t="str">
        <f aca="false">IF(OR(Y76="",Z76="",N(Y76)=N(Z76)),"",IF(OR(AND(F76="Short",Z76&lt;Y76),AND(NOT(F76="Short"),Z76&gt;Y76)),"stop on wrong side",ABS(Y76-Z76)))</f>
        <v/>
      </c>
      <c r="AN76" s="40" t="str">
        <f aca="false">IFERROR(IF(OR(NOT(ISNUMBER(AM76)),$C$6=""),"",ROUNDDOWN($C$6*$C$7/AM76,2)),"")</f>
        <v/>
      </c>
      <c r="AO76" s="37" t="str">
        <f aca="false">IFERROR(IF(AN76="","",AN76*Y76),"")</f>
        <v/>
      </c>
      <c r="AP76" s="35"/>
      <c r="AQ76" s="19"/>
      <c r="AR76" s="26"/>
      <c r="AS76" s="41" t="str">
        <f aca="false">IFERROR(IF(OR(AR76="",Y76="",AQ76=""),"",IF(F76="Short",1-AR76/Y76,AR76/Y76-1)),"")</f>
        <v/>
      </c>
      <c r="AT76" s="42" t="str">
        <f aca="true">IF(AQ76="","",IF(ISNUMBER($C$4),$C$4,TODAY())-AQ76)</f>
        <v/>
      </c>
      <c r="AU76" s="14" t="str">
        <f aca="false">IF(C76="","",IF(AP76="Open position",IF(IF(F76="Short",AND(ISNUMBER(AR76),ISNUMBER(Z76),AR76&gt;=Z76),AND(ISNUMBER(AR76),ISNUMBER(Z76),AR76&lt;=Z76)),IF(F76="Short","COVER — stop hit (buy back)","SELL — stop hit"),IF(IF(F76="Short",AND(ISNUMBER(AR76),ISNUMBER(AA76),AR76&lt;=AA76),AND(ISNUMBER(AR76),ISNUMBER(AA76),AR76&gt;=AA76)),"TAKE PROFIT — target hit",IF(AND(ISNUMBER(AT76),AT76&gt;182),IF(F76="Short","COVER — 6-month time limit","SELL — 6-month time limit"),IF(AND(ISNUMBER(AT76),AT76&gt;42,ISNUMBER(AS76),AS76&lt;0.02),"REVIEW — no progress after 6 weeks",IF(IF(F76="Short",AND(L76&lt;&gt;"",N(L76)&gt;0),AND(L76&lt;&gt;"",N(L76)&lt;0)),IF(F76="Short","REVIEW — back above 50-day avg","REVIEW — below 50-day avg"),"HOLD"))))),IF(OR(AP76="Closed",AP76="Dropped"),"Closed",IF(AK76="A",IF(F76="Short","Run Technical Review — SHORT entry","Run Technical Review — LONG entry"),IF(AK76="B","Watch — wait for setup","Drop or re-check next week")))))</f>
        <v/>
      </c>
      <c r="AV76" s="35"/>
      <c r="AX76" s="43" t="str">
        <f aca="false">IF(AND(C76&lt;&gt;"",A76=$C$4,ISNUMBER(AJ76)),AJ76+ROW()/100000,"")</f>
        <v/>
      </c>
    </row>
    <row r="77" customFormat="false" ht="15" hidden="false" customHeight="false" outlineLevel="0" collapsed="false">
      <c r="A77" s="19"/>
      <c r="B77" s="35"/>
      <c r="C77" s="35"/>
      <c r="D77" s="35"/>
      <c r="E77" s="35"/>
      <c r="F77" s="35"/>
      <c r="G77" s="26"/>
      <c r="H77" s="26"/>
      <c r="I77" s="36"/>
      <c r="J77" s="37" t="str">
        <f aca="false">IF(OR(G77="",I77=""),"",G77*I77/1000000)</f>
        <v/>
      </c>
      <c r="K77" s="21"/>
      <c r="L77" s="21"/>
      <c r="M77" s="21"/>
      <c r="N77" s="25"/>
      <c r="O77" s="21"/>
      <c r="P77" s="21"/>
      <c r="Q77" s="21"/>
      <c r="R77" s="21"/>
      <c r="S77" s="38"/>
      <c r="T77" s="21"/>
      <c r="U77" s="21"/>
      <c r="V77" s="19"/>
      <c r="W77" s="26"/>
      <c r="X77" s="35"/>
      <c r="Y77" s="26"/>
      <c r="Z77" s="26"/>
      <c r="AA77" s="26"/>
      <c r="AB77" s="16" t="str">
        <f aca="false">IF(C77="","",IF(F77="Short",(AND(M77&lt;&gt;"",N(M77)&lt;0))+(AND(L77&lt;&gt;"",N(L77)&lt;0))+(AND(K77&lt;&gt;"",N(K77)&lt;0))+AND(L77&lt;&gt;"",M77&lt;&gt;"",N(M77)&lt;N(L77)),(N(M77)&gt;0)+(N(L77)&gt;0)+(N(K77)&gt;0)+AND(L77&lt;&gt;"",M77&lt;&gt;"",N(M77)&gt;N(L77))))</f>
        <v/>
      </c>
      <c r="AC77" s="16" t="str">
        <f aca="false">IF(C77="","",IF(F77="Short",IF(N77="",0,IF(AND(N77&gt;=30,N77&lt;=50),2,IF(OR(AND(N77&gt;=25,N77&lt;30),AND(N77&gt;50,N77&lt;=60)),1,0)))+IF(P77="",0,IF(AND(IF(B77="JSE",$L$5,$L$4)&lt;&gt;"",P77&lt;IF(B77="JSE",$L$5,$L$4)),2,IF(P77&lt;0,1,0))),IF(N77="",0,IF(AND(N77&gt;=50,N77&lt;=70),2,IF(OR(AND(N77&gt;=40,N77&lt;50),AND(N77&gt;70,N77&lt;=75)),1,0)))+IF(P77="",0,IF(AND(IF(B77="JSE",$L$5,$L$4)&lt;&gt;"",P77&gt;IF(B77="JSE",$L$5,$L$4)),2,IF(P77&gt;0,1,0)))))</f>
        <v/>
      </c>
      <c r="AD77" s="16" t="str">
        <f aca="false">IF(C77="","",IF(F77="Short",IF(R77="",0,IF(R77&lt;=0.1,2,IF(R77&lt;=0.25,1,0))),IF(Q77="",0,IF(Q77&gt;=-0.1,2,IF(Q77&gt;=-0.25,1,0)))))</f>
        <v/>
      </c>
      <c r="AE77" s="16" t="str">
        <f aca="false">IF(C77="","",IF(J77="",0,IF(J77&gt;=IF(B77="JSE",$L$7,$L$6),2,IF(J77&gt;=IF(B77="JSE",$L$7,$L$6)/4,1,0))))</f>
        <v/>
      </c>
      <c r="AF77" s="16" t="str">
        <f aca="false">IF(C77="","",IF(F77="Short",AND(T77&lt;&gt;"",N(T77)&lt;0),N(T77)&gt;0)+(N(S77)&gt;=1.5))</f>
        <v/>
      </c>
      <c r="AG77" s="16" t="str">
        <f aca="false">IF(C77="","",IF(AL77="",0,IF(AL77&gt;=3,4,IF(AL77&gt;=2,2,0))))</f>
        <v/>
      </c>
      <c r="AH77" s="16" t="str">
        <f aca="false">IF(C77="","",IF(AND(ISNUMBER(V77),ISNUMBER(A77),V77&gt;=A77,V77-A77&lt;=14),-2,0))</f>
        <v/>
      </c>
      <c r="AI77" s="16" t="str">
        <f aca="false">IF(C77="","",IF(AND(F77="Short",N(U77)&gt;=0.2),-1,0))</f>
        <v/>
      </c>
      <c r="AJ77" s="23" t="str">
        <f aca="false">IF(C77="","",SUM(AB77:AI77))</f>
        <v/>
      </c>
      <c r="AK77" s="24" t="str">
        <f aca="false">IF(C77="","",IF(AJ77&gt;=14,"A",IF(AJ77&gt;=10,"B","C")))</f>
        <v/>
      </c>
      <c r="AL77" s="39" t="str">
        <f aca="false">IFERROR(IF(OR(Y77="",Z77="",AA77=""),"",IF(F77="Short",IF(Z77&lt;=Y77,"",(Y77-AA77)/(Z77-Y77)),IF(Y77&lt;=Z77,"",(AA77-Y77)/(Y77-Z77)))),"")</f>
        <v/>
      </c>
      <c r="AM77" s="37" t="str">
        <f aca="false">IF(OR(Y77="",Z77="",N(Y77)=N(Z77)),"",IF(OR(AND(F77="Short",Z77&lt;Y77),AND(NOT(F77="Short"),Z77&gt;Y77)),"stop on wrong side",ABS(Y77-Z77)))</f>
        <v/>
      </c>
      <c r="AN77" s="40" t="str">
        <f aca="false">IFERROR(IF(OR(NOT(ISNUMBER(AM77)),$C$6=""),"",ROUNDDOWN($C$6*$C$7/AM77,2)),"")</f>
        <v/>
      </c>
      <c r="AO77" s="37" t="str">
        <f aca="false">IFERROR(IF(AN77="","",AN77*Y77),"")</f>
        <v/>
      </c>
      <c r="AP77" s="35"/>
      <c r="AQ77" s="19"/>
      <c r="AR77" s="26"/>
      <c r="AS77" s="41" t="str">
        <f aca="false">IFERROR(IF(OR(AR77="",Y77="",AQ77=""),"",IF(F77="Short",1-AR77/Y77,AR77/Y77-1)),"")</f>
        <v/>
      </c>
      <c r="AT77" s="42" t="str">
        <f aca="true">IF(AQ77="","",IF(ISNUMBER($C$4),$C$4,TODAY())-AQ77)</f>
        <v/>
      </c>
      <c r="AU77" s="14" t="str">
        <f aca="false">IF(C77="","",IF(AP77="Open position",IF(IF(F77="Short",AND(ISNUMBER(AR77),ISNUMBER(Z77),AR77&gt;=Z77),AND(ISNUMBER(AR77),ISNUMBER(Z77),AR77&lt;=Z77)),IF(F77="Short","COVER — stop hit (buy back)","SELL — stop hit"),IF(IF(F77="Short",AND(ISNUMBER(AR77),ISNUMBER(AA77),AR77&lt;=AA77),AND(ISNUMBER(AR77),ISNUMBER(AA77),AR77&gt;=AA77)),"TAKE PROFIT — target hit",IF(AND(ISNUMBER(AT77),AT77&gt;182),IF(F77="Short","COVER — 6-month time limit","SELL — 6-month time limit"),IF(AND(ISNUMBER(AT77),AT77&gt;42,ISNUMBER(AS77),AS77&lt;0.02),"REVIEW — no progress after 6 weeks",IF(IF(F77="Short",AND(L77&lt;&gt;"",N(L77)&gt;0),AND(L77&lt;&gt;"",N(L77)&lt;0)),IF(F77="Short","REVIEW — back above 50-day avg","REVIEW — below 50-day avg"),"HOLD"))))),IF(OR(AP77="Closed",AP77="Dropped"),"Closed",IF(AK77="A",IF(F77="Short","Run Technical Review — SHORT entry","Run Technical Review — LONG entry"),IF(AK77="B","Watch — wait for setup","Drop or re-check next week")))))</f>
        <v/>
      </c>
      <c r="AV77" s="35"/>
      <c r="AX77" s="43" t="str">
        <f aca="false">IF(AND(C77&lt;&gt;"",A77=$C$4,ISNUMBER(AJ77)),AJ77+ROW()/100000,"")</f>
        <v/>
      </c>
    </row>
    <row r="78" customFormat="false" ht="15" hidden="false" customHeight="false" outlineLevel="0" collapsed="false">
      <c r="A78" s="19"/>
      <c r="B78" s="35"/>
      <c r="C78" s="35"/>
      <c r="D78" s="35"/>
      <c r="E78" s="35"/>
      <c r="F78" s="35"/>
      <c r="G78" s="26"/>
      <c r="H78" s="26"/>
      <c r="I78" s="36"/>
      <c r="J78" s="37" t="str">
        <f aca="false">IF(OR(G78="",I78=""),"",G78*I78/1000000)</f>
        <v/>
      </c>
      <c r="K78" s="21"/>
      <c r="L78" s="21"/>
      <c r="M78" s="21"/>
      <c r="N78" s="25"/>
      <c r="O78" s="21"/>
      <c r="P78" s="21"/>
      <c r="Q78" s="21"/>
      <c r="R78" s="21"/>
      <c r="S78" s="38"/>
      <c r="T78" s="21"/>
      <c r="U78" s="21"/>
      <c r="V78" s="19"/>
      <c r="W78" s="26"/>
      <c r="X78" s="35"/>
      <c r="Y78" s="26"/>
      <c r="Z78" s="26"/>
      <c r="AA78" s="26"/>
      <c r="AB78" s="16" t="str">
        <f aca="false">IF(C78="","",IF(F78="Short",(AND(M78&lt;&gt;"",N(M78)&lt;0))+(AND(L78&lt;&gt;"",N(L78)&lt;0))+(AND(K78&lt;&gt;"",N(K78)&lt;0))+AND(L78&lt;&gt;"",M78&lt;&gt;"",N(M78)&lt;N(L78)),(N(M78)&gt;0)+(N(L78)&gt;0)+(N(K78)&gt;0)+AND(L78&lt;&gt;"",M78&lt;&gt;"",N(M78)&gt;N(L78))))</f>
        <v/>
      </c>
      <c r="AC78" s="16" t="str">
        <f aca="false">IF(C78="","",IF(F78="Short",IF(N78="",0,IF(AND(N78&gt;=30,N78&lt;=50),2,IF(OR(AND(N78&gt;=25,N78&lt;30),AND(N78&gt;50,N78&lt;=60)),1,0)))+IF(P78="",0,IF(AND(IF(B78="JSE",$L$5,$L$4)&lt;&gt;"",P78&lt;IF(B78="JSE",$L$5,$L$4)),2,IF(P78&lt;0,1,0))),IF(N78="",0,IF(AND(N78&gt;=50,N78&lt;=70),2,IF(OR(AND(N78&gt;=40,N78&lt;50),AND(N78&gt;70,N78&lt;=75)),1,0)))+IF(P78="",0,IF(AND(IF(B78="JSE",$L$5,$L$4)&lt;&gt;"",P78&gt;IF(B78="JSE",$L$5,$L$4)),2,IF(P78&gt;0,1,0)))))</f>
        <v/>
      </c>
      <c r="AD78" s="16" t="str">
        <f aca="false">IF(C78="","",IF(F78="Short",IF(R78="",0,IF(R78&lt;=0.1,2,IF(R78&lt;=0.25,1,0))),IF(Q78="",0,IF(Q78&gt;=-0.1,2,IF(Q78&gt;=-0.25,1,0)))))</f>
        <v/>
      </c>
      <c r="AE78" s="16" t="str">
        <f aca="false">IF(C78="","",IF(J78="",0,IF(J78&gt;=IF(B78="JSE",$L$7,$L$6),2,IF(J78&gt;=IF(B78="JSE",$L$7,$L$6)/4,1,0))))</f>
        <v/>
      </c>
      <c r="AF78" s="16" t="str">
        <f aca="false">IF(C78="","",IF(F78="Short",AND(T78&lt;&gt;"",N(T78)&lt;0),N(T78)&gt;0)+(N(S78)&gt;=1.5))</f>
        <v/>
      </c>
      <c r="AG78" s="16" t="str">
        <f aca="false">IF(C78="","",IF(AL78="",0,IF(AL78&gt;=3,4,IF(AL78&gt;=2,2,0))))</f>
        <v/>
      </c>
      <c r="AH78" s="16" t="str">
        <f aca="false">IF(C78="","",IF(AND(ISNUMBER(V78),ISNUMBER(A78),V78&gt;=A78,V78-A78&lt;=14),-2,0))</f>
        <v/>
      </c>
      <c r="AI78" s="16" t="str">
        <f aca="false">IF(C78="","",IF(AND(F78="Short",N(U78)&gt;=0.2),-1,0))</f>
        <v/>
      </c>
      <c r="AJ78" s="23" t="str">
        <f aca="false">IF(C78="","",SUM(AB78:AI78))</f>
        <v/>
      </c>
      <c r="AK78" s="24" t="str">
        <f aca="false">IF(C78="","",IF(AJ78&gt;=14,"A",IF(AJ78&gt;=10,"B","C")))</f>
        <v/>
      </c>
      <c r="AL78" s="39" t="str">
        <f aca="false">IFERROR(IF(OR(Y78="",Z78="",AA78=""),"",IF(F78="Short",IF(Z78&lt;=Y78,"",(Y78-AA78)/(Z78-Y78)),IF(Y78&lt;=Z78,"",(AA78-Y78)/(Y78-Z78)))),"")</f>
        <v/>
      </c>
      <c r="AM78" s="37" t="str">
        <f aca="false">IF(OR(Y78="",Z78="",N(Y78)=N(Z78)),"",IF(OR(AND(F78="Short",Z78&lt;Y78),AND(NOT(F78="Short"),Z78&gt;Y78)),"stop on wrong side",ABS(Y78-Z78)))</f>
        <v/>
      </c>
      <c r="AN78" s="40" t="str">
        <f aca="false">IFERROR(IF(OR(NOT(ISNUMBER(AM78)),$C$6=""),"",ROUNDDOWN($C$6*$C$7/AM78,2)),"")</f>
        <v/>
      </c>
      <c r="AO78" s="37" t="str">
        <f aca="false">IFERROR(IF(AN78="","",AN78*Y78),"")</f>
        <v/>
      </c>
      <c r="AP78" s="35"/>
      <c r="AQ78" s="19"/>
      <c r="AR78" s="26"/>
      <c r="AS78" s="41" t="str">
        <f aca="false">IFERROR(IF(OR(AR78="",Y78="",AQ78=""),"",IF(F78="Short",1-AR78/Y78,AR78/Y78-1)),"")</f>
        <v/>
      </c>
      <c r="AT78" s="42" t="str">
        <f aca="true">IF(AQ78="","",IF(ISNUMBER($C$4),$C$4,TODAY())-AQ78)</f>
        <v/>
      </c>
      <c r="AU78" s="14" t="str">
        <f aca="false">IF(C78="","",IF(AP78="Open position",IF(IF(F78="Short",AND(ISNUMBER(AR78),ISNUMBER(Z78),AR78&gt;=Z78),AND(ISNUMBER(AR78),ISNUMBER(Z78),AR78&lt;=Z78)),IF(F78="Short","COVER — stop hit (buy back)","SELL — stop hit"),IF(IF(F78="Short",AND(ISNUMBER(AR78),ISNUMBER(AA78),AR78&lt;=AA78),AND(ISNUMBER(AR78),ISNUMBER(AA78),AR78&gt;=AA78)),"TAKE PROFIT — target hit",IF(AND(ISNUMBER(AT78),AT78&gt;182),IF(F78="Short","COVER — 6-month time limit","SELL — 6-month time limit"),IF(AND(ISNUMBER(AT78),AT78&gt;42,ISNUMBER(AS78),AS78&lt;0.02),"REVIEW — no progress after 6 weeks",IF(IF(F78="Short",AND(L78&lt;&gt;"",N(L78)&gt;0),AND(L78&lt;&gt;"",N(L78)&lt;0)),IF(F78="Short","REVIEW — back above 50-day avg","REVIEW — below 50-day avg"),"HOLD"))))),IF(OR(AP78="Closed",AP78="Dropped"),"Closed",IF(AK78="A",IF(F78="Short","Run Technical Review — SHORT entry","Run Technical Review — LONG entry"),IF(AK78="B","Watch — wait for setup","Drop or re-check next week")))))</f>
        <v/>
      </c>
      <c r="AV78" s="35"/>
      <c r="AX78" s="43" t="str">
        <f aca="false">IF(AND(C78&lt;&gt;"",A78=$C$4,ISNUMBER(AJ78)),AJ78+ROW()/100000,"")</f>
        <v/>
      </c>
    </row>
    <row r="79" customFormat="false" ht="15" hidden="false" customHeight="false" outlineLevel="0" collapsed="false">
      <c r="A79" s="19"/>
      <c r="B79" s="35"/>
      <c r="C79" s="35"/>
      <c r="D79" s="35"/>
      <c r="E79" s="35"/>
      <c r="F79" s="35"/>
      <c r="G79" s="26"/>
      <c r="H79" s="26"/>
      <c r="I79" s="36"/>
      <c r="J79" s="37" t="str">
        <f aca="false">IF(OR(G79="",I79=""),"",G79*I79/1000000)</f>
        <v/>
      </c>
      <c r="K79" s="21"/>
      <c r="L79" s="21"/>
      <c r="M79" s="21"/>
      <c r="N79" s="25"/>
      <c r="O79" s="21"/>
      <c r="P79" s="21"/>
      <c r="Q79" s="21"/>
      <c r="R79" s="21"/>
      <c r="S79" s="38"/>
      <c r="T79" s="21"/>
      <c r="U79" s="21"/>
      <c r="V79" s="19"/>
      <c r="W79" s="26"/>
      <c r="X79" s="35"/>
      <c r="Y79" s="26"/>
      <c r="Z79" s="26"/>
      <c r="AA79" s="26"/>
      <c r="AB79" s="16" t="str">
        <f aca="false">IF(C79="","",IF(F79="Short",(AND(M79&lt;&gt;"",N(M79)&lt;0))+(AND(L79&lt;&gt;"",N(L79)&lt;0))+(AND(K79&lt;&gt;"",N(K79)&lt;0))+AND(L79&lt;&gt;"",M79&lt;&gt;"",N(M79)&lt;N(L79)),(N(M79)&gt;0)+(N(L79)&gt;0)+(N(K79)&gt;0)+AND(L79&lt;&gt;"",M79&lt;&gt;"",N(M79)&gt;N(L79))))</f>
        <v/>
      </c>
      <c r="AC79" s="16" t="str">
        <f aca="false">IF(C79="","",IF(F79="Short",IF(N79="",0,IF(AND(N79&gt;=30,N79&lt;=50),2,IF(OR(AND(N79&gt;=25,N79&lt;30),AND(N79&gt;50,N79&lt;=60)),1,0)))+IF(P79="",0,IF(AND(IF(B79="JSE",$L$5,$L$4)&lt;&gt;"",P79&lt;IF(B79="JSE",$L$5,$L$4)),2,IF(P79&lt;0,1,0))),IF(N79="",0,IF(AND(N79&gt;=50,N79&lt;=70),2,IF(OR(AND(N79&gt;=40,N79&lt;50),AND(N79&gt;70,N79&lt;=75)),1,0)))+IF(P79="",0,IF(AND(IF(B79="JSE",$L$5,$L$4)&lt;&gt;"",P79&gt;IF(B79="JSE",$L$5,$L$4)),2,IF(P79&gt;0,1,0)))))</f>
        <v/>
      </c>
      <c r="AD79" s="16" t="str">
        <f aca="false">IF(C79="","",IF(F79="Short",IF(R79="",0,IF(R79&lt;=0.1,2,IF(R79&lt;=0.25,1,0))),IF(Q79="",0,IF(Q79&gt;=-0.1,2,IF(Q79&gt;=-0.25,1,0)))))</f>
        <v/>
      </c>
      <c r="AE79" s="16" t="str">
        <f aca="false">IF(C79="","",IF(J79="",0,IF(J79&gt;=IF(B79="JSE",$L$7,$L$6),2,IF(J79&gt;=IF(B79="JSE",$L$7,$L$6)/4,1,0))))</f>
        <v/>
      </c>
      <c r="AF79" s="16" t="str">
        <f aca="false">IF(C79="","",IF(F79="Short",AND(T79&lt;&gt;"",N(T79)&lt;0),N(T79)&gt;0)+(N(S79)&gt;=1.5))</f>
        <v/>
      </c>
      <c r="AG79" s="16" t="str">
        <f aca="false">IF(C79="","",IF(AL79="",0,IF(AL79&gt;=3,4,IF(AL79&gt;=2,2,0))))</f>
        <v/>
      </c>
      <c r="AH79" s="16" t="str">
        <f aca="false">IF(C79="","",IF(AND(ISNUMBER(V79),ISNUMBER(A79),V79&gt;=A79,V79-A79&lt;=14),-2,0))</f>
        <v/>
      </c>
      <c r="AI79" s="16" t="str">
        <f aca="false">IF(C79="","",IF(AND(F79="Short",N(U79)&gt;=0.2),-1,0))</f>
        <v/>
      </c>
      <c r="AJ79" s="23" t="str">
        <f aca="false">IF(C79="","",SUM(AB79:AI79))</f>
        <v/>
      </c>
      <c r="AK79" s="24" t="str">
        <f aca="false">IF(C79="","",IF(AJ79&gt;=14,"A",IF(AJ79&gt;=10,"B","C")))</f>
        <v/>
      </c>
      <c r="AL79" s="39" t="str">
        <f aca="false">IFERROR(IF(OR(Y79="",Z79="",AA79=""),"",IF(F79="Short",IF(Z79&lt;=Y79,"",(Y79-AA79)/(Z79-Y79)),IF(Y79&lt;=Z79,"",(AA79-Y79)/(Y79-Z79)))),"")</f>
        <v/>
      </c>
      <c r="AM79" s="37" t="str">
        <f aca="false">IF(OR(Y79="",Z79="",N(Y79)=N(Z79)),"",IF(OR(AND(F79="Short",Z79&lt;Y79),AND(NOT(F79="Short"),Z79&gt;Y79)),"stop on wrong side",ABS(Y79-Z79)))</f>
        <v/>
      </c>
      <c r="AN79" s="40" t="str">
        <f aca="false">IFERROR(IF(OR(NOT(ISNUMBER(AM79)),$C$6=""),"",ROUNDDOWN($C$6*$C$7/AM79,2)),"")</f>
        <v/>
      </c>
      <c r="AO79" s="37" t="str">
        <f aca="false">IFERROR(IF(AN79="","",AN79*Y79),"")</f>
        <v/>
      </c>
      <c r="AP79" s="35"/>
      <c r="AQ79" s="19"/>
      <c r="AR79" s="26"/>
      <c r="AS79" s="41" t="str">
        <f aca="false">IFERROR(IF(OR(AR79="",Y79="",AQ79=""),"",IF(F79="Short",1-AR79/Y79,AR79/Y79-1)),"")</f>
        <v/>
      </c>
      <c r="AT79" s="42" t="str">
        <f aca="true">IF(AQ79="","",IF(ISNUMBER($C$4),$C$4,TODAY())-AQ79)</f>
        <v/>
      </c>
      <c r="AU79" s="14" t="str">
        <f aca="false">IF(C79="","",IF(AP79="Open position",IF(IF(F79="Short",AND(ISNUMBER(AR79),ISNUMBER(Z79),AR79&gt;=Z79),AND(ISNUMBER(AR79),ISNUMBER(Z79),AR79&lt;=Z79)),IF(F79="Short","COVER — stop hit (buy back)","SELL — stop hit"),IF(IF(F79="Short",AND(ISNUMBER(AR79),ISNUMBER(AA79),AR79&lt;=AA79),AND(ISNUMBER(AR79),ISNUMBER(AA79),AR79&gt;=AA79)),"TAKE PROFIT — target hit",IF(AND(ISNUMBER(AT79),AT79&gt;182),IF(F79="Short","COVER — 6-month time limit","SELL — 6-month time limit"),IF(AND(ISNUMBER(AT79),AT79&gt;42,ISNUMBER(AS79),AS79&lt;0.02),"REVIEW — no progress after 6 weeks",IF(IF(F79="Short",AND(L79&lt;&gt;"",N(L79)&gt;0),AND(L79&lt;&gt;"",N(L79)&lt;0)),IF(F79="Short","REVIEW — back above 50-day avg","REVIEW — below 50-day avg"),"HOLD"))))),IF(OR(AP79="Closed",AP79="Dropped"),"Closed",IF(AK79="A",IF(F79="Short","Run Technical Review — SHORT entry","Run Technical Review — LONG entry"),IF(AK79="B","Watch — wait for setup","Drop or re-check next week")))))</f>
        <v/>
      </c>
      <c r="AV79" s="35"/>
      <c r="AX79" s="43" t="str">
        <f aca="false">IF(AND(C79&lt;&gt;"",A79=$C$4,ISNUMBER(AJ79)),AJ79+ROW()/100000,"")</f>
        <v/>
      </c>
    </row>
    <row r="80" customFormat="false" ht="15" hidden="false" customHeight="false" outlineLevel="0" collapsed="false">
      <c r="A80" s="19"/>
      <c r="B80" s="35"/>
      <c r="C80" s="35"/>
      <c r="D80" s="35"/>
      <c r="E80" s="35"/>
      <c r="F80" s="35"/>
      <c r="G80" s="26"/>
      <c r="H80" s="26"/>
      <c r="I80" s="36"/>
      <c r="J80" s="37" t="str">
        <f aca="false">IF(OR(G80="",I80=""),"",G80*I80/1000000)</f>
        <v/>
      </c>
      <c r="K80" s="21"/>
      <c r="L80" s="21"/>
      <c r="M80" s="21"/>
      <c r="N80" s="25"/>
      <c r="O80" s="21"/>
      <c r="P80" s="21"/>
      <c r="Q80" s="21"/>
      <c r="R80" s="21"/>
      <c r="S80" s="38"/>
      <c r="T80" s="21"/>
      <c r="U80" s="21"/>
      <c r="V80" s="19"/>
      <c r="W80" s="26"/>
      <c r="X80" s="35"/>
      <c r="Y80" s="26"/>
      <c r="Z80" s="26"/>
      <c r="AA80" s="26"/>
      <c r="AB80" s="16" t="str">
        <f aca="false">IF(C80="","",IF(F80="Short",(AND(M80&lt;&gt;"",N(M80)&lt;0))+(AND(L80&lt;&gt;"",N(L80)&lt;0))+(AND(K80&lt;&gt;"",N(K80)&lt;0))+AND(L80&lt;&gt;"",M80&lt;&gt;"",N(M80)&lt;N(L80)),(N(M80)&gt;0)+(N(L80)&gt;0)+(N(K80)&gt;0)+AND(L80&lt;&gt;"",M80&lt;&gt;"",N(M80)&gt;N(L80))))</f>
        <v/>
      </c>
      <c r="AC80" s="16" t="str">
        <f aca="false">IF(C80="","",IF(F80="Short",IF(N80="",0,IF(AND(N80&gt;=30,N80&lt;=50),2,IF(OR(AND(N80&gt;=25,N80&lt;30),AND(N80&gt;50,N80&lt;=60)),1,0)))+IF(P80="",0,IF(AND(IF(B80="JSE",$L$5,$L$4)&lt;&gt;"",P80&lt;IF(B80="JSE",$L$5,$L$4)),2,IF(P80&lt;0,1,0))),IF(N80="",0,IF(AND(N80&gt;=50,N80&lt;=70),2,IF(OR(AND(N80&gt;=40,N80&lt;50),AND(N80&gt;70,N80&lt;=75)),1,0)))+IF(P80="",0,IF(AND(IF(B80="JSE",$L$5,$L$4)&lt;&gt;"",P80&gt;IF(B80="JSE",$L$5,$L$4)),2,IF(P80&gt;0,1,0)))))</f>
        <v/>
      </c>
      <c r="AD80" s="16" t="str">
        <f aca="false">IF(C80="","",IF(F80="Short",IF(R80="",0,IF(R80&lt;=0.1,2,IF(R80&lt;=0.25,1,0))),IF(Q80="",0,IF(Q80&gt;=-0.1,2,IF(Q80&gt;=-0.25,1,0)))))</f>
        <v/>
      </c>
      <c r="AE80" s="16" t="str">
        <f aca="false">IF(C80="","",IF(J80="",0,IF(J80&gt;=IF(B80="JSE",$L$7,$L$6),2,IF(J80&gt;=IF(B80="JSE",$L$7,$L$6)/4,1,0))))</f>
        <v/>
      </c>
      <c r="AF80" s="16" t="str">
        <f aca="false">IF(C80="","",IF(F80="Short",AND(T80&lt;&gt;"",N(T80)&lt;0),N(T80)&gt;0)+(N(S80)&gt;=1.5))</f>
        <v/>
      </c>
      <c r="AG80" s="16" t="str">
        <f aca="false">IF(C80="","",IF(AL80="",0,IF(AL80&gt;=3,4,IF(AL80&gt;=2,2,0))))</f>
        <v/>
      </c>
      <c r="AH80" s="16" t="str">
        <f aca="false">IF(C80="","",IF(AND(ISNUMBER(V80),ISNUMBER(A80),V80&gt;=A80,V80-A80&lt;=14),-2,0))</f>
        <v/>
      </c>
      <c r="AI80" s="16" t="str">
        <f aca="false">IF(C80="","",IF(AND(F80="Short",N(U80)&gt;=0.2),-1,0))</f>
        <v/>
      </c>
      <c r="AJ80" s="23" t="str">
        <f aca="false">IF(C80="","",SUM(AB80:AI80))</f>
        <v/>
      </c>
      <c r="AK80" s="24" t="str">
        <f aca="false">IF(C80="","",IF(AJ80&gt;=14,"A",IF(AJ80&gt;=10,"B","C")))</f>
        <v/>
      </c>
      <c r="AL80" s="39" t="str">
        <f aca="false">IFERROR(IF(OR(Y80="",Z80="",AA80=""),"",IF(F80="Short",IF(Z80&lt;=Y80,"",(Y80-AA80)/(Z80-Y80)),IF(Y80&lt;=Z80,"",(AA80-Y80)/(Y80-Z80)))),"")</f>
        <v/>
      </c>
      <c r="AM80" s="37" t="str">
        <f aca="false">IF(OR(Y80="",Z80="",N(Y80)=N(Z80)),"",IF(OR(AND(F80="Short",Z80&lt;Y80),AND(NOT(F80="Short"),Z80&gt;Y80)),"stop on wrong side",ABS(Y80-Z80)))</f>
        <v/>
      </c>
      <c r="AN80" s="40" t="str">
        <f aca="false">IFERROR(IF(OR(NOT(ISNUMBER(AM80)),$C$6=""),"",ROUNDDOWN($C$6*$C$7/AM80,2)),"")</f>
        <v/>
      </c>
      <c r="AO80" s="37" t="str">
        <f aca="false">IFERROR(IF(AN80="","",AN80*Y80),"")</f>
        <v/>
      </c>
      <c r="AP80" s="35"/>
      <c r="AQ80" s="19"/>
      <c r="AR80" s="26"/>
      <c r="AS80" s="41" t="str">
        <f aca="false">IFERROR(IF(OR(AR80="",Y80="",AQ80=""),"",IF(F80="Short",1-AR80/Y80,AR80/Y80-1)),"")</f>
        <v/>
      </c>
      <c r="AT80" s="42" t="str">
        <f aca="true">IF(AQ80="","",IF(ISNUMBER($C$4),$C$4,TODAY())-AQ80)</f>
        <v/>
      </c>
      <c r="AU80" s="14" t="str">
        <f aca="false">IF(C80="","",IF(AP80="Open position",IF(IF(F80="Short",AND(ISNUMBER(AR80),ISNUMBER(Z80),AR80&gt;=Z80),AND(ISNUMBER(AR80),ISNUMBER(Z80),AR80&lt;=Z80)),IF(F80="Short","COVER — stop hit (buy back)","SELL — stop hit"),IF(IF(F80="Short",AND(ISNUMBER(AR80),ISNUMBER(AA80),AR80&lt;=AA80),AND(ISNUMBER(AR80),ISNUMBER(AA80),AR80&gt;=AA80)),"TAKE PROFIT — target hit",IF(AND(ISNUMBER(AT80),AT80&gt;182),IF(F80="Short","COVER — 6-month time limit","SELL — 6-month time limit"),IF(AND(ISNUMBER(AT80),AT80&gt;42,ISNUMBER(AS80),AS80&lt;0.02),"REVIEW — no progress after 6 weeks",IF(IF(F80="Short",AND(L80&lt;&gt;"",N(L80)&gt;0),AND(L80&lt;&gt;"",N(L80)&lt;0)),IF(F80="Short","REVIEW — back above 50-day avg","REVIEW — below 50-day avg"),"HOLD"))))),IF(OR(AP80="Closed",AP80="Dropped"),"Closed",IF(AK80="A",IF(F80="Short","Run Technical Review — SHORT entry","Run Technical Review — LONG entry"),IF(AK80="B","Watch — wait for setup","Drop or re-check next week")))))</f>
        <v/>
      </c>
      <c r="AV80" s="35"/>
      <c r="AX80" s="43" t="str">
        <f aca="false">IF(AND(C80&lt;&gt;"",A80=$C$4,ISNUMBER(AJ80)),AJ80+ROW()/100000,"")</f>
        <v/>
      </c>
    </row>
    <row r="81" customFormat="false" ht="15" hidden="false" customHeight="false" outlineLevel="0" collapsed="false">
      <c r="A81" s="19"/>
      <c r="B81" s="35"/>
      <c r="C81" s="35"/>
      <c r="D81" s="35"/>
      <c r="E81" s="35"/>
      <c r="F81" s="35"/>
      <c r="G81" s="26"/>
      <c r="H81" s="26"/>
      <c r="I81" s="36"/>
      <c r="J81" s="37" t="str">
        <f aca="false">IF(OR(G81="",I81=""),"",G81*I81/1000000)</f>
        <v/>
      </c>
      <c r="K81" s="21"/>
      <c r="L81" s="21"/>
      <c r="M81" s="21"/>
      <c r="N81" s="25"/>
      <c r="O81" s="21"/>
      <c r="P81" s="21"/>
      <c r="Q81" s="21"/>
      <c r="R81" s="21"/>
      <c r="S81" s="38"/>
      <c r="T81" s="21"/>
      <c r="U81" s="21"/>
      <c r="V81" s="19"/>
      <c r="W81" s="26"/>
      <c r="X81" s="35"/>
      <c r="Y81" s="26"/>
      <c r="Z81" s="26"/>
      <c r="AA81" s="26"/>
      <c r="AB81" s="16" t="str">
        <f aca="false">IF(C81="","",IF(F81="Short",(AND(M81&lt;&gt;"",N(M81)&lt;0))+(AND(L81&lt;&gt;"",N(L81)&lt;0))+(AND(K81&lt;&gt;"",N(K81)&lt;0))+AND(L81&lt;&gt;"",M81&lt;&gt;"",N(M81)&lt;N(L81)),(N(M81)&gt;0)+(N(L81)&gt;0)+(N(K81)&gt;0)+AND(L81&lt;&gt;"",M81&lt;&gt;"",N(M81)&gt;N(L81))))</f>
        <v/>
      </c>
      <c r="AC81" s="16" t="str">
        <f aca="false">IF(C81="","",IF(F81="Short",IF(N81="",0,IF(AND(N81&gt;=30,N81&lt;=50),2,IF(OR(AND(N81&gt;=25,N81&lt;30),AND(N81&gt;50,N81&lt;=60)),1,0)))+IF(P81="",0,IF(AND(IF(B81="JSE",$L$5,$L$4)&lt;&gt;"",P81&lt;IF(B81="JSE",$L$5,$L$4)),2,IF(P81&lt;0,1,0))),IF(N81="",0,IF(AND(N81&gt;=50,N81&lt;=70),2,IF(OR(AND(N81&gt;=40,N81&lt;50),AND(N81&gt;70,N81&lt;=75)),1,0)))+IF(P81="",0,IF(AND(IF(B81="JSE",$L$5,$L$4)&lt;&gt;"",P81&gt;IF(B81="JSE",$L$5,$L$4)),2,IF(P81&gt;0,1,0)))))</f>
        <v/>
      </c>
      <c r="AD81" s="16" t="str">
        <f aca="false">IF(C81="","",IF(F81="Short",IF(R81="",0,IF(R81&lt;=0.1,2,IF(R81&lt;=0.25,1,0))),IF(Q81="",0,IF(Q81&gt;=-0.1,2,IF(Q81&gt;=-0.25,1,0)))))</f>
        <v/>
      </c>
      <c r="AE81" s="16" t="str">
        <f aca="false">IF(C81="","",IF(J81="",0,IF(J81&gt;=IF(B81="JSE",$L$7,$L$6),2,IF(J81&gt;=IF(B81="JSE",$L$7,$L$6)/4,1,0))))</f>
        <v/>
      </c>
      <c r="AF81" s="16" t="str">
        <f aca="false">IF(C81="","",IF(F81="Short",AND(T81&lt;&gt;"",N(T81)&lt;0),N(T81)&gt;0)+(N(S81)&gt;=1.5))</f>
        <v/>
      </c>
      <c r="AG81" s="16" t="str">
        <f aca="false">IF(C81="","",IF(AL81="",0,IF(AL81&gt;=3,4,IF(AL81&gt;=2,2,0))))</f>
        <v/>
      </c>
      <c r="AH81" s="16" t="str">
        <f aca="false">IF(C81="","",IF(AND(ISNUMBER(V81),ISNUMBER(A81),V81&gt;=A81,V81-A81&lt;=14),-2,0))</f>
        <v/>
      </c>
      <c r="AI81" s="16" t="str">
        <f aca="false">IF(C81="","",IF(AND(F81="Short",N(U81)&gt;=0.2),-1,0))</f>
        <v/>
      </c>
      <c r="AJ81" s="23" t="str">
        <f aca="false">IF(C81="","",SUM(AB81:AI81))</f>
        <v/>
      </c>
      <c r="AK81" s="24" t="str">
        <f aca="false">IF(C81="","",IF(AJ81&gt;=14,"A",IF(AJ81&gt;=10,"B","C")))</f>
        <v/>
      </c>
      <c r="AL81" s="39" t="str">
        <f aca="false">IFERROR(IF(OR(Y81="",Z81="",AA81=""),"",IF(F81="Short",IF(Z81&lt;=Y81,"",(Y81-AA81)/(Z81-Y81)),IF(Y81&lt;=Z81,"",(AA81-Y81)/(Y81-Z81)))),"")</f>
        <v/>
      </c>
      <c r="AM81" s="37" t="str">
        <f aca="false">IF(OR(Y81="",Z81="",N(Y81)=N(Z81)),"",IF(OR(AND(F81="Short",Z81&lt;Y81),AND(NOT(F81="Short"),Z81&gt;Y81)),"stop on wrong side",ABS(Y81-Z81)))</f>
        <v/>
      </c>
      <c r="AN81" s="40" t="str">
        <f aca="false">IFERROR(IF(OR(NOT(ISNUMBER(AM81)),$C$6=""),"",ROUNDDOWN($C$6*$C$7/AM81,2)),"")</f>
        <v/>
      </c>
      <c r="AO81" s="37" t="str">
        <f aca="false">IFERROR(IF(AN81="","",AN81*Y81),"")</f>
        <v/>
      </c>
      <c r="AP81" s="35"/>
      <c r="AQ81" s="19"/>
      <c r="AR81" s="26"/>
      <c r="AS81" s="41" t="str">
        <f aca="false">IFERROR(IF(OR(AR81="",Y81="",AQ81=""),"",IF(F81="Short",1-AR81/Y81,AR81/Y81-1)),"")</f>
        <v/>
      </c>
      <c r="AT81" s="42" t="str">
        <f aca="true">IF(AQ81="","",IF(ISNUMBER($C$4),$C$4,TODAY())-AQ81)</f>
        <v/>
      </c>
      <c r="AU81" s="14" t="str">
        <f aca="false">IF(C81="","",IF(AP81="Open position",IF(IF(F81="Short",AND(ISNUMBER(AR81),ISNUMBER(Z81),AR81&gt;=Z81),AND(ISNUMBER(AR81),ISNUMBER(Z81),AR81&lt;=Z81)),IF(F81="Short","COVER — stop hit (buy back)","SELL — stop hit"),IF(IF(F81="Short",AND(ISNUMBER(AR81),ISNUMBER(AA81),AR81&lt;=AA81),AND(ISNUMBER(AR81),ISNUMBER(AA81),AR81&gt;=AA81)),"TAKE PROFIT — target hit",IF(AND(ISNUMBER(AT81),AT81&gt;182),IF(F81="Short","COVER — 6-month time limit","SELL — 6-month time limit"),IF(AND(ISNUMBER(AT81),AT81&gt;42,ISNUMBER(AS81),AS81&lt;0.02),"REVIEW — no progress after 6 weeks",IF(IF(F81="Short",AND(L81&lt;&gt;"",N(L81)&gt;0),AND(L81&lt;&gt;"",N(L81)&lt;0)),IF(F81="Short","REVIEW — back above 50-day avg","REVIEW — below 50-day avg"),"HOLD"))))),IF(OR(AP81="Closed",AP81="Dropped"),"Closed",IF(AK81="A",IF(F81="Short","Run Technical Review — SHORT entry","Run Technical Review — LONG entry"),IF(AK81="B","Watch — wait for setup","Drop or re-check next week")))))</f>
        <v/>
      </c>
      <c r="AV81" s="35"/>
      <c r="AX81" s="43" t="str">
        <f aca="false">IF(AND(C81&lt;&gt;"",A81=$C$4,ISNUMBER(AJ81)),AJ81+ROW()/100000,"")</f>
        <v/>
      </c>
    </row>
    <row r="82" customFormat="false" ht="15" hidden="false" customHeight="false" outlineLevel="0" collapsed="false">
      <c r="A82" s="19"/>
      <c r="B82" s="35"/>
      <c r="C82" s="35"/>
      <c r="D82" s="35"/>
      <c r="E82" s="35"/>
      <c r="F82" s="35"/>
      <c r="G82" s="26"/>
      <c r="H82" s="26"/>
      <c r="I82" s="36"/>
      <c r="J82" s="37" t="str">
        <f aca="false">IF(OR(G82="",I82=""),"",G82*I82/1000000)</f>
        <v/>
      </c>
      <c r="K82" s="21"/>
      <c r="L82" s="21"/>
      <c r="M82" s="21"/>
      <c r="N82" s="25"/>
      <c r="O82" s="21"/>
      <c r="P82" s="21"/>
      <c r="Q82" s="21"/>
      <c r="R82" s="21"/>
      <c r="S82" s="38"/>
      <c r="T82" s="21"/>
      <c r="U82" s="21"/>
      <c r="V82" s="19"/>
      <c r="W82" s="26"/>
      <c r="X82" s="35"/>
      <c r="Y82" s="26"/>
      <c r="Z82" s="26"/>
      <c r="AA82" s="26"/>
      <c r="AB82" s="16" t="str">
        <f aca="false">IF(C82="","",IF(F82="Short",(AND(M82&lt;&gt;"",N(M82)&lt;0))+(AND(L82&lt;&gt;"",N(L82)&lt;0))+(AND(K82&lt;&gt;"",N(K82)&lt;0))+AND(L82&lt;&gt;"",M82&lt;&gt;"",N(M82)&lt;N(L82)),(N(M82)&gt;0)+(N(L82)&gt;0)+(N(K82)&gt;0)+AND(L82&lt;&gt;"",M82&lt;&gt;"",N(M82)&gt;N(L82))))</f>
        <v/>
      </c>
      <c r="AC82" s="16" t="str">
        <f aca="false">IF(C82="","",IF(F82="Short",IF(N82="",0,IF(AND(N82&gt;=30,N82&lt;=50),2,IF(OR(AND(N82&gt;=25,N82&lt;30),AND(N82&gt;50,N82&lt;=60)),1,0)))+IF(P82="",0,IF(AND(IF(B82="JSE",$L$5,$L$4)&lt;&gt;"",P82&lt;IF(B82="JSE",$L$5,$L$4)),2,IF(P82&lt;0,1,0))),IF(N82="",0,IF(AND(N82&gt;=50,N82&lt;=70),2,IF(OR(AND(N82&gt;=40,N82&lt;50),AND(N82&gt;70,N82&lt;=75)),1,0)))+IF(P82="",0,IF(AND(IF(B82="JSE",$L$5,$L$4)&lt;&gt;"",P82&gt;IF(B82="JSE",$L$5,$L$4)),2,IF(P82&gt;0,1,0)))))</f>
        <v/>
      </c>
      <c r="AD82" s="16" t="str">
        <f aca="false">IF(C82="","",IF(F82="Short",IF(R82="",0,IF(R82&lt;=0.1,2,IF(R82&lt;=0.25,1,0))),IF(Q82="",0,IF(Q82&gt;=-0.1,2,IF(Q82&gt;=-0.25,1,0)))))</f>
        <v/>
      </c>
      <c r="AE82" s="16" t="str">
        <f aca="false">IF(C82="","",IF(J82="",0,IF(J82&gt;=IF(B82="JSE",$L$7,$L$6),2,IF(J82&gt;=IF(B82="JSE",$L$7,$L$6)/4,1,0))))</f>
        <v/>
      </c>
      <c r="AF82" s="16" t="str">
        <f aca="false">IF(C82="","",IF(F82="Short",AND(T82&lt;&gt;"",N(T82)&lt;0),N(T82)&gt;0)+(N(S82)&gt;=1.5))</f>
        <v/>
      </c>
      <c r="AG82" s="16" t="str">
        <f aca="false">IF(C82="","",IF(AL82="",0,IF(AL82&gt;=3,4,IF(AL82&gt;=2,2,0))))</f>
        <v/>
      </c>
      <c r="AH82" s="16" t="str">
        <f aca="false">IF(C82="","",IF(AND(ISNUMBER(V82),ISNUMBER(A82),V82&gt;=A82,V82-A82&lt;=14),-2,0))</f>
        <v/>
      </c>
      <c r="AI82" s="16" t="str">
        <f aca="false">IF(C82="","",IF(AND(F82="Short",N(U82)&gt;=0.2),-1,0))</f>
        <v/>
      </c>
      <c r="AJ82" s="23" t="str">
        <f aca="false">IF(C82="","",SUM(AB82:AI82))</f>
        <v/>
      </c>
      <c r="AK82" s="24" t="str">
        <f aca="false">IF(C82="","",IF(AJ82&gt;=14,"A",IF(AJ82&gt;=10,"B","C")))</f>
        <v/>
      </c>
      <c r="AL82" s="39" t="str">
        <f aca="false">IFERROR(IF(OR(Y82="",Z82="",AA82=""),"",IF(F82="Short",IF(Z82&lt;=Y82,"",(Y82-AA82)/(Z82-Y82)),IF(Y82&lt;=Z82,"",(AA82-Y82)/(Y82-Z82)))),"")</f>
        <v/>
      </c>
      <c r="AM82" s="37" t="str">
        <f aca="false">IF(OR(Y82="",Z82="",N(Y82)=N(Z82)),"",IF(OR(AND(F82="Short",Z82&lt;Y82),AND(NOT(F82="Short"),Z82&gt;Y82)),"stop on wrong side",ABS(Y82-Z82)))</f>
        <v/>
      </c>
      <c r="AN82" s="40" t="str">
        <f aca="false">IFERROR(IF(OR(NOT(ISNUMBER(AM82)),$C$6=""),"",ROUNDDOWN($C$6*$C$7/AM82,2)),"")</f>
        <v/>
      </c>
      <c r="AO82" s="37" t="str">
        <f aca="false">IFERROR(IF(AN82="","",AN82*Y82),"")</f>
        <v/>
      </c>
      <c r="AP82" s="35"/>
      <c r="AQ82" s="19"/>
      <c r="AR82" s="26"/>
      <c r="AS82" s="41" t="str">
        <f aca="false">IFERROR(IF(OR(AR82="",Y82="",AQ82=""),"",IF(F82="Short",1-AR82/Y82,AR82/Y82-1)),"")</f>
        <v/>
      </c>
      <c r="AT82" s="42" t="str">
        <f aca="true">IF(AQ82="","",IF(ISNUMBER($C$4),$C$4,TODAY())-AQ82)</f>
        <v/>
      </c>
      <c r="AU82" s="14" t="str">
        <f aca="false">IF(C82="","",IF(AP82="Open position",IF(IF(F82="Short",AND(ISNUMBER(AR82),ISNUMBER(Z82),AR82&gt;=Z82),AND(ISNUMBER(AR82),ISNUMBER(Z82),AR82&lt;=Z82)),IF(F82="Short","COVER — stop hit (buy back)","SELL — stop hit"),IF(IF(F82="Short",AND(ISNUMBER(AR82),ISNUMBER(AA82),AR82&lt;=AA82),AND(ISNUMBER(AR82),ISNUMBER(AA82),AR82&gt;=AA82)),"TAKE PROFIT — target hit",IF(AND(ISNUMBER(AT82),AT82&gt;182),IF(F82="Short","COVER — 6-month time limit","SELL — 6-month time limit"),IF(AND(ISNUMBER(AT82),AT82&gt;42,ISNUMBER(AS82),AS82&lt;0.02),"REVIEW — no progress after 6 weeks",IF(IF(F82="Short",AND(L82&lt;&gt;"",N(L82)&gt;0),AND(L82&lt;&gt;"",N(L82)&lt;0)),IF(F82="Short","REVIEW — back above 50-day avg","REVIEW — below 50-day avg"),"HOLD"))))),IF(OR(AP82="Closed",AP82="Dropped"),"Closed",IF(AK82="A",IF(F82="Short","Run Technical Review — SHORT entry","Run Technical Review — LONG entry"),IF(AK82="B","Watch — wait for setup","Drop or re-check next week")))))</f>
        <v/>
      </c>
      <c r="AV82" s="35"/>
      <c r="AX82" s="43" t="str">
        <f aca="false">IF(AND(C82&lt;&gt;"",A82=$C$4,ISNUMBER(AJ82)),AJ82+ROW()/100000,"")</f>
        <v/>
      </c>
    </row>
    <row r="83" customFormat="false" ht="15" hidden="false" customHeight="false" outlineLevel="0" collapsed="false">
      <c r="A83" s="19"/>
      <c r="B83" s="35"/>
      <c r="C83" s="35"/>
      <c r="D83" s="35"/>
      <c r="E83" s="35"/>
      <c r="F83" s="35"/>
      <c r="G83" s="26"/>
      <c r="H83" s="26"/>
      <c r="I83" s="36"/>
      <c r="J83" s="37" t="str">
        <f aca="false">IF(OR(G83="",I83=""),"",G83*I83/1000000)</f>
        <v/>
      </c>
      <c r="K83" s="21"/>
      <c r="L83" s="21"/>
      <c r="M83" s="21"/>
      <c r="N83" s="25"/>
      <c r="O83" s="21"/>
      <c r="P83" s="21"/>
      <c r="Q83" s="21"/>
      <c r="R83" s="21"/>
      <c r="S83" s="38"/>
      <c r="T83" s="21"/>
      <c r="U83" s="21"/>
      <c r="V83" s="19"/>
      <c r="W83" s="26"/>
      <c r="X83" s="35"/>
      <c r="Y83" s="26"/>
      <c r="Z83" s="26"/>
      <c r="AA83" s="26"/>
      <c r="AB83" s="16" t="str">
        <f aca="false">IF(C83="","",IF(F83="Short",(AND(M83&lt;&gt;"",N(M83)&lt;0))+(AND(L83&lt;&gt;"",N(L83)&lt;0))+(AND(K83&lt;&gt;"",N(K83)&lt;0))+AND(L83&lt;&gt;"",M83&lt;&gt;"",N(M83)&lt;N(L83)),(N(M83)&gt;0)+(N(L83)&gt;0)+(N(K83)&gt;0)+AND(L83&lt;&gt;"",M83&lt;&gt;"",N(M83)&gt;N(L83))))</f>
        <v/>
      </c>
      <c r="AC83" s="16" t="str">
        <f aca="false">IF(C83="","",IF(F83="Short",IF(N83="",0,IF(AND(N83&gt;=30,N83&lt;=50),2,IF(OR(AND(N83&gt;=25,N83&lt;30),AND(N83&gt;50,N83&lt;=60)),1,0)))+IF(P83="",0,IF(AND(IF(B83="JSE",$L$5,$L$4)&lt;&gt;"",P83&lt;IF(B83="JSE",$L$5,$L$4)),2,IF(P83&lt;0,1,0))),IF(N83="",0,IF(AND(N83&gt;=50,N83&lt;=70),2,IF(OR(AND(N83&gt;=40,N83&lt;50),AND(N83&gt;70,N83&lt;=75)),1,0)))+IF(P83="",0,IF(AND(IF(B83="JSE",$L$5,$L$4)&lt;&gt;"",P83&gt;IF(B83="JSE",$L$5,$L$4)),2,IF(P83&gt;0,1,0)))))</f>
        <v/>
      </c>
      <c r="AD83" s="16" t="str">
        <f aca="false">IF(C83="","",IF(F83="Short",IF(R83="",0,IF(R83&lt;=0.1,2,IF(R83&lt;=0.25,1,0))),IF(Q83="",0,IF(Q83&gt;=-0.1,2,IF(Q83&gt;=-0.25,1,0)))))</f>
        <v/>
      </c>
      <c r="AE83" s="16" t="str">
        <f aca="false">IF(C83="","",IF(J83="",0,IF(J83&gt;=IF(B83="JSE",$L$7,$L$6),2,IF(J83&gt;=IF(B83="JSE",$L$7,$L$6)/4,1,0))))</f>
        <v/>
      </c>
      <c r="AF83" s="16" t="str">
        <f aca="false">IF(C83="","",IF(F83="Short",AND(T83&lt;&gt;"",N(T83)&lt;0),N(T83)&gt;0)+(N(S83)&gt;=1.5))</f>
        <v/>
      </c>
      <c r="AG83" s="16" t="str">
        <f aca="false">IF(C83="","",IF(AL83="",0,IF(AL83&gt;=3,4,IF(AL83&gt;=2,2,0))))</f>
        <v/>
      </c>
      <c r="AH83" s="16" t="str">
        <f aca="false">IF(C83="","",IF(AND(ISNUMBER(V83),ISNUMBER(A83),V83&gt;=A83,V83-A83&lt;=14),-2,0))</f>
        <v/>
      </c>
      <c r="AI83" s="16" t="str">
        <f aca="false">IF(C83="","",IF(AND(F83="Short",N(U83)&gt;=0.2),-1,0))</f>
        <v/>
      </c>
      <c r="AJ83" s="23" t="str">
        <f aca="false">IF(C83="","",SUM(AB83:AI83))</f>
        <v/>
      </c>
      <c r="AK83" s="24" t="str">
        <f aca="false">IF(C83="","",IF(AJ83&gt;=14,"A",IF(AJ83&gt;=10,"B","C")))</f>
        <v/>
      </c>
      <c r="AL83" s="39" t="str">
        <f aca="false">IFERROR(IF(OR(Y83="",Z83="",AA83=""),"",IF(F83="Short",IF(Z83&lt;=Y83,"",(Y83-AA83)/(Z83-Y83)),IF(Y83&lt;=Z83,"",(AA83-Y83)/(Y83-Z83)))),"")</f>
        <v/>
      </c>
      <c r="AM83" s="37" t="str">
        <f aca="false">IF(OR(Y83="",Z83="",N(Y83)=N(Z83)),"",IF(OR(AND(F83="Short",Z83&lt;Y83),AND(NOT(F83="Short"),Z83&gt;Y83)),"stop on wrong side",ABS(Y83-Z83)))</f>
        <v/>
      </c>
      <c r="AN83" s="40" t="str">
        <f aca="false">IFERROR(IF(OR(NOT(ISNUMBER(AM83)),$C$6=""),"",ROUNDDOWN($C$6*$C$7/AM83,2)),"")</f>
        <v/>
      </c>
      <c r="AO83" s="37" t="str">
        <f aca="false">IFERROR(IF(AN83="","",AN83*Y83),"")</f>
        <v/>
      </c>
      <c r="AP83" s="35"/>
      <c r="AQ83" s="19"/>
      <c r="AR83" s="26"/>
      <c r="AS83" s="41" t="str">
        <f aca="false">IFERROR(IF(OR(AR83="",Y83="",AQ83=""),"",IF(F83="Short",1-AR83/Y83,AR83/Y83-1)),"")</f>
        <v/>
      </c>
      <c r="AT83" s="42" t="str">
        <f aca="true">IF(AQ83="","",IF(ISNUMBER($C$4),$C$4,TODAY())-AQ83)</f>
        <v/>
      </c>
      <c r="AU83" s="14" t="str">
        <f aca="false">IF(C83="","",IF(AP83="Open position",IF(IF(F83="Short",AND(ISNUMBER(AR83),ISNUMBER(Z83),AR83&gt;=Z83),AND(ISNUMBER(AR83),ISNUMBER(Z83),AR83&lt;=Z83)),IF(F83="Short","COVER — stop hit (buy back)","SELL — stop hit"),IF(IF(F83="Short",AND(ISNUMBER(AR83),ISNUMBER(AA83),AR83&lt;=AA83),AND(ISNUMBER(AR83),ISNUMBER(AA83),AR83&gt;=AA83)),"TAKE PROFIT — target hit",IF(AND(ISNUMBER(AT83),AT83&gt;182),IF(F83="Short","COVER — 6-month time limit","SELL — 6-month time limit"),IF(AND(ISNUMBER(AT83),AT83&gt;42,ISNUMBER(AS83),AS83&lt;0.02),"REVIEW — no progress after 6 weeks",IF(IF(F83="Short",AND(L83&lt;&gt;"",N(L83)&gt;0),AND(L83&lt;&gt;"",N(L83)&lt;0)),IF(F83="Short","REVIEW — back above 50-day avg","REVIEW — below 50-day avg"),"HOLD"))))),IF(OR(AP83="Closed",AP83="Dropped"),"Closed",IF(AK83="A",IF(F83="Short","Run Technical Review — SHORT entry","Run Technical Review — LONG entry"),IF(AK83="B","Watch — wait for setup","Drop or re-check next week")))))</f>
        <v/>
      </c>
      <c r="AV83" s="35"/>
      <c r="AX83" s="43" t="str">
        <f aca="false">IF(AND(C83&lt;&gt;"",A83=$C$4,ISNUMBER(AJ83)),AJ83+ROW()/100000,"")</f>
        <v/>
      </c>
    </row>
    <row r="84" customFormat="false" ht="15" hidden="false" customHeight="false" outlineLevel="0" collapsed="false">
      <c r="A84" s="19"/>
      <c r="B84" s="35"/>
      <c r="C84" s="35"/>
      <c r="D84" s="35"/>
      <c r="E84" s="35"/>
      <c r="F84" s="35"/>
      <c r="G84" s="26"/>
      <c r="H84" s="26"/>
      <c r="I84" s="36"/>
      <c r="J84" s="37" t="str">
        <f aca="false">IF(OR(G84="",I84=""),"",G84*I84/1000000)</f>
        <v/>
      </c>
      <c r="K84" s="21"/>
      <c r="L84" s="21"/>
      <c r="M84" s="21"/>
      <c r="N84" s="25"/>
      <c r="O84" s="21"/>
      <c r="P84" s="21"/>
      <c r="Q84" s="21"/>
      <c r="R84" s="21"/>
      <c r="S84" s="38"/>
      <c r="T84" s="21"/>
      <c r="U84" s="21"/>
      <c r="V84" s="19"/>
      <c r="W84" s="26"/>
      <c r="X84" s="35"/>
      <c r="Y84" s="26"/>
      <c r="Z84" s="26"/>
      <c r="AA84" s="26"/>
      <c r="AB84" s="16" t="str">
        <f aca="false">IF(C84="","",IF(F84="Short",(AND(M84&lt;&gt;"",N(M84)&lt;0))+(AND(L84&lt;&gt;"",N(L84)&lt;0))+(AND(K84&lt;&gt;"",N(K84)&lt;0))+AND(L84&lt;&gt;"",M84&lt;&gt;"",N(M84)&lt;N(L84)),(N(M84)&gt;0)+(N(L84)&gt;0)+(N(K84)&gt;0)+AND(L84&lt;&gt;"",M84&lt;&gt;"",N(M84)&gt;N(L84))))</f>
        <v/>
      </c>
      <c r="AC84" s="16" t="str">
        <f aca="false">IF(C84="","",IF(F84="Short",IF(N84="",0,IF(AND(N84&gt;=30,N84&lt;=50),2,IF(OR(AND(N84&gt;=25,N84&lt;30),AND(N84&gt;50,N84&lt;=60)),1,0)))+IF(P84="",0,IF(AND(IF(B84="JSE",$L$5,$L$4)&lt;&gt;"",P84&lt;IF(B84="JSE",$L$5,$L$4)),2,IF(P84&lt;0,1,0))),IF(N84="",0,IF(AND(N84&gt;=50,N84&lt;=70),2,IF(OR(AND(N84&gt;=40,N84&lt;50),AND(N84&gt;70,N84&lt;=75)),1,0)))+IF(P84="",0,IF(AND(IF(B84="JSE",$L$5,$L$4)&lt;&gt;"",P84&gt;IF(B84="JSE",$L$5,$L$4)),2,IF(P84&gt;0,1,0)))))</f>
        <v/>
      </c>
      <c r="AD84" s="16" t="str">
        <f aca="false">IF(C84="","",IF(F84="Short",IF(R84="",0,IF(R84&lt;=0.1,2,IF(R84&lt;=0.25,1,0))),IF(Q84="",0,IF(Q84&gt;=-0.1,2,IF(Q84&gt;=-0.25,1,0)))))</f>
        <v/>
      </c>
      <c r="AE84" s="16" t="str">
        <f aca="false">IF(C84="","",IF(J84="",0,IF(J84&gt;=IF(B84="JSE",$L$7,$L$6),2,IF(J84&gt;=IF(B84="JSE",$L$7,$L$6)/4,1,0))))</f>
        <v/>
      </c>
      <c r="AF84" s="16" t="str">
        <f aca="false">IF(C84="","",IF(F84="Short",AND(T84&lt;&gt;"",N(T84)&lt;0),N(T84)&gt;0)+(N(S84)&gt;=1.5))</f>
        <v/>
      </c>
      <c r="AG84" s="16" t="str">
        <f aca="false">IF(C84="","",IF(AL84="",0,IF(AL84&gt;=3,4,IF(AL84&gt;=2,2,0))))</f>
        <v/>
      </c>
      <c r="AH84" s="16" t="str">
        <f aca="false">IF(C84="","",IF(AND(ISNUMBER(V84),ISNUMBER(A84),V84&gt;=A84,V84-A84&lt;=14),-2,0))</f>
        <v/>
      </c>
      <c r="AI84" s="16" t="str">
        <f aca="false">IF(C84="","",IF(AND(F84="Short",N(U84)&gt;=0.2),-1,0))</f>
        <v/>
      </c>
      <c r="AJ84" s="23" t="str">
        <f aca="false">IF(C84="","",SUM(AB84:AI84))</f>
        <v/>
      </c>
      <c r="AK84" s="24" t="str">
        <f aca="false">IF(C84="","",IF(AJ84&gt;=14,"A",IF(AJ84&gt;=10,"B","C")))</f>
        <v/>
      </c>
      <c r="AL84" s="39" t="str">
        <f aca="false">IFERROR(IF(OR(Y84="",Z84="",AA84=""),"",IF(F84="Short",IF(Z84&lt;=Y84,"",(Y84-AA84)/(Z84-Y84)),IF(Y84&lt;=Z84,"",(AA84-Y84)/(Y84-Z84)))),"")</f>
        <v/>
      </c>
      <c r="AM84" s="37" t="str">
        <f aca="false">IF(OR(Y84="",Z84="",N(Y84)=N(Z84)),"",IF(OR(AND(F84="Short",Z84&lt;Y84),AND(NOT(F84="Short"),Z84&gt;Y84)),"stop on wrong side",ABS(Y84-Z84)))</f>
        <v/>
      </c>
      <c r="AN84" s="40" t="str">
        <f aca="false">IFERROR(IF(OR(NOT(ISNUMBER(AM84)),$C$6=""),"",ROUNDDOWN($C$6*$C$7/AM84,2)),"")</f>
        <v/>
      </c>
      <c r="AO84" s="37" t="str">
        <f aca="false">IFERROR(IF(AN84="","",AN84*Y84),"")</f>
        <v/>
      </c>
      <c r="AP84" s="35"/>
      <c r="AQ84" s="19"/>
      <c r="AR84" s="26"/>
      <c r="AS84" s="41" t="str">
        <f aca="false">IFERROR(IF(OR(AR84="",Y84="",AQ84=""),"",IF(F84="Short",1-AR84/Y84,AR84/Y84-1)),"")</f>
        <v/>
      </c>
      <c r="AT84" s="42" t="str">
        <f aca="true">IF(AQ84="","",IF(ISNUMBER($C$4),$C$4,TODAY())-AQ84)</f>
        <v/>
      </c>
      <c r="AU84" s="14" t="str">
        <f aca="false">IF(C84="","",IF(AP84="Open position",IF(IF(F84="Short",AND(ISNUMBER(AR84),ISNUMBER(Z84),AR84&gt;=Z84),AND(ISNUMBER(AR84),ISNUMBER(Z84),AR84&lt;=Z84)),IF(F84="Short","COVER — stop hit (buy back)","SELL — stop hit"),IF(IF(F84="Short",AND(ISNUMBER(AR84),ISNUMBER(AA84),AR84&lt;=AA84),AND(ISNUMBER(AR84),ISNUMBER(AA84),AR84&gt;=AA84)),"TAKE PROFIT — target hit",IF(AND(ISNUMBER(AT84),AT84&gt;182),IF(F84="Short","COVER — 6-month time limit","SELL — 6-month time limit"),IF(AND(ISNUMBER(AT84),AT84&gt;42,ISNUMBER(AS84),AS84&lt;0.02),"REVIEW — no progress after 6 weeks",IF(IF(F84="Short",AND(L84&lt;&gt;"",N(L84)&gt;0),AND(L84&lt;&gt;"",N(L84)&lt;0)),IF(F84="Short","REVIEW — back above 50-day avg","REVIEW — below 50-day avg"),"HOLD"))))),IF(OR(AP84="Closed",AP84="Dropped"),"Closed",IF(AK84="A",IF(F84="Short","Run Technical Review — SHORT entry","Run Technical Review — LONG entry"),IF(AK84="B","Watch — wait for setup","Drop or re-check next week")))))</f>
        <v/>
      </c>
      <c r="AV84" s="35"/>
      <c r="AX84" s="43" t="str">
        <f aca="false">IF(AND(C84&lt;&gt;"",A84=$C$4,ISNUMBER(AJ84)),AJ84+ROW()/100000,"")</f>
        <v/>
      </c>
    </row>
    <row r="85" customFormat="false" ht="15" hidden="false" customHeight="false" outlineLevel="0" collapsed="false">
      <c r="A85" s="19"/>
      <c r="B85" s="35"/>
      <c r="C85" s="35"/>
      <c r="D85" s="35"/>
      <c r="E85" s="35"/>
      <c r="F85" s="35"/>
      <c r="G85" s="26"/>
      <c r="H85" s="26"/>
      <c r="I85" s="36"/>
      <c r="J85" s="37" t="str">
        <f aca="false">IF(OR(G85="",I85=""),"",G85*I85/1000000)</f>
        <v/>
      </c>
      <c r="K85" s="21"/>
      <c r="L85" s="21"/>
      <c r="M85" s="21"/>
      <c r="N85" s="25"/>
      <c r="O85" s="21"/>
      <c r="P85" s="21"/>
      <c r="Q85" s="21"/>
      <c r="R85" s="21"/>
      <c r="S85" s="38"/>
      <c r="T85" s="21"/>
      <c r="U85" s="21"/>
      <c r="V85" s="19"/>
      <c r="W85" s="26"/>
      <c r="X85" s="35"/>
      <c r="Y85" s="26"/>
      <c r="Z85" s="26"/>
      <c r="AA85" s="26"/>
      <c r="AB85" s="16" t="str">
        <f aca="false">IF(C85="","",IF(F85="Short",(AND(M85&lt;&gt;"",N(M85)&lt;0))+(AND(L85&lt;&gt;"",N(L85)&lt;0))+(AND(K85&lt;&gt;"",N(K85)&lt;0))+AND(L85&lt;&gt;"",M85&lt;&gt;"",N(M85)&lt;N(L85)),(N(M85)&gt;0)+(N(L85)&gt;0)+(N(K85)&gt;0)+AND(L85&lt;&gt;"",M85&lt;&gt;"",N(M85)&gt;N(L85))))</f>
        <v/>
      </c>
      <c r="AC85" s="16" t="str">
        <f aca="false">IF(C85="","",IF(F85="Short",IF(N85="",0,IF(AND(N85&gt;=30,N85&lt;=50),2,IF(OR(AND(N85&gt;=25,N85&lt;30),AND(N85&gt;50,N85&lt;=60)),1,0)))+IF(P85="",0,IF(AND(IF(B85="JSE",$L$5,$L$4)&lt;&gt;"",P85&lt;IF(B85="JSE",$L$5,$L$4)),2,IF(P85&lt;0,1,0))),IF(N85="",0,IF(AND(N85&gt;=50,N85&lt;=70),2,IF(OR(AND(N85&gt;=40,N85&lt;50),AND(N85&gt;70,N85&lt;=75)),1,0)))+IF(P85="",0,IF(AND(IF(B85="JSE",$L$5,$L$4)&lt;&gt;"",P85&gt;IF(B85="JSE",$L$5,$L$4)),2,IF(P85&gt;0,1,0)))))</f>
        <v/>
      </c>
      <c r="AD85" s="16" t="str">
        <f aca="false">IF(C85="","",IF(F85="Short",IF(R85="",0,IF(R85&lt;=0.1,2,IF(R85&lt;=0.25,1,0))),IF(Q85="",0,IF(Q85&gt;=-0.1,2,IF(Q85&gt;=-0.25,1,0)))))</f>
        <v/>
      </c>
      <c r="AE85" s="16" t="str">
        <f aca="false">IF(C85="","",IF(J85="",0,IF(J85&gt;=IF(B85="JSE",$L$7,$L$6),2,IF(J85&gt;=IF(B85="JSE",$L$7,$L$6)/4,1,0))))</f>
        <v/>
      </c>
      <c r="AF85" s="16" t="str">
        <f aca="false">IF(C85="","",IF(F85="Short",AND(T85&lt;&gt;"",N(T85)&lt;0),N(T85)&gt;0)+(N(S85)&gt;=1.5))</f>
        <v/>
      </c>
      <c r="AG85" s="16" t="str">
        <f aca="false">IF(C85="","",IF(AL85="",0,IF(AL85&gt;=3,4,IF(AL85&gt;=2,2,0))))</f>
        <v/>
      </c>
      <c r="AH85" s="16" t="str">
        <f aca="false">IF(C85="","",IF(AND(ISNUMBER(V85),ISNUMBER(A85),V85&gt;=A85,V85-A85&lt;=14),-2,0))</f>
        <v/>
      </c>
      <c r="AI85" s="16" t="str">
        <f aca="false">IF(C85="","",IF(AND(F85="Short",N(U85)&gt;=0.2),-1,0))</f>
        <v/>
      </c>
      <c r="AJ85" s="23" t="str">
        <f aca="false">IF(C85="","",SUM(AB85:AI85))</f>
        <v/>
      </c>
      <c r="AK85" s="24" t="str">
        <f aca="false">IF(C85="","",IF(AJ85&gt;=14,"A",IF(AJ85&gt;=10,"B","C")))</f>
        <v/>
      </c>
      <c r="AL85" s="39" t="str">
        <f aca="false">IFERROR(IF(OR(Y85="",Z85="",AA85=""),"",IF(F85="Short",IF(Z85&lt;=Y85,"",(Y85-AA85)/(Z85-Y85)),IF(Y85&lt;=Z85,"",(AA85-Y85)/(Y85-Z85)))),"")</f>
        <v/>
      </c>
      <c r="AM85" s="37" t="str">
        <f aca="false">IF(OR(Y85="",Z85="",N(Y85)=N(Z85)),"",IF(OR(AND(F85="Short",Z85&lt;Y85),AND(NOT(F85="Short"),Z85&gt;Y85)),"stop on wrong side",ABS(Y85-Z85)))</f>
        <v/>
      </c>
      <c r="AN85" s="40" t="str">
        <f aca="false">IFERROR(IF(OR(NOT(ISNUMBER(AM85)),$C$6=""),"",ROUNDDOWN($C$6*$C$7/AM85,2)),"")</f>
        <v/>
      </c>
      <c r="AO85" s="37" t="str">
        <f aca="false">IFERROR(IF(AN85="","",AN85*Y85),"")</f>
        <v/>
      </c>
      <c r="AP85" s="35"/>
      <c r="AQ85" s="19"/>
      <c r="AR85" s="26"/>
      <c r="AS85" s="41" t="str">
        <f aca="false">IFERROR(IF(OR(AR85="",Y85="",AQ85=""),"",IF(F85="Short",1-AR85/Y85,AR85/Y85-1)),"")</f>
        <v/>
      </c>
      <c r="AT85" s="42" t="str">
        <f aca="true">IF(AQ85="","",IF(ISNUMBER($C$4),$C$4,TODAY())-AQ85)</f>
        <v/>
      </c>
      <c r="AU85" s="14" t="str">
        <f aca="false">IF(C85="","",IF(AP85="Open position",IF(IF(F85="Short",AND(ISNUMBER(AR85),ISNUMBER(Z85),AR85&gt;=Z85),AND(ISNUMBER(AR85),ISNUMBER(Z85),AR85&lt;=Z85)),IF(F85="Short","COVER — stop hit (buy back)","SELL — stop hit"),IF(IF(F85="Short",AND(ISNUMBER(AR85),ISNUMBER(AA85),AR85&lt;=AA85),AND(ISNUMBER(AR85),ISNUMBER(AA85),AR85&gt;=AA85)),"TAKE PROFIT — target hit",IF(AND(ISNUMBER(AT85),AT85&gt;182),IF(F85="Short","COVER — 6-month time limit","SELL — 6-month time limit"),IF(AND(ISNUMBER(AT85),AT85&gt;42,ISNUMBER(AS85),AS85&lt;0.02),"REVIEW — no progress after 6 weeks",IF(IF(F85="Short",AND(L85&lt;&gt;"",N(L85)&gt;0),AND(L85&lt;&gt;"",N(L85)&lt;0)),IF(F85="Short","REVIEW — back above 50-day avg","REVIEW — below 50-day avg"),"HOLD"))))),IF(OR(AP85="Closed",AP85="Dropped"),"Closed",IF(AK85="A",IF(F85="Short","Run Technical Review — SHORT entry","Run Technical Review — LONG entry"),IF(AK85="B","Watch — wait for setup","Drop or re-check next week")))))</f>
        <v/>
      </c>
      <c r="AV85" s="35"/>
      <c r="AX85" s="43" t="str">
        <f aca="false">IF(AND(C85&lt;&gt;"",A85=$C$4,ISNUMBER(AJ85)),AJ85+ROW()/100000,"")</f>
        <v/>
      </c>
    </row>
    <row r="86" customFormat="false" ht="15" hidden="false" customHeight="false" outlineLevel="0" collapsed="false">
      <c r="A86" s="19"/>
      <c r="B86" s="35"/>
      <c r="C86" s="35"/>
      <c r="D86" s="35"/>
      <c r="E86" s="35"/>
      <c r="F86" s="35"/>
      <c r="G86" s="26"/>
      <c r="H86" s="26"/>
      <c r="I86" s="36"/>
      <c r="J86" s="37" t="str">
        <f aca="false">IF(OR(G86="",I86=""),"",G86*I86/1000000)</f>
        <v/>
      </c>
      <c r="K86" s="21"/>
      <c r="L86" s="21"/>
      <c r="M86" s="21"/>
      <c r="N86" s="25"/>
      <c r="O86" s="21"/>
      <c r="P86" s="21"/>
      <c r="Q86" s="21"/>
      <c r="R86" s="21"/>
      <c r="S86" s="38"/>
      <c r="T86" s="21"/>
      <c r="U86" s="21"/>
      <c r="V86" s="19"/>
      <c r="W86" s="26"/>
      <c r="X86" s="35"/>
      <c r="Y86" s="26"/>
      <c r="Z86" s="26"/>
      <c r="AA86" s="26"/>
      <c r="AB86" s="16" t="str">
        <f aca="false">IF(C86="","",IF(F86="Short",(AND(M86&lt;&gt;"",N(M86)&lt;0))+(AND(L86&lt;&gt;"",N(L86)&lt;0))+(AND(K86&lt;&gt;"",N(K86)&lt;0))+AND(L86&lt;&gt;"",M86&lt;&gt;"",N(M86)&lt;N(L86)),(N(M86)&gt;0)+(N(L86)&gt;0)+(N(K86)&gt;0)+AND(L86&lt;&gt;"",M86&lt;&gt;"",N(M86)&gt;N(L86))))</f>
        <v/>
      </c>
      <c r="AC86" s="16" t="str">
        <f aca="false">IF(C86="","",IF(F86="Short",IF(N86="",0,IF(AND(N86&gt;=30,N86&lt;=50),2,IF(OR(AND(N86&gt;=25,N86&lt;30),AND(N86&gt;50,N86&lt;=60)),1,0)))+IF(P86="",0,IF(AND(IF(B86="JSE",$L$5,$L$4)&lt;&gt;"",P86&lt;IF(B86="JSE",$L$5,$L$4)),2,IF(P86&lt;0,1,0))),IF(N86="",0,IF(AND(N86&gt;=50,N86&lt;=70),2,IF(OR(AND(N86&gt;=40,N86&lt;50),AND(N86&gt;70,N86&lt;=75)),1,0)))+IF(P86="",0,IF(AND(IF(B86="JSE",$L$5,$L$4)&lt;&gt;"",P86&gt;IF(B86="JSE",$L$5,$L$4)),2,IF(P86&gt;0,1,0)))))</f>
        <v/>
      </c>
      <c r="AD86" s="16" t="str">
        <f aca="false">IF(C86="","",IF(F86="Short",IF(R86="",0,IF(R86&lt;=0.1,2,IF(R86&lt;=0.25,1,0))),IF(Q86="",0,IF(Q86&gt;=-0.1,2,IF(Q86&gt;=-0.25,1,0)))))</f>
        <v/>
      </c>
      <c r="AE86" s="16" t="str">
        <f aca="false">IF(C86="","",IF(J86="",0,IF(J86&gt;=IF(B86="JSE",$L$7,$L$6),2,IF(J86&gt;=IF(B86="JSE",$L$7,$L$6)/4,1,0))))</f>
        <v/>
      </c>
      <c r="AF86" s="16" t="str">
        <f aca="false">IF(C86="","",IF(F86="Short",AND(T86&lt;&gt;"",N(T86)&lt;0),N(T86)&gt;0)+(N(S86)&gt;=1.5))</f>
        <v/>
      </c>
      <c r="AG86" s="16" t="str">
        <f aca="false">IF(C86="","",IF(AL86="",0,IF(AL86&gt;=3,4,IF(AL86&gt;=2,2,0))))</f>
        <v/>
      </c>
      <c r="AH86" s="16" t="str">
        <f aca="false">IF(C86="","",IF(AND(ISNUMBER(V86),ISNUMBER(A86),V86&gt;=A86,V86-A86&lt;=14),-2,0))</f>
        <v/>
      </c>
      <c r="AI86" s="16" t="str">
        <f aca="false">IF(C86="","",IF(AND(F86="Short",N(U86)&gt;=0.2),-1,0))</f>
        <v/>
      </c>
      <c r="AJ86" s="23" t="str">
        <f aca="false">IF(C86="","",SUM(AB86:AI86))</f>
        <v/>
      </c>
      <c r="AK86" s="24" t="str">
        <f aca="false">IF(C86="","",IF(AJ86&gt;=14,"A",IF(AJ86&gt;=10,"B","C")))</f>
        <v/>
      </c>
      <c r="AL86" s="39" t="str">
        <f aca="false">IFERROR(IF(OR(Y86="",Z86="",AA86=""),"",IF(F86="Short",IF(Z86&lt;=Y86,"",(Y86-AA86)/(Z86-Y86)),IF(Y86&lt;=Z86,"",(AA86-Y86)/(Y86-Z86)))),"")</f>
        <v/>
      </c>
      <c r="AM86" s="37" t="str">
        <f aca="false">IF(OR(Y86="",Z86="",N(Y86)=N(Z86)),"",IF(OR(AND(F86="Short",Z86&lt;Y86),AND(NOT(F86="Short"),Z86&gt;Y86)),"stop on wrong side",ABS(Y86-Z86)))</f>
        <v/>
      </c>
      <c r="AN86" s="40" t="str">
        <f aca="false">IFERROR(IF(OR(NOT(ISNUMBER(AM86)),$C$6=""),"",ROUNDDOWN($C$6*$C$7/AM86,2)),"")</f>
        <v/>
      </c>
      <c r="AO86" s="37" t="str">
        <f aca="false">IFERROR(IF(AN86="","",AN86*Y86),"")</f>
        <v/>
      </c>
      <c r="AP86" s="35"/>
      <c r="AQ86" s="19"/>
      <c r="AR86" s="26"/>
      <c r="AS86" s="41" t="str">
        <f aca="false">IFERROR(IF(OR(AR86="",Y86="",AQ86=""),"",IF(F86="Short",1-AR86/Y86,AR86/Y86-1)),"")</f>
        <v/>
      </c>
      <c r="AT86" s="42" t="str">
        <f aca="true">IF(AQ86="","",IF(ISNUMBER($C$4),$C$4,TODAY())-AQ86)</f>
        <v/>
      </c>
      <c r="AU86" s="14" t="str">
        <f aca="false">IF(C86="","",IF(AP86="Open position",IF(IF(F86="Short",AND(ISNUMBER(AR86),ISNUMBER(Z86),AR86&gt;=Z86),AND(ISNUMBER(AR86),ISNUMBER(Z86),AR86&lt;=Z86)),IF(F86="Short","COVER — stop hit (buy back)","SELL — stop hit"),IF(IF(F86="Short",AND(ISNUMBER(AR86),ISNUMBER(AA86),AR86&lt;=AA86),AND(ISNUMBER(AR86),ISNUMBER(AA86),AR86&gt;=AA86)),"TAKE PROFIT — target hit",IF(AND(ISNUMBER(AT86),AT86&gt;182),IF(F86="Short","COVER — 6-month time limit","SELL — 6-month time limit"),IF(AND(ISNUMBER(AT86),AT86&gt;42,ISNUMBER(AS86),AS86&lt;0.02),"REVIEW — no progress after 6 weeks",IF(IF(F86="Short",AND(L86&lt;&gt;"",N(L86)&gt;0),AND(L86&lt;&gt;"",N(L86)&lt;0)),IF(F86="Short","REVIEW — back above 50-day avg","REVIEW — below 50-day avg"),"HOLD"))))),IF(OR(AP86="Closed",AP86="Dropped"),"Closed",IF(AK86="A",IF(F86="Short","Run Technical Review — SHORT entry","Run Technical Review — LONG entry"),IF(AK86="B","Watch — wait for setup","Drop or re-check next week")))))</f>
        <v/>
      </c>
      <c r="AV86" s="35"/>
      <c r="AX86" s="43" t="str">
        <f aca="false">IF(AND(C86&lt;&gt;"",A86=$C$4,ISNUMBER(AJ86)),AJ86+ROW()/100000,"")</f>
        <v/>
      </c>
    </row>
    <row r="87" customFormat="false" ht="15" hidden="false" customHeight="false" outlineLevel="0" collapsed="false">
      <c r="A87" s="19"/>
      <c r="B87" s="35"/>
      <c r="C87" s="35"/>
      <c r="D87" s="35"/>
      <c r="E87" s="35"/>
      <c r="F87" s="35"/>
      <c r="G87" s="26"/>
      <c r="H87" s="26"/>
      <c r="I87" s="36"/>
      <c r="J87" s="37" t="str">
        <f aca="false">IF(OR(G87="",I87=""),"",G87*I87/1000000)</f>
        <v/>
      </c>
      <c r="K87" s="21"/>
      <c r="L87" s="21"/>
      <c r="M87" s="21"/>
      <c r="N87" s="25"/>
      <c r="O87" s="21"/>
      <c r="P87" s="21"/>
      <c r="Q87" s="21"/>
      <c r="R87" s="21"/>
      <c r="S87" s="38"/>
      <c r="T87" s="21"/>
      <c r="U87" s="21"/>
      <c r="V87" s="19"/>
      <c r="W87" s="26"/>
      <c r="X87" s="35"/>
      <c r="Y87" s="26"/>
      <c r="Z87" s="26"/>
      <c r="AA87" s="26"/>
      <c r="AB87" s="16" t="str">
        <f aca="false">IF(C87="","",IF(F87="Short",(AND(M87&lt;&gt;"",N(M87)&lt;0))+(AND(L87&lt;&gt;"",N(L87)&lt;0))+(AND(K87&lt;&gt;"",N(K87)&lt;0))+AND(L87&lt;&gt;"",M87&lt;&gt;"",N(M87)&lt;N(L87)),(N(M87)&gt;0)+(N(L87)&gt;0)+(N(K87)&gt;0)+AND(L87&lt;&gt;"",M87&lt;&gt;"",N(M87)&gt;N(L87))))</f>
        <v/>
      </c>
      <c r="AC87" s="16" t="str">
        <f aca="false">IF(C87="","",IF(F87="Short",IF(N87="",0,IF(AND(N87&gt;=30,N87&lt;=50),2,IF(OR(AND(N87&gt;=25,N87&lt;30),AND(N87&gt;50,N87&lt;=60)),1,0)))+IF(P87="",0,IF(AND(IF(B87="JSE",$L$5,$L$4)&lt;&gt;"",P87&lt;IF(B87="JSE",$L$5,$L$4)),2,IF(P87&lt;0,1,0))),IF(N87="",0,IF(AND(N87&gt;=50,N87&lt;=70),2,IF(OR(AND(N87&gt;=40,N87&lt;50),AND(N87&gt;70,N87&lt;=75)),1,0)))+IF(P87="",0,IF(AND(IF(B87="JSE",$L$5,$L$4)&lt;&gt;"",P87&gt;IF(B87="JSE",$L$5,$L$4)),2,IF(P87&gt;0,1,0)))))</f>
        <v/>
      </c>
      <c r="AD87" s="16" t="str">
        <f aca="false">IF(C87="","",IF(F87="Short",IF(R87="",0,IF(R87&lt;=0.1,2,IF(R87&lt;=0.25,1,0))),IF(Q87="",0,IF(Q87&gt;=-0.1,2,IF(Q87&gt;=-0.25,1,0)))))</f>
        <v/>
      </c>
      <c r="AE87" s="16" t="str">
        <f aca="false">IF(C87="","",IF(J87="",0,IF(J87&gt;=IF(B87="JSE",$L$7,$L$6),2,IF(J87&gt;=IF(B87="JSE",$L$7,$L$6)/4,1,0))))</f>
        <v/>
      </c>
      <c r="AF87" s="16" t="str">
        <f aca="false">IF(C87="","",IF(F87="Short",AND(T87&lt;&gt;"",N(T87)&lt;0),N(T87)&gt;0)+(N(S87)&gt;=1.5))</f>
        <v/>
      </c>
      <c r="AG87" s="16" t="str">
        <f aca="false">IF(C87="","",IF(AL87="",0,IF(AL87&gt;=3,4,IF(AL87&gt;=2,2,0))))</f>
        <v/>
      </c>
      <c r="AH87" s="16" t="str">
        <f aca="false">IF(C87="","",IF(AND(ISNUMBER(V87),ISNUMBER(A87),V87&gt;=A87,V87-A87&lt;=14),-2,0))</f>
        <v/>
      </c>
      <c r="AI87" s="16" t="str">
        <f aca="false">IF(C87="","",IF(AND(F87="Short",N(U87)&gt;=0.2),-1,0))</f>
        <v/>
      </c>
      <c r="AJ87" s="23" t="str">
        <f aca="false">IF(C87="","",SUM(AB87:AI87))</f>
        <v/>
      </c>
      <c r="AK87" s="24" t="str">
        <f aca="false">IF(C87="","",IF(AJ87&gt;=14,"A",IF(AJ87&gt;=10,"B","C")))</f>
        <v/>
      </c>
      <c r="AL87" s="39" t="str">
        <f aca="false">IFERROR(IF(OR(Y87="",Z87="",AA87=""),"",IF(F87="Short",IF(Z87&lt;=Y87,"",(Y87-AA87)/(Z87-Y87)),IF(Y87&lt;=Z87,"",(AA87-Y87)/(Y87-Z87)))),"")</f>
        <v/>
      </c>
      <c r="AM87" s="37" t="str">
        <f aca="false">IF(OR(Y87="",Z87="",N(Y87)=N(Z87)),"",IF(OR(AND(F87="Short",Z87&lt;Y87),AND(NOT(F87="Short"),Z87&gt;Y87)),"stop on wrong side",ABS(Y87-Z87)))</f>
        <v/>
      </c>
      <c r="AN87" s="40" t="str">
        <f aca="false">IFERROR(IF(OR(NOT(ISNUMBER(AM87)),$C$6=""),"",ROUNDDOWN($C$6*$C$7/AM87,2)),"")</f>
        <v/>
      </c>
      <c r="AO87" s="37" t="str">
        <f aca="false">IFERROR(IF(AN87="","",AN87*Y87),"")</f>
        <v/>
      </c>
      <c r="AP87" s="35"/>
      <c r="AQ87" s="19"/>
      <c r="AR87" s="26"/>
      <c r="AS87" s="41" t="str">
        <f aca="false">IFERROR(IF(OR(AR87="",Y87="",AQ87=""),"",IF(F87="Short",1-AR87/Y87,AR87/Y87-1)),"")</f>
        <v/>
      </c>
      <c r="AT87" s="42" t="str">
        <f aca="true">IF(AQ87="","",IF(ISNUMBER($C$4),$C$4,TODAY())-AQ87)</f>
        <v/>
      </c>
      <c r="AU87" s="14" t="str">
        <f aca="false">IF(C87="","",IF(AP87="Open position",IF(IF(F87="Short",AND(ISNUMBER(AR87),ISNUMBER(Z87),AR87&gt;=Z87),AND(ISNUMBER(AR87),ISNUMBER(Z87),AR87&lt;=Z87)),IF(F87="Short","COVER — stop hit (buy back)","SELL — stop hit"),IF(IF(F87="Short",AND(ISNUMBER(AR87),ISNUMBER(AA87),AR87&lt;=AA87),AND(ISNUMBER(AR87),ISNUMBER(AA87),AR87&gt;=AA87)),"TAKE PROFIT — target hit",IF(AND(ISNUMBER(AT87),AT87&gt;182),IF(F87="Short","COVER — 6-month time limit","SELL — 6-month time limit"),IF(AND(ISNUMBER(AT87),AT87&gt;42,ISNUMBER(AS87),AS87&lt;0.02),"REVIEW — no progress after 6 weeks",IF(IF(F87="Short",AND(L87&lt;&gt;"",N(L87)&gt;0),AND(L87&lt;&gt;"",N(L87)&lt;0)),IF(F87="Short","REVIEW — back above 50-day avg","REVIEW — below 50-day avg"),"HOLD"))))),IF(OR(AP87="Closed",AP87="Dropped"),"Closed",IF(AK87="A",IF(F87="Short","Run Technical Review — SHORT entry","Run Technical Review — LONG entry"),IF(AK87="B","Watch — wait for setup","Drop or re-check next week")))))</f>
        <v/>
      </c>
      <c r="AV87" s="35"/>
      <c r="AX87" s="43" t="str">
        <f aca="false">IF(AND(C87&lt;&gt;"",A87=$C$4,ISNUMBER(AJ87)),AJ87+ROW()/100000,"")</f>
        <v/>
      </c>
    </row>
    <row r="88" customFormat="false" ht="15" hidden="false" customHeight="false" outlineLevel="0" collapsed="false">
      <c r="A88" s="19"/>
      <c r="B88" s="35"/>
      <c r="C88" s="35"/>
      <c r="D88" s="35"/>
      <c r="E88" s="35"/>
      <c r="F88" s="35"/>
      <c r="G88" s="26"/>
      <c r="H88" s="26"/>
      <c r="I88" s="36"/>
      <c r="J88" s="37" t="str">
        <f aca="false">IF(OR(G88="",I88=""),"",G88*I88/1000000)</f>
        <v/>
      </c>
      <c r="K88" s="21"/>
      <c r="L88" s="21"/>
      <c r="M88" s="21"/>
      <c r="N88" s="25"/>
      <c r="O88" s="21"/>
      <c r="P88" s="21"/>
      <c r="Q88" s="21"/>
      <c r="R88" s="21"/>
      <c r="S88" s="38"/>
      <c r="T88" s="21"/>
      <c r="U88" s="21"/>
      <c r="V88" s="19"/>
      <c r="W88" s="26"/>
      <c r="X88" s="35"/>
      <c r="Y88" s="26"/>
      <c r="Z88" s="26"/>
      <c r="AA88" s="26"/>
      <c r="AB88" s="16" t="str">
        <f aca="false">IF(C88="","",IF(F88="Short",(AND(M88&lt;&gt;"",N(M88)&lt;0))+(AND(L88&lt;&gt;"",N(L88)&lt;0))+(AND(K88&lt;&gt;"",N(K88)&lt;0))+AND(L88&lt;&gt;"",M88&lt;&gt;"",N(M88)&lt;N(L88)),(N(M88)&gt;0)+(N(L88)&gt;0)+(N(K88)&gt;0)+AND(L88&lt;&gt;"",M88&lt;&gt;"",N(M88)&gt;N(L88))))</f>
        <v/>
      </c>
      <c r="AC88" s="16" t="str">
        <f aca="false">IF(C88="","",IF(F88="Short",IF(N88="",0,IF(AND(N88&gt;=30,N88&lt;=50),2,IF(OR(AND(N88&gt;=25,N88&lt;30),AND(N88&gt;50,N88&lt;=60)),1,0)))+IF(P88="",0,IF(AND(IF(B88="JSE",$L$5,$L$4)&lt;&gt;"",P88&lt;IF(B88="JSE",$L$5,$L$4)),2,IF(P88&lt;0,1,0))),IF(N88="",0,IF(AND(N88&gt;=50,N88&lt;=70),2,IF(OR(AND(N88&gt;=40,N88&lt;50),AND(N88&gt;70,N88&lt;=75)),1,0)))+IF(P88="",0,IF(AND(IF(B88="JSE",$L$5,$L$4)&lt;&gt;"",P88&gt;IF(B88="JSE",$L$5,$L$4)),2,IF(P88&gt;0,1,0)))))</f>
        <v/>
      </c>
      <c r="AD88" s="16" t="str">
        <f aca="false">IF(C88="","",IF(F88="Short",IF(R88="",0,IF(R88&lt;=0.1,2,IF(R88&lt;=0.25,1,0))),IF(Q88="",0,IF(Q88&gt;=-0.1,2,IF(Q88&gt;=-0.25,1,0)))))</f>
        <v/>
      </c>
      <c r="AE88" s="16" t="str">
        <f aca="false">IF(C88="","",IF(J88="",0,IF(J88&gt;=IF(B88="JSE",$L$7,$L$6),2,IF(J88&gt;=IF(B88="JSE",$L$7,$L$6)/4,1,0))))</f>
        <v/>
      </c>
      <c r="AF88" s="16" t="str">
        <f aca="false">IF(C88="","",IF(F88="Short",AND(T88&lt;&gt;"",N(T88)&lt;0),N(T88)&gt;0)+(N(S88)&gt;=1.5))</f>
        <v/>
      </c>
      <c r="AG88" s="16" t="str">
        <f aca="false">IF(C88="","",IF(AL88="",0,IF(AL88&gt;=3,4,IF(AL88&gt;=2,2,0))))</f>
        <v/>
      </c>
      <c r="AH88" s="16" t="str">
        <f aca="false">IF(C88="","",IF(AND(ISNUMBER(V88),ISNUMBER(A88),V88&gt;=A88,V88-A88&lt;=14),-2,0))</f>
        <v/>
      </c>
      <c r="AI88" s="16" t="str">
        <f aca="false">IF(C88="","",IF(AND(F88="Short",N(U88)&gt;=0.2),-1,0))</f>
        <v/>
      </c>
      <c r="AJ88" s="23" t="str">
        <f aca="false">IF(C88="","",SUM(AB88:AI88))</f>
        <v/>
      </c>
      <c r="AK88" s="24" t="str">
        <f aca="false">IF(C88="","",IF(AJ88&gt;=14,"A",IF(AJ88&gt;=10,"B","C")))</f>
        <v/>
      </c>
      <c r="AL88" s="39" t="str">
        <f aca="false">IFERROR(IF(OR(Y88="",Z88="",AA88=""),"",IF(F88="Short",IF(Z88&lt;=Y88,"",(Y88-AA88)/(Z88-Y88)),IF(Y88&lt;=Z88,"",(AA88-Y88)/(Y88-Z88)))),"")</f>
        <v/>
      </c>
      <c r="AM88" s="37" t="str">
        <f aca="false">IF(OR(Y88="",Z88="",N(Y88)=N(Z88)),"",IF(OR(AND(F88="Short",Z88&lt;Y88),AND(NOT(F88="Short"),Z88&gt;Y88)),"stop on wrong side",ABS(Y88-Z88)))</f>
        <v/>
      </c>
      <c r="AN88" s="40" t="str">
        <f aca="false">IFERROR(IF(OR(NOT(ISNUMBER(AM88)),$C$6=""),"",ROUNDDOWN($C$6*$C$7/AM88,2)),"")</f>
        <v/>
      </c>
      <c r="AO88" s="37" t="str">
        <f aca="false">IFERROR(IF(AN88="","",AN88*Y88),"")</f>
        <v/>
      </c>
      <c r="AP88" s="35"/>
      <c r="AQ88" s="19"/>
      <c r="AR88" s="26"/>
      <c r="AS88" s="41" t="str">
        <f aca="false">IFERROR(IF(OR(AR88="",Y88="",AQ88=""),"",IF(F88="Short",1-AR88/Y88,AR88/Y88-1)),"")</f>
        <v/>
      </c>
      <c r="AT88" s="42" t="str">
        <f aca="true">IF(AQ88="","",IF(ISNUMBER($C$4),$C$4,TODAY())-AQ88)</f>
        <v/>
      </c>
      <c r="AU88" s="14" t="str">
        <f aca="false">IF(C88="","",IF(AP88="Open position",IF(IF(F88="Short",AND(ISNUMBER(AR88),ISNUMBER(Z88),AR88&gt;=Z88),AND(ISNUMBER(AR88),ISNUMBER(Z88),AR88&lt;=Z88)),IF(F88="Short","COVER — stop hit (buy back)","SELL — stop hit"),IF(IF(F88="Short",AND(ISNUMBER(AR88),ISNUMBER(AA88),AR88&lt;=AA88),AND(ISNUMBER(AR88),ISNUMBER(AA88),AR88&gt;=AA88)),"TAKE PROFIT — target hit",IF(AND(ISNUMBER(AT88),AT88&gt;182),IF(F88="Short","COVER — 6-month time limit","SELL — 6-month time limit"),IF(AND(ISNUMBER(AT88),AT88&gt;42,ISNUMBER(AS88),AS88&lt;0.02),"REVIEW — no progress after 6 weeks",IF(IF(F88="Short",AND(L88&lt;&gt;"",N(L88)&gt;0),AND(L88&lt;&gt;"",N(L88)&lt;0)),IF(F88="Short","REVIEW — back above 50-day avg","REVIEW — below 50-day avg"),"HOLD"))))),IF(OR(AP88="Closed",AP88="Dropped"),"Closed",IF(AK88="A",IF(F88="Short","Run Technical Review — SHORT entry","Run Technical Review — LONG entry"),IF(AK88="B","Watch — wait for setup","Drop or re-check next week")))))</f>
        <v/>
      </c>
      <c r="AV88" s="35"/>
      <c r="AX88" s="43" t="str">
        <f aca="false">IF(AND(C88&lt;&gt;"",A88=$C$4,ISNUMBER(AJ88)),AJ88+ROW()/100000,"")</f>
        <v/>
      </c>
    </row>
    <row r="89" customFormat="false" ht="15" hidden="false" customHeight="false" outlineLevel="0" collapsed="false">
      <c r="A89" s="19"/>
      <c r="B89" s="35"/>
      <c r="C89" s="35"/>
      <c r="D89" s="35"/>
      <c r="E89" s="35"/>
      <c r="F89" s="35"/>
      <c r="G89" s="26"/>
      <c r="H89" s="26"/>
      <c r="I89" s="36"/>
      <c r="J89" s="37" t="str">
        <f aca="false">IF(OR(G89="",I89=""),"",G89*I89/1000000)</f>
        <v/>
      </c>
      <c r="K89" s="21"/>
      <c r="L89" s="21"/>
      <c r="M89" s="21"/>
      <c r="N89" s="25"/>
      <c r="O89" s="21"/>
      <c r="P89" s="21"/>
      <c r="Q89" s="21"/>
      <c r="R89" s="21"/>
      <c r="S89" s="38"/>
      <c r="T89" s="21"/>
      <c r="U89" s="21"/>
      <c r="V89" s="19"/>
      <c r="W89" s="26"/>
      <c r="X89" s="35"/>
      <c r="Y89" s="26"/>
      <c r="Z89" s="26"/>
      <c r="AA89" s="26"/>
      <c r="AB89" s="16" t="str">
        <f aca="false">IF(C89="","",IF(F89="Short",(AND(M89&lt;&gt;"",N(M89)&lt;0))+(AND(L89&lt;&gt;"",N(L89)&lt;0))+(AND(K89&lt;&gt;"",N(K89)&lt;0))+AND(L89&lt;&gt;"",M89&lt;&gt;"",N(M89)&lt;N(L89)),(N(M89)&gt;0)+(N(L89)&gt;0)+(N(K89)&gt;0)+AND(L89&lt;&gt;"",M89&lt;&gt;"",N(M89)&gt;N(L89))))</f>
        <v/>
      </c>
      <c r="AC89" s="16" t="str">
        <f aca="false">IF(C89="","",IF(F89="Short",IF(N89="",0,IF(AND(N89&gt;=30,N89&lt;=50),2,IF(OR(AND(N89&gt;=25,N89&lt;30),AND(N89&gt;50,N89&lt;=60)),1,0)))+IF(P89="",0,IF(AND(IF(B89="JSE",$L$5,$L$4)&lt;&gt;"",P89&lt;IF(B89="JSE",$L$5,$L$4)),2,IF(P89&lt;0,1,0))),IF(N89="",0,IF(AND(N89&gt;=50,N89&lt;=70),2,IF(OR(AND(N89&gt;=40,N89&lt;50),AND(N89&gt;70,N89&lt;=75)),1,0)))+IF(P89="",0,IF(AND(IF(B89="JSE",$L$5,$L$4)&lt;&gt;"",P89&gt;IF(B89="JSE",$L$5,$L$4)),2,IF(P89&gt;0,1,0)))))</f>
        <v/>
      </c>
      <c r="AD89" s="16" t="str">
        <f aca="false">IF(C89="","",IF(F89="Short",IF(R89="",0,IF(R89&lt;=0.1,2,IF(R89&lt;=0.25,1,0))),IF(Q89="",0,IF(Q89&gt;=-0.1,2,IF(Q89&gt;=-0.25,1,0)))))</f>
        <v/>
      </c>
      <c r="AE89" s="16" t="str">
        <f aca="false">IF(C89="","",IF(J89="",0,IF(J89&gt;=IF(B89="JSE",$L$7,$L$6),2,IF(J89&gt;=IF(B89="JSE",$L$7,$L$6)/4,1,0))))</f>
        <v/>
      </c>
      <c r="AF89" s="16" t="str">
        <f aca="false">IF(C89="","",IF(F89="Short",AND(T89&lt;&gt;"",N(T89)&lt;0),N(T89)&gt;0)+(N(S89)&gt;=1.5))</f>
        <v/>
      </c>
      <c r="AG89" s="16" t="str">
        <f aca="false">IF(C89="","",IF(AL89="",0,IF(AL89&gt;=3,4,IF(AL89&gt;=2,2,0))))</f>
        <v/>
      </c>
      <c r="AH89" s="16" t="str">
        <f aca="false">IF(C89="","",IF(AND(ISNUMBER(V89),ISNUMBER(A89),V89&gt;=A89,V89-A89&lt;=14),-2,0))</f>
        <v/>
      </c>
      <c r="AI89" s="16" t="str">
        <f aca="false">IF(C89="","",IF(AND(F89="Short",N(U89)&gt;=0.2),-1,0))</f>
        <v/>
      </c>
      <c r="AJ89" s="23" t="str">
        <f aca="false">IF(C89="","",SUM(AB89:AI89))</f>
        <v/>
      </c>
      <c r="AK89" s="24" t="str">
        <f aca="false">IF(C89="","",IF(AJ89&gt;=14,"A",IF(AJ89&gt;=10,"B","C")))</f>
        <v/>
      </c>
      <c r="AL89" s="39" t="str">
        <f aca="false">IFERROR(IF(OR(Y89="",Z89="",AA89=""),"",IF(F89="Short",IF(Z89&lt;=Y89,"",(Y89-AA89)/(Z89-Y89)),IF(Y89&lt;=Z89,"",(AA89-Y89)/(Y89-Z89)))),"")</f>
        <v/>
      </c>
      <c r="AM89" s="37" t="str">
        <f aca="false">IF(OR(Y89="",Z89="",N(Y89)=N(Z89)),"",IF(OR(AND(F89="Short",Z89&lt;Y89),AND(NOT(F89="Short"),Z89&gt;Y89)),"stop on wrong side",ABS(Y89-Z89)))</f>
        <v/>
      </c>
      <c r="AN89" s="40" t="str">
        <f aca="false">IFERROR(IF(OR(NOT(ISNUMBER(AM89)),$C$6=""),"",ROUNDDOWN($C$6*$C$7/AM89,2)),"")</f>
        <v/>
      </c>
      <c r="AO89" s="37" t="str">
        <f aca="false">IFERROR(IF(AN89="","",AN89*Y89),"")</f>
        <v/>
      </c>
      <c r="AP89" s="35"/>
      <c r="AQ89" s="19"/>
      <c r="AR89" s="26"/>
      <c r="AS89" s="41" t="str">
        <f aca="false">IFERROR(IF(OR(AR89="",Y89="",AQ89=""),"",IF(F89="Short",1-AR89/Y89,AR89/Y89-1)),"")</f>
        <v/>
      </c>
      <c r="AT89" s="42" t="str">
        <f aca="true">IF(AQ89="","",IF(ISNUMBER($C$4),$C$4,TODAY())-AQ89)</f>
        <v/>
      </c>
      <c r="AU89" s="14" t="str">
        <f aca="false">IF(C89="","",IF(AP89="Open position",IF(IF(F89="Short",AND(ISNUMBER(AR89),ISNUMBER(Z89),AR89&gt;=Z89),AND(ISNUMBER(AR89),ISNUMBER(Z89),AR89&lt;=Z89)),IF(F89="Short","COVER — stop hit (buy back)","SELL — stop hit"),IF(IF(F89="Short",AND(ISNUMBER(AR89),ISNUMBER(AA89),AR89&lt;=AA89),AND(ISNUMBER(AR89),ISNUMBER(AA89),AR89&gt;=AA89)),"TAKE PROFIT — target hit",IF(AND(ISNUMBER(AT89),AT89&gt;182),IF(F89="Short","COVER — 6-month time limit","SELL — 6-month time limit"),IF(AND(ISNUMBER(AT89),AT89&gt;42,ISNUMBER(AS89),AS89&lt;0.02),"REVIEW — no progress after 6 weeks",IF(IF(F89="Short",AND(L89&lt;&gt;"",N(L89)&gt;0),AND(L89&lt;&gt;"",N(L89)&lt;0)),IF(F89="Short","REVIEW — back above 50-day avg","REVIEW — below 50-day avg"),"HOLD"))))),IF(OR(AP89="Closed",AP89="Dropped"),"Closed",IF(AK89="A",IF(F89="Short","Run Technical Review — SHORT entry","Run Technical Review — LONG entry"),IF(AK89="B","Watch — wait for setup","Drop or re-check next week")))))</f>
        <v/>
      </c>
      <c r="AV89" s="35"/>
      <c r="AX89" s="43" t="str">
        <f aca="false">IF(AND(C89&lt;&gt;"",A89=$C$4,ISNUMBER(AJ89)),AJ89+ROW()/100000,"")</f>
        <v/>
      </c>
    </row>
    <row r="90" customFormat="false" ht="15" hidden="false" customHeight="false" outlineLevel="0" collapsed="false">
      <c r="A90" s="19"/>
      <c r="B90" s="35"/>
      <c r="C90" s="35"/>
      <c r="D90" s="35"/>
      <c r="E90" s="35"/>
      <c r="F90" s="35"/>
      <c r="G90" s="26"/>
      <c r="H90" s="26"/>
      <c r="I90" s="36"/>
      <c r="J90" s="37" t="str">
        <f aca="false">IF(OR(G90="",I90=""),"",G90*I90/1000000)</f>
        <v/>
      </c>
      <c r="K90" s="21"/>
      <c r="L90" s="21"/>
      <c r="M90" s="21"/>
      <c r="N90" s="25"/>
      <c r="O90" s="21"/>
      <c r="P90" s="21"/>
      <c r="Q90" s="21"/>
      <c r="R90" s="21"/>
      <c r="S90" s="38"/>
      <c r="T90" s="21"/>
      <c r="U90" s="21"/>
      <c r="V90" s="19"/>
      <c r="W90" s="26"/>
      <c r="X90" s="35"/>
      <c r="Y90" s="26"/>
      <c r="Z90" s="26"/>
      <c r="AA90" s="26"/>
      <c r="AB90" s="16" t="str">
        <f aca="false">IF(C90="","",IF(F90="Short",(AND(M90&lt;&gt;"",N(M90)&lt;0))+(AND(L90&lt;&gt;"",N(L90)&lt;0))+(AND(K90&lt;&gt;"",N(K90)&lt;0))+AND(L90&lt;&gt;"",M90&lt;&gt;"",N(M90)&lt;N(L90)),(N(M90)&gt;0)+(N(L90)&gt;0)+(N(K90)&gt;0)+AND(L90&lt;&gt;"",M90&lt;&gt;"",N(M90)&gt;N(L90))))</f>
        <v/>
      </c>
      <c r="AC90" s="16" t="str">
        <f aca="false">IF(C90="","",IF(F90="Short",IF(N90="",0,IF(AND(N90&gt;=30,N90&lt;=50),2,IF(OR(AND(N90&gt;=25,N90&lt;30),AND(N90&gt;50,N90&lt;=60)),1,0)))+IF(P90="",0,IF(AND(IF(B90="JSE",$L$5,$L$4)&lt;&gt;"",P90&lt;IF(B90="JSE",$L$5,$L$4)),2,IF(P90&lt;0,1,0))),IF(N90="",0,IF(AND(N90&gt;=50,N90&lt;=70),2,IF(OR(AND(N90&gt;=40,N90&lt;50),AND(N90&gt;70,N90&lt;=75)),1,0)))+IF(P90="",0,IF(AND(IF(B90="JSE",$L$5,$L$4)&lt;&gt;"",P90&gt;IF(B90="JSE",$L$5,$L$4)),2,IF(P90&gt;0,1,0)))))</f>
        <v/>
      </c>
      <c r="AD90" s="16" t="str">
        <f aca="false">IF(C90="","",IF(F90="Short",IF(R90="",0,IF(R90&lt;=0.1,2,IF(R90&lt;=0.25,1,0))),IF(Q90="",0,IF(Q90&gt;=-0.1,2,IF(Q90&gt;=-0.25,1,0)))))</f>
        <v/>
      </c>
      <c r="AE90" s="16" t="str">
        <f aca="false">IF(C90="","",IF(J90="",0,IF(J90&gt;=IF(B90="JSE",$L$7,$L$6),2,IF(J90&gt;=IF(B90="JSE",$L$7,$L$6)/4,1,0))))</f>
        <v/>
      </c>
      <c r="AF90" s="16" t="str">
        <f aca="false">IF(C90="","",IF(F90="Short",AND(T90&lt;&gt;"",N(T90)&lt;0),N(T90)&gt;0)+(N(S90)&gt;=1.5))</f>
        <v/>
      </c>
      <c r="AG90" s="16" t="str">
        <f aca="false">IF(C90="","",IF(AL90="",0,IF(AL90&gt;=3,4,IF(AL90&gt;=2,2,0))))</f>
        <v/>
      </c>
      <c r="AH90" s="16" t="str">
        <f aca="false">IF(C90="","",IF(AND(ISNUMBER(V90),ISNUMBER(A90),V90&gt;=A90,V90-A90&lt;=14),-2,0))</f>
        <v/>
      </c>
      <c r="AI90" s="16" t="str">
        <f aca="false">IF(C90="","",IF(AND(F90="Short",N(U90)&gt;=0.2),-1,0))</f>
        <v/>
      </c>
      <c r="AJ90" s="23" t="str">
        <f aca="false">IF(C90="","",SUM(AB90:AI90))</f>
        <v/>
      </c>
      <c r="AK90" s="24" t="str">
        <f aca="false">IF(C90="","",IF(AJ90&gt;=14,"A",IF(AJ90&gt;=10,"B","C")))</f>
        <v/>
      </c>
      <c r="AL90" s="39" t="str">
        <f aca="false">IFERROR(IF(OR(Y90="",Z90="",AA90=""),"",IF(F90="Short",IF(Z90&lt;=Y90,"",(Y90-AA90)/(Z90-Y90)),IF(Y90&lt;=Z90,"",(AA90-Y90)/(Y90-Z90)))),"")</f>
        <v/>
      </c>
      <c r="AM90" s="37" t="str">
        <f aca="false">IF(OR(Y90="",Z90="",N(Y90)=N(Z90)),"",IF(OR(AND(F90="Short",Z90&lt;Y90),AND(NOT(F90="Short"),Z90&gt;Y90)),"stop on wrong side",ABS(Y90-Z90)))</f>
        <v/>
      </c>
      <c r="AN90" s="40" t="str">
        <f aca="false">IFERROR(IF(OR(NOT(ISNUMBER(AM90)),$C$6=""),"",ROUNDDOWN($C$6*$C$7/AM90,2)),"")</f>
        <v/>
      </c>
      <c r="AO90" s="37" t="str">
        <f aca="false">IFERROR(IF(AN90="","",AN90*Y90),"")</f>
        <v/>
      </c>
      <c r="AP90" s="35"/>
      <c r="AQ90" s="19"/>
      <c r="AR90" s="26"/>
      <c r="AS90" s="41" t="str">
        <f aca="false">IFERROR(IF(OR(AR90="",Y90="",AQ90=""),"",IF(F90="Short",1-AR90/Y90,AR90/Y90-1)),"")</f>
        <v/>
      </c>
      <c r="AT90" s="42" t="str">
        <f aca="true">IF(AQ90="","",IF(ISNUMBER($C$4),$C$4,TODAY())-AQ90)</f>
        <v/>
      </c>
      <c r="AU90" s="14" t="str">
        <f aca="false">IF(C90="","",IF(AP90="Open position",IF(IF(F90="Short",AND(ISNUMBER(AR90),ISNUMBER(Z90),AR90&gt;=Z90),AND(ISNUMBER(AR90),ISNUMBER(Z90),AR90&lt;=Z90)),IF(F90="Short","COVER — stop hit (buy back)","SELL — stop hit"),IF(IF(F90="Short",AND(ISNUMBER(AR90),ISNUMBER(AA90),AR90&lt;=AA90),AND(ISNUMBER(AR90),ISNUMBER(AA90),AR90&gt;=AA90)),"TAKE PROFIT — target hit",IF(AND(ISNUMBER(AT90),AT90&gt;182),IF(F90="Short","COVER — 6-month time limit","SELL — 6-month time limit"),IF(AND(ISNUMBER(AT90),AT90&gt;42,ISNUMBER(AS90),AS90&lt;0.02),"REVIEW — no progress after 6 weeks",IF(IF(F90="Short",AND(L90&lt;&gt;"",N(L90)&gt;0),AND(L90&lt;&gt;"",N(L90)&lt;0)),IF(F90="Short","REVIEW — back above 50-day avg","REVIEW — below 50-day avg"),"HOLD"))))),IF(OR(AP90="Closed",AP90="Dropped"),"Closed",IF(AK90="A",IF(F90="Short","Run Technical Review — SHORT entry","Run Technical Review — LONG entry"),IF(AK90="B","Watch — wait for setup","Drop or re-check next week")))))</f>
        <v/>
      </c>
      <c r="AV90" s="35"/>
      <c r="AX90" s="43" t="str">
        <f aca="false">IF(AND(C90&lt;&gt;"",A90=$C$4,ISNUMBER(AJ90)),AJ90+ROW()/100000,"")</f>
        <v/>
      </c>
    </row>
    <row r="91" customFormat="false" ht="15" hidden="false" customHeight="false" outlineLevel="0" collapsed="false">
      <c r="A91" s="19"/>
      <c r="B91" s="35"/>
      <c r="C91" s="35"/>
      <c r="D91" s="35"/>
      <c r="E91" s="35"/>
      <c r="F91" s="35"/>
      <c r="G91" s="26"/>
      <c r="H91" s="26"/>
      <c r="I91" s="36"/>
      <c r="J91" s="37" t="str">
        <f aca="false">IF(OR(G91="",I91=""),"",G91*I91/1000000)</f>
        <v/>
      </c>
      <c r="K91" s="21"/>
      <c r="L91" s="21"/>
      <c r="M91" s="21"/>
      <c r="N91" s="25"/>
      <c r="O91" s="21"/>
      <c r="P91" s="21"/>
      <c r="Q91" s="21"/>
      <c r="R91" s="21"/>
      <c r="S91" s="38"/>
      <c r="T91" s="21"/>
      <c r="U91" s="21"/>
      <c r="V91" s="19"/>
      <c r="W91" s="26"/>
      <c r="X91" s="35"/>
      <c r="Y91" s="26"/>
      <c r="Z91" s="26"/>
      <c r="AA91" s="26"/>
      <c r="AB91" s="16" t="str">
        <f aca="false">IF(C91="","",IF(F91="Short",(AND(M91&lt;&gt;"",N(M91)&lt;0))+(AND(L91&lt;&gt;"",N(L91)&lt;0))+(AND(K91&lt;&gt;"",N(K91)&lt;0))+AND(L91&lt;&gt;"",M91&lt;&gt;"",N(M91)&lt;N(L91)),(N(M91)&gt;0)+(N(L91)&gt;0)+(N(K91)&gt;0)+AND(L91&lt;&gt;"",M91&lt;&gt;"",N(M91)&gt;N(L91))))</f>
        <v/>
      </c>
      <c r="AC91" s="16" t="str">
        <f aca="false">IF(C91="","",IF(F91="Short",IF(N91="",0,IF(AND(N91&gt;=30,N91&lt;=50),2,IF(OR(AND(N91&gt;=25,N91&lt;30),AND(N91&gt;50,N91&lt;=60)),1,0)))+IF(P91="",0,IF(AND(IF(B91="JSE",$L$5,$L$4)&lt;&gt;"",P91&lt;IF(B91="JSE",$L$5,$L$4)),2,IF(P91&lt;0,1,0))),IF(N91="",0,IF(AND(N91&gt;=50,N91&lt;=70),2,IF(OR(AND(N91&gt;=40,N91&lt;50),AND(N91&gt;70,N91&lt;=75)),1,0)))+IF(P91="",0,IF(AND(IF(B91="JSE",$L$5,$L$4)&lt;&gt;"",P91&gt;IF(B91="JSE",$L$5,$L$4)),2,IF(P91&gt;0,1,0)))))</f>
        <v/>
      </c>
      <c r="AD91" s="16" t="str">
        <f aca="false">IF(C91="","",IF(F91="Short",IF(R91="",0,IF(R91&lt;=0.1,2,IF(R91&lt;=0.25,1,0))),IF(Q91="",0,IF(Q91&gt;=-0.1,2,IF(Q91&gt;=-0.25,1,0)))))</f>
        <v/>
      </c>
      <c r="AE91" s="16" t="str">
        <f aca="false">IF(C91="","",IF(J91="",0,IF(J91&gt;=IF(B91="JSE",$L$7,$L$6),2,IF(J91&gt;=IF(B91="JSE",$L$7,$L$6)/4,1,0))))</f>
        <v/>
      </c>
      <c r="AF91" s="16" t="str">
        <f aca="false">IF(C91="","",IF(F91="Short",AND(T91&lt;&gt;"",N(T91)&lt;0),N(T91)&gt;0)+(N(S91)&gt;=1.5))</f>
        <v/>
      </c>
      <c r="AG91" s="16" t="str">
        <f aca="false">IF(C91="","",IF(AL91="",0,IF(AL91&gt;=3,4,IF(AL91&gt;=2,2,0))))</f>
        <v/>
      </c>
      <c r="AH91" s="16" t="str">
        <f aca="false">IF(C91="","",IF(AND(ISNUMBER(V91),ISNUMBER(A91),V91&gt;=A91,V91-A91&lt;=14),-2,0))</f>
        <v/>
      </c>
      <c r="AI91" s="16" t="str">
        <f aca="false">IF(C91="","",IF(AND(F91="Short",N(U91)&gt;=0.2),-1,0))</f>
        <v/>
      </c>
      <c r="AJ91" s="23" t="str">
        <f aca="false">IF(C91="","",SUM(AB91:AI91))</f>
        <v/>
      </c>
      <c r="AK91" s="24" t="str">
        <f aca="false">IF(C91="","",IF(AJ91&gt;=14,"A",IF(AJ91&gt;=10,"B","C")))</f>
        <v/>
      </c>
      <c r="AL91" s="39" t="str">
        <f aca="false">IFERROR(IF(OR(Y91="",Z91="",AA91=""),"",IF(F91="Short",IF(Z91&lt;=Y91,"",(Y91-AA91)/(Z91-Y91)),IF(Y91&lt;=Z91,"",(AA91-Y91)/(Y91-Z91)))),"")</f>
        <v/>
      </c>
      <c r="AM91" s="37" t="str">
        <f aca="false">IF(OR(Y91="",Z91="",N(Y91)=N(Z91)),"",IF(OR(AND(F91="Short",Z91&lt;Y91),AND(NOT(F91="Short"),Z91&gt;Y91)),"stop on wrong side",ABS(Y91-Z91)))</f>
        <v/>
      </c>
      <c r="AN91" s="40" t="str">
        <f aca="false">IFERROR(IF(OR(NOT(ISNUMBER(AM91)),$C$6=""),"",ROUNDDOWN($C$6*$C$7/AM91,2)),"")</f>
        <v/>
      </c>
      <c r="AO91" s="37" t="str">
        <f aca="false">IFERROR(IF(AN91="","",AN91*Y91),"")</f>
        <v/>
      </c>
      <c r="AP91" s="35"/>
      <c r="AQ91" s="19"/>
      <c r="AR91" s="26"/>
      <c r="AS91" s="41" t="str">
        <f aca="false">IFERROR(IF(OR(AR91="",Y91="",AQ91=""),"",IF(F91="Short",1-AR91/Y91,AR91/Y91-1)),"")</f>
        <v/>
      </c>
      <c r="AT91" s="42" t="str">
        <f aca="true">IF(AQ91="","",IF(ISNUMBER($C$4),$C$4,TODAY())-AQ91)</f>
        <v/>
      </c>
      <c r="AU91" s="14" t="str">
        <f aca="false">IF(C91="","",IF(AP91="Open position",IF(IF(F91="Short",AND(ISNUMBER(AR91),ISNUMBER(Z91),AR91&gt;=Z91),AND(ISNUMBER(AR91),ISNUMBER(Z91),AR91&lt;=Z91)),IF(F91="Short","COVER — stop hit (buy back)","SELL — stop hit"),IF(IF(F91="Short",AND(ISNUMBER(AR91),ISNUMBER(AA91),AR91&lt;=AA91),AND(ISNUMBER(AR91),ISNUMBER(AA91),AR91&gt;=AA91)),"TAKE PROFIT — target hit",IF(AND(ISNUMBER(AT91),AT91&gt;182),IF(F91="Short","COVER — 6-month time limit","SELL — 6-month time limit"),IF(AND(ISNUMBER(AT91),AT91&gt;42,ISNUMBER(AS91),AS91&lt;0.02),"REVIEW — no progress after 6 weeks",IF(IF(F91="Short",AND(L91&lt;&gt;"",N(L91)&gt;0),AND(L91&lt;&gt;"",N(L91)&lt;0)),IF(F91="Short","REVIEW — back above 50-day avg","REVIEW — below 50-day avg"),"HOLD"))))),IF(OR(AP91="Closed",AP91="Dropped"),"Closed",IF(AK91="A",IF(F91="Short","Run Technical Review — SHORT entry","Run Technical Review — LONG entry"),IF(AK91="B","Watch — wait for setup","Drop or re-check next week")))))</f>
        <v/>
      </c>
      <c r="AV91" s="35"/>
      <c r="AX91" s="43" t="str">
        <f aca="false">IF(AND(C91&lt;&gt;"",A91=$C$4,ISNUMBER(AJ91)),AJ91+ROW()/100000,"")</f>
        <v/>
      </c>
    </row>
    <row r="92" customFormat="false" ht="15" hidden="false" customHeight="false" outlineLevel="0" collapsed="false">
      <c r="A92" s="19"/>
      <c r="B92" s="35"/>
      <c r="C92" s="35"/>
      <c r="D92" s="35"/>
      <c r="E92" s="35"/>
      <c r="F92" s="35"/>
      <c r="G92" s="26"/>
      <c r="H92" s="26"/>
      <c r="I92" s="36"/>
      <c r="J92" s="37" t="str">
        <f aca="false">IF(OR(G92="",I92=""),"",G92*I92/1000000)</f>
        <v/>
      </c>
      <c r="K92" s="21"/>
      <c r="L92" s="21"/>
      <c r="M92" s="21"/>
      <c r="N92" s="25"/>
      <c r="O92" s="21"/>
      <c r="P92" s="21"/>
      <c r="Q92" s="21"/>
      <c r="R92" s="21"/>
      <c r="S92" s="38"/>
      <c r="T92" s="21"/>
      <c r="U92" s="21"/>
      <c r="V92" s="19"/>
      <c r="W92" s="26"/>
      <c r="X92" s="35"/>
      <c r="Y92" s="26"/>
      <c r="Z92" s="26"/>
      <c r="AA92" s="26"/>
      <c r="AB92" s="16" t="str">
        <f aca="false">IF(C92="","",IF(F92="Short",(AND(M92&lt;&gt;"",N(M92)&lt;0))+(AND(L92&lt;&gt;"",N(L92)&lt;0))+(AND(K92&lt;&gt;"",N(K92)&lt;0))+AND(L92&lt;&gt;"",M92&lt;&gt;"",N(M92)&lt;N(L92)),(N(M92)&gt;0)+(N(L92)&gt;0)+(N(K92)&gt;0)+AND(L92&lt;&gt;"",M92&lt;&gt;"",N(M92)&gt;N(L92))))</f>
        <v/>
      </c>
      <c r="AC92" s="16" t="str">
        <f aca="false">IF(C92="","",IF(F92="Short",IF(N92="",0,IF(AND(N92&gt;=30,N92&lt;=50),2,IF(OR(AND(N92&gt;=25,N92&lt;30),AND(N92&gt;50,N92&lt;=60)),1,0)))+IF(P92="",0,IF(AND(IF(B92="JSE",$L$5,$L$4)&lt;&gt;"",P92&lt;IF(B92="JSE",$L$5,$L$4)),2,IF(P92&lt;0,1,0))),IF(N92="",0,IF(AND(N92&gt;=50,N92&lt;=70),2,IF(OR(AND(N92&gt;=40,N92&lt;50),AND(N92&gt;70,N92&lt;=75)),1,0)))+IF(P92="",0,IF(AND(IF(B92="JSE",$L$5,$L$4)&lt;&gt;"",P92&gt;IF(B92="JSE",$L$5,$L$4)),2,IF(P92&gt;0,1,0)))))</f>
        <v/>
      </c>
      <c r="AD92" s="16" t="str">
        <f aca="false">IF(C92="","",IF(F92="Short",IF(R92="",0,IF(R92&lt;=0.1,2,IF(R92&lt;=0.25,1,0))),IF(Q92="",0,IF(Q92&gt;=-0.1,2,IF(Q92&gt;=-0.25,1,0)))))</f>
        <v/>
      </c>
      <c r="AE92" s="16" t="str">
        <f aca="false">IF(C92="","",IF(J92="",0,IF(J92&gt;=IF(B92="JSE",$L$7,$L$6),2,IF(J92&gt;=IF(B92="JSE",$L$7,$L$6)/4,1,0))))</f>
        <v/>
      </c>
      <c r="AF92" s="16" t="str">
        <f aca="false">IF(C92="","",IF(F92="Short",AND(T92&lt;&gt;"",N(T92)&lt;0),N(T92)&gt;0)+(N(S92)&gt;=1.5))</f>
        <v/>
      </c>
      <c r="AG92" s="16" t="str">
        <f aca="false">IF(C92="","",IF(AL92="",0,IF(AL92&gt;=3,4,IF(AL92&gt;=2,2,0))))</f>
        <v/>
      </c>
      <c r="AH92" s="16" t="str">
        <f aca="false">IF(C92="","",IF(AND(ISNUMBER(V92),ISNUMBER(A92),V92&gt;=A92,V92-A92&lt;=14),-2,0))</f>
        <v/>
      </c>
      <c r="AI92" s="16" t="str">
        <f aca="false">IF(C92="","",IF(AND(F92="Short",N(U92)&gt;=0.2),-1,0))</f>
        <v/>
      </c>
      <c r="AJ92" s="23" t="str">
        <f aca="false">IF(C92="","",SUM(AB92:AI92))</f>
        <v/>
      </c>
      <c r="AK92" s="24" t="str">
        <f aca="false">IF(C92="","",IF(AJ92&gt;=14,"A",IF(AJ92&gt;=10,"B","C")))</f>
        <v/>
      </c>
      <c r="AL92" s="39" t="str">
        <f aca="false">IFERROR(IF(OR(Y92="",Z92="",AA92=""),"",IF(F92="Short",IF(Z92&lt;=Y92,"",(Y92-AA92)/(Z92-Y92)),IF(Y92&lt;=Z92,"",(AA92-Y92)/(Y92-Z92)))),"")</f>
        <v/>
      </c>
      <c r="AM92" s="37" t="str">
        <f aca="false">IF(OR(Y92="",Z92="",N(Y92)=N(Z92)),"",IF(OR(AND(F92="Short",Z92&lt;Y92),AND(NOT(F92="Short"),Z92&gt;Y92)),"stop on wrong side",ABS(Y92-Z92)))</f>
        <v/>
      </c>
      <c r="AN92" s="40" t="str">
        <f aca="false">IFERROR(IF(OR(NOT(ISNUMBER(AM92)),$C$6=""),"",ROUNDDOWN($C$6*$C$7/AM92,2)),"")</f>
        <v/>
      </c>
      <c r="AO92" s="37" t="str">
        <f aca="false">IFERROR(IF(AN92="","",AN92*Y92),"")</f>
        <v/>
      </c>
      <c r="AP92" s="35"/>
      <c r="AQ92" s="19"/>
      <c r="AR92" s="26"/>
      <c r="AS92" s="41" t="str">
        <f aca="false">IFERROR(IF(OR(AR92="",Y92="",AQ92=""),"",IF(F92="Short",1-AR92/Y92,AR92/Y92-1)),"")</f>
        <v/>
      </c>
      <c r="AT92" s="42" t="str">
        <f aca="true">IF(AQ92="","",IF(ISNUMBER($C$4),$C$4,TODAY())-AQ92)</f>
        <v/>
      </c>
      <c r="AU92" s="14" t="str">
        <f aca="false">IF(C92="","",IF(AP92="Open position",IF(IF(F92="Short",AND(ISNUMBER(AR92),ISNUMBER(Z92),AR92&gt;=Z92),AND(ISNUMBER(AR92),ISNUMBER(Z92),AR92&lt;=Z92)),IF(F92="Short","COVER — stop hit (buy back)","SELL — stop hit"),IF(IF(F92="Short",AND(ISNUMBER(AR92),ISNUMBER(AA92),AR92&lt;=AA92),AND(ISNUMBER(AR92),ISNUMBER(AA92),AR92&gt;=AA92)),"TAKE PROFIT — target hit",IF(AND(ISNUMBER(AT92),AT92&gt;182),IF(F92="Short","COVER — 6-month time limit","SELL — 6-month time limit"),IF(AND(ISNUMBER(AT92),AT92&gt;42,ISNUMBER(AS92),AS92&lt;0.02),"REVIEW — no progress after 6 weeks",IF(IF(F92="Short",AND(L92&lt;&gt;"",N(L92)&gt;0),AND(L92&lt;&gt;"",N(L92)&lt;0)),IF(F92="Short","REVIEW — back above 50-day avg","REVIEW — below 50-day avg"),"HOLD"))))),IF(OR(AP92="Closed",AP92="Dropped"),"Closed",IF(AK92="A",IF(F92="Short","Run Technical Review — SHORT entry","Run Technical Review — LONG entry"),IF(AK92="B","Watch — wait for setup","Drop or re-check next week")))))</f>
        <v/>
      </c>
      <c r="AV92" s="35"/>
      <c r="AX92" s="43" t="str">
        <f aca="false">IF(AND(C92&lt;&gt;"",A92=$C$4,ISNUMBER(AJ92)),AJ92+ROW()/100000,"")</f>
        <v/>
      </c>
    </row>
    <row r="93" customFormat="false" ht="15" hidden="false" customHeight="false" outlineLevel="0" collapsed="false">
      <c r="A93" s="19"/>
      <c r="B93" s="35"/>
      <c r="C93" s="35"/>
      <c r="D93" s="35"/>
      <c r="E93" s="35"/>
      <c r="F93" s="35"/>
      <c r="G93" s="26"/>
      <c r="H93" s="26"/>
      <c r="I93" s="36"/>
      <c r="J93" s="37" t="str">
        <f aca="false">IF(OR(G93="",I93=""),"",G93*I93/1000000)</f>
        <v/>
      </c>
      <c r="K93" s="21"/>
      <c r="L93" s="21"/>
      <c r="M93" s="21"/>
      <c r="N93" s="25"/>
      <c r="O93" s="21"/>
      <c r="P93" s="21"/>
      <c r="Q93" s="21"/>
      <c r="R93" s="21"/>
      <c r="S93" s="38"/>
      <c r="T93" s="21"/>
      <c r="U93" s="21"/>
      <c r="V93" s="19"/>
      <c r="W93" s="26"/>
      <c r="X93" s="35"/>
      <c r="Y93" s="26"/>
      <c r="Z93" s="26"/>
      <c r="AA93" s="26"/>
      <c r="AB93" s="16" t="str">
        <f aca="false">IF(C93="","",IF(F93="Short",(AND(M93&lt;&gt;"",N(M93)&lt;0))+(AND(L93&lt;&gt;"",N(L93)&lt;0))+(AND(K93&lt;&gt;"",N(K93)&lt;0))+AND(L93&lt;&gt;"",M93&lt;&gt;"",N(M93)&lt;N(L93)),(N(M93)&gt;0)+(N(L93)&gt;0)+(N(K93)&gt;0)+AND(L93&lt;&gt;"",M93&lt;&gt;"",N(M93)&gt;N(L93))))</f>
        <v/>
      </c>
      <c r="AC93" s="16" t="str">
        <f aca="false">IF(C93="","",IF(F93="Short",IF(N93="",0,IF(AND(N93&gt;=30,N93&lt;=50),2,IF(OR(AND(N93&gt;=25,N93&lt;30),AND(N93&gt;50,N93&lt;=60)),1,0)))+IF(P93="",0,IF(AND(IF(B93="JSE",$L$5,$L$4)&lt;&gt;"",P93&lt;IF(B93="JSE",$L$5,$L$4)),2,IF(P93&lt;0,1,0))),IF(N93="",0,IF(AND(N93&gt;=50,N93&lt;=70),2,IF(OR(AND(N93&gt;=40,N93&lt;50),AND(N93&gt;70,N93&lt;=75)),1,0)))+IF(P93="",0,IF(AND(IF(B93="JSE",$L$5,$L$4)&lt;&gt;"",P93&gt;IF(B93="JSE",$L$5,$L$4)),2,IF(P93&gt;0,1,0)))))</f>
        <v/>
      </c>
      <c r="AD93" s="16" t="str">
        <f aca="false">IF(C93="","",IF(F93="Short",IF(R93="",0,IF(R93&lt;=0.1,2,IF(R93&lt;=0.25,1,0))),IF(Q93="",0,IF(Q93&gt;=-0.1,2,IF(Q93&gt;=-0.25,1,0)))))</f>
        <v/>
      </c>
      <c r="AE93" s="16" t="str">
        <f aca="false">IF(C93="","",IF(J93="",0,IF(J93&gt;=IF(B93="JSE",$L$7,$L$6),2,IF(J93&gt;=IF(B93="JSE",$L$7,$L$6)/4,1,0))))</f>
        <v/>
      </c>
      <c r="AF93" s="16" t="str">
        <f aca="false">IF(C93="","",IF(F93="Short",AND(T93&lt;&gt;"",N(T93)&lt;0),N(T93)&gt;0)+(N(S93)&gt;=1.5))</f>
        <v/>
      </c>
      <c r="AG93" s="16" t="str">
        <f aca="false">IF(C93="","",IF(AL93="",0,IF(AL93&gt;=3,4,IF(AL93&gt;=2,2,0))))</f>
        <v/>
      </c>
      <c r="AH93" s="16" t="str">
        <f aca="false">IF(C93="","",IF(AND(ISNUMBER(V93),ISNUMBER(A93),V93&gt;=A93,V93-A93&lt;=14),-2,0))</f>
        <v/>
      </c>
      <c r="AI93" s="16" t="str">
        <f aca="false">IF(C93="","",IF(AND(F93="Short",N(U93)&gt;=0.2),-1,0))</f>
        <v/>
      </c>
      <c r="AJ93" s="23" t="str">
        <f aca="false">IF(C93="","",SUM(AB93:AI93))</f>
        <v/>
      </c>
      <c r="AK93" s="24" t="str">
        <f aca="false">IF(C93="","",IF(AJ93&gt;=14,"A",IF(AJ93&gt;=10,"B","C")))</f>
        <v/>
      </c>
      <c r="AL93" s="39" t="str">
        <f aca="false">IFERROR(IF(OR(Y93="",Z93="",AA93=""),"",IF(F93="Short",IF(Z93&lt;=Y93,"",(Y93-AA93)/(Z93-Y93)),IF(Y93&lt;=Z93,"",(AA93-Y93)/(Y93-Z93)))),"")</f>
        <v/>
      </c>
      <c r="AM93" s="37" t="str">
        <f aca="false">IF(OR(Y93="",Z93="",N(Y93)=N(Z93)),"",IF(OR(AND(F93="Short",Z93&lt;Y93),AND(NOT(F93="Short"),Z93&gt;Y93)),"stop on wrong side",ABS(Y93-Z93)))</f>
        <v/>
      </c>
      <c r="AN93" s="40" t="str">
        <f aca="false">IFERROR(IF(OR(NOT(ISNUMBER(AM93)),$C$6=""),"",ROUNDDOWN($C$6*$C$7/AM93,2)),"")</f>
        <v/>
      </c>
      <c r="AO93" s="37" t="str">
        <f aca="false">IFERROR(IF(AN93="","",AN93*Y93),"")</f>
        <v/>
      </c>
      <c r="AP93" s="35"/>
      <c r="AQ93" s="19"/>
      <c r="AR93" s="26"/>
      <c r="AS93" s="41" t="str">
        <f aca="false">IFERROR(IF(OR(AR93="",Y93="",AQ93=""),"",IF(F93="Short",1-AR93/Y93,AR93/Y93-1)),"")</f>
        <v/>
      </c>
      <c r="AT93" s="42" t="str">
        <f aca="true">IF(AQ93="","",IF(ISNUMBER($C$4),$C$4,TODAY())-AQ93)</f>
        <v/>
      </c>
      <c r="AU93" s="14" t="str">
        <f aca="false">IF(C93="","",IF(AP93="Open position",IF(IF(F93="Short",AND(ISNUMBER(AR93),ISNUMBER(Z93),AR93&gt;=Z93),AND(ISNUMBER(AR93),ISNUMBER(Z93),AR93&lt;=Z93)),IF(F93="Short","COVER — stop hit (buy back)","SELL — stop hit"),IF(IF(F93="Short",AND(ISNUMBER(AR93),ISNUMBER(AA93),AR93&lt;=AA93),AND(ISNUMBER(AR93),ISNUMBER(AA93),AR93&gt;=AA93)),"TAKE PROFIT — target hit",IF(AND(ISNUMBER(AT93),AT93&gt;182),IF(F93="Short","COVER — 6-month time limit","SELL — 6-month time limit"),IF(AND(ISNUMBER(AT93),AT93&gt;42,ISNUMBER(AS93),AS93&lt;0.02),"REVIEW — no progress after 6 weeks",IF(IF(F93="Short",AND(L93&lt;&gt;"",N(L93)&gt;0),AND(L93&lt;&gt;"",N(L93)&lt;0)),IF(F93="Short","REVIEW — back above 50-day avg","REVIEW — below 50-day avg"),"HOLD"))))),IF(OR(AP93="Closed",AP93="Dropped"),"Closed",IF(AK93="A",IF(F93="Short","Run Technical Review — SHORT entry","Run Technical Review — LONG entry"),IF(AK93="B","Watch — wait for setup","Drop or re-check next week")))))</f>
        <v/>
      </c>
      <c r="AV93" s="35"/>
      <c r="AX93" s="43" t="str">
        <f aca="false">IF(AND(C93&lt;&gt;"",A93=$C$4,ISNUMBER(AJ93)),AJ93+ROW()/100000,"")</f>
        <v/>
      </c>
    </row>
    <row r="94" customFormat="false" ht="15" hidden="false" customHeight="false" outlineLevel="0" collapsed="false">
      <c r="A94" s="19"/>
      <c r="B94" s="35"/>
      <c r="C94" s="35"/>
      <c r="D94" s="35"/>
      <c r="E94" s="35"/>
      <c r="F94" s="35"/>
      <c r="G94" s="26"/>
      <c r="H94" s="26"/>
      <c r="I94" s="36"/>
      <c r="J94" s="37" t="str">
        <f aca="false">IF(OR(G94="",I94=""),"",G94*I94/1000000)</f>
        <v/>
      </c>
      <c r="K94" s="21"/>
      <c r="L94" s="21"/>
      <c r="M94" s="21"/>
      <c r="N94" s="25"/>
      <c r="O94" s="21"/>
      <c r="P94" s="21"/>
      <c r="Q94" s="21"/>
      <c r="R94" s="21"/>
      <c r="S94" s="38"/>
      <c r="T94" s="21"/>
      <c r="U94" s="21"/>
      <c r="V94" s="19"/>
      <c r="W94" s="26"/>
      <c r="X94" s="35"/>
      <c r="Y94" s="26"/>
      <c r="Z94" s="26"/>
      <c r="AA94" s="26"/>
      <c r="AB94" s="16" t="str">
        <f aca="false">IF(C94="","",IF(F94="Short",(AND(M94&lt;&gt;"",N(M94)&lt;0))+(AND(L94&lt;&gt;"",N(L94)&lt;0))+(AND(K94&lt;&gt;"",N(K94)&lt;0))+AND(L94&lt;&gt;"",M94&lt;&gt;"",N(M94)&lt;N(L94)),(N(M94)&gt;0)+(N(L94)&gt;0)+(N(K94)&gt;0)+AND(L94&lt;&gt;"",M94&lt;&gt;"",N(M94)&gt;N(L94))))</f>
        <v/>
      </c>
      <c r="AC94" s="16" t="str">
        <f aca="false">IF(C94="","",IF(F94="Short",IF(N94="",0,IF(AND(N94&gt;=30,N94&lt;=50),2,IF(OR(AND(N94&gt;=25,N94&lt;30),AND(N94&gt;50,N94&lt;=60)),1,0)))+IF(P94="",0,IF(AND(IF(B94="JSE",$L$5,$L$4)&lt;&gt;"",P94&lt;IF(B94="JSE",$L$5,$L$4)),2,IF(P94&lt;0,1,0))),IF(N94="",0,IF(AND(N94&gt;=50,N94&lt;=70),2,IF(OR(AND(N94&gt;=40,N94&lt;50),AND(N94&gt;70,N94&lt;=75)),1,0)))+IF(P94="",0,IF(AND(IF(B94="JSE",$L$5,$L$4)&lt;&gt;"",P94&gt;IF(B94="JSE",$L$5,$L$4)),2,IF(P94&gt;0,1,0)))))</f>
        <v/>
      </c>
      <c r="AD94" s="16" t="str">
        <f aca="false">IF(C94="","",IF(F94="Short",IF(R94="",0,IF(R94&lt;=0.1,2,IF(R94&lt;=0.25,1,0))),IF(Q94="",0,IF(Q94&gt;=-0.1,2,IF(Q94&gt;=-0.25,1,0)))))</f>
        <v/>
      </c>
      <c r="AE94" s="16" t="str">
        <f aca="false">IF(C94="","",IF(J94="",0,IF(J94&gt;=IF(B94="JSE",$L$7,$L$6),2,IF(J94&gt;=IF(B94="JSE",$L$7,$L$6)/4,1,0))))</f>
        <v/>
      </c>
      <c r="AF94" s="16" t="str">
        <f aca="false">IF(C94="","",IF(F94="Short",AND(T94&lt;&gt;"",N(T94)&lt;0),N(T94)&gt;0)+(N(S94)&gt;=1.5))</f>
        <v/>
      </c>
      <c r="AG94" s="16" t="str">
        <f aca="false">IF(C94="","",IF(AL94="",0,IF(AL94&gt;=3,4,IF(AL94&gt;=2,2,0))))</f>
        <v/>
      </c>
      <c r="AH94" s="16" t="str">
        <f aca="false">IF(C94="","",IF(AND(ISNUMBER(V94),ISNUMBER(A94),V94&gt;=A94,V94-A94&lt;=14),-2,0))</f>
        <v/>
      </c>
      <c r="AI94" s="16" t="str">
        <f aca="false">IF(C94="","",IF(AND(F94="Short",N(U94)&gt;=0.2),-1,0))</f>
        <v/>
      </c>
      <c r="AJ94" s="23" t="str">
        <f aca="false">IF(C94="","",SUM(AB94:AI94))</f>
        <v/>
      </c>
      <c r="AK94" s="24" t="str">
        <f aca="false">IF(C94="","",IF(AJ94&gt;=14,"A",IF(AJ94&gt;=10,"B","C")))</f>
        <v/>
      </c>
      <c r="AL94" s="39" t="str">
        <f aca="false">IFERROR(IF(OR(Y94="",Z94="",AA94=""),"",IF(F94="Short",IF(Z94&lt;=Y94,"",(Y94-AA94)/(Z94-Y94)),IF(Y94&lt;=Z94,"",(AA94-Y94)/(Y94-Z94)))),"")</f>
        <v/>
      </c>
      <c r="AM94" s="37" t="str">
        <f aca="false">IF(OR(Y94="",Z94="",N(Y94)=N(Z94)),"",IF(OR(AND(F94="Short",Z94&lt;Y94),AND(NOT(F94="Short"),Z94&gt;Y94)),"stop on wrong side",ABS(Y94-Z94)))</f>
        <v/>
      </c>
      <c r="AN94" s="40" t="str">
        <f aca="false">IFERROR(IF(OR(NOT(ISNUMBER(AM94)),$C$6=""),"",ROUNDDOWN($C$6*$C$7/AM94,2)),"")</f>
        <v/>
      </c>
      <c r="AO94" s="37" t="str">
        <f aca="false">IFERROR(IF(AN94="","",AN94*Y94),"")</f>
        <v/>
      </c>
      <c r="AP94" s="35"/>
      <c r="AQ94" s="19"/>
      <c r="AR94" s="26"/>
      <c r="AS94" s="41" t="str">
        <f aca="false">IFERROR(IF(OR(AR94="",Y94="",AQ94=""),"",IF(F94="Short",1-AR94/Y94,AR94/Y94-1)),"")</f>
        <v/>
      </c>
      <c r="AT94" s="42" t="str">
        <f aca="true">IF(AQ94="","",IF(ISNUMBER($C$4),$C$4,TODAY())-AQ94)</f>
        <v/>
      </c>
      <c r="AU94" s="14" t="str">
        <f aca="false">IF(C94="","",IF(AP94="Open position",IF(IF(F94="Short",AND(ISNUMBER(AR94),ISNUMBER(Z94),AR94&gt;=Z94),AND(ISNUMBER(AR94),ISNUMBER(Z94),AR94&lt;=Z94)),IF(F94="Short","COVER — stop hit (buy back)","SELL — stop hit"),IF(IF(F94="Short",AND(ISNUMBER(AR94),ISNUMBER(AA94),AR94&lt;=AA94),AND(ISNUMBER(AR94),ISNUMBER(AA94),AR94&gt;=AA94)),"TAKE PROFIT — target hit",IF(AND(ISNUMBER(AT94),AT94&gt;182),IF(F94="Short","COVER — 6-month time limit","SELL — 6-month time limit"),IF(AND(ISNUMBER(AT94),AT94&gt;42,ISNUMBER(AS94),AS94&lt;0.02),"REVIEW — no progress after 6 weeks",IF(IF(F94="Short",AND(L94&lt;&gt;"",N(L94)&gt;0),AND(L94&lt;&gt;"",N(L94)&lt;0)),IF(F94="Short","REVIEW — back above 50-day avg","REVIEW — below 50-day avg"),"HOLD"))))),IF(OR(AP94="Closed",AP94="Dropped"),"Closed",IF(AK94="A",IF(F94="Short","Run Technical Review — SHORT entry","Run Technical Review — LONG entry"),IF(AK94="B","Watch — wait for setup","Drop or re-check next week")))))</f>
        <v/>
      </c>
      <c r="AV94" s="35"/>
      <c r="AX94" s="43" t="str">
        <f aca="false">IF(AND(C94&lt;&gt;"",A94=$C$4,ISNUMBER(AJ94)),AJ94+ROW()/100000,"")</f>
        <v/>
      </c>
    </row>
    <row r="95" customFormat="false" ht="15" hidden="false" customHeight="false" outlineLevel="0" collapsed="false">
      <c r="A95" s="19"/>
      <c r="B95" s="35"/>
      <c r="C95" s="35"/>
      <c r="D95" s="35"/>
      <c r="E95" s="35"/>
      <c r="F95" s="35"/>
      <c r="G95" s="26"/>
      <c r="H95" s="26"/>
      <c r="I95" s="36"/>
      <c r="J95" s="37" t="str">
        <f aca="false">IF(OR(G95="",I95=""),"",G95*I95/1000000)</f>
        <v/>
      </c>
      <c r="K95" s="21"/>
      <c r="L95" s="21"/>
      <c r="M95" s="21"/>
      <c r="N95" s="25"/>
      <c r="O95" s="21"/>
      <c r="P95" s="21"/>
      <c r="Q95" s="21"/>
      <c r="R95" s="21"/>
      <c r="S95" s="38"/>
      <c r="T95" s="21"/>
      <c r="U95" s="21"/>
      <c r="V95" s="19"/>
      <c r="W95" s="26"/>
      <c r="X95" s="35"/>
      <c r="Y95" s="26"/>
      <c r="Z95" s="26"/>
      <c r="AA95" s="26"/>
      <c r="AB95" s="16" t="str">
        <f aca="false">IF(C95="","",IF(F95="Short",(AND(M95&lt;&gt;"",N(M95)&lt;0))+(AND(L95&lt;&gt;"",N(L95)&lt;0))+(AND(K95&lt;&gt;"",N(K95)&lt;0))+AND(L95&lt;&gt;"",M95&lt;&gt;"",N(M95)&lt;N(L95)),(N(M95)&gt;0)+(N(L95)&gt;0)+(N(K95)&gt;0)+AND(L95&lt;&gt;"",M95&lt;&gt;"",N(M95)&gt;N(L95))))</f>
        <v/>
      </c>
      <c r="AC95" s="16" t="str">
        <f aca="false">IF(C95="","",IF(F95="Short",IF(N95="",0,IF(AND(N95&gt;=30,N95&lt;=50),2,IF(OR(AND(N95&gt;=25,N95&lt;30),AND(N95&gt;50,N95&lt;=60)),1,0)))+IF(P95="",0,IF(AND(IF(B95="JSE",$L$5,$L$4)&lt;&gt;"",P95&lt;IF(B95="JSE",$L$5,$L$4)),2,IF(P95&lt;0,1,0))),IF(N95="",0,IF(AND(N95&gt;=50,N95&lt;=70),2,IF(OR(AND(N95&gt;=40,N95&lt;50),AND(N95&gt;70,N95&lt;=75)),1,0)))+IF(P95="",0,IF(AND(IF(B95="JSE",$L$5,$L$4)&lt;&gt;"",P95&gt;IF(B95="JSE",$L$5,$L$4)),2,IF(P95&gt;0,1,0)))))</f>
        <v/>
      </c>
      <c r="AD95" s="16" t="str">
        <f aca="false">IF(C95="","",IF(F95="Short",IF(R95="",0,IF(R95&lt;=0.1,2,IF(R95&lt;=0.25,1,0))),IF(Q95="",0,IF(Q95&gt;=-0.1,2,IF(Q95&gt;=-0.25,1,0)))))</f>
        <v/>
      </c>
      <c r="AE95" s="16" t="str">
        <f aca="false">IF(C95="","",IF(J95="",0,IF(J95&gt;=IF(B95="JSE",$L$7,$L$6),2,IF(J95&gt;=IF(B95="JSE",$L$7,$L$6)/4,1,0))))</f>
        <v/>
      </c>
      <c r="AF95" s="16" t="str">
        <f aca="false">IF(C95="","",IF(F95="Short",AND(T95&lt;&gt;"",N(T95)&lt;0),N(T95)&gt;0)+(N(S95)&gt;=1.5))</f>
        <v/>
      </c>
      <c r="AG95" s="16" t="str">
        <f aca="false">IF(C95="","",IF(AL95="",0,IF(AL95&gt;=3,4,IF(AL95&gt;=2,2,0))))</f>
        <v/>
      </c>
      <c r="AH95" s="16" t="str">
        <f aca="false">IF(C95="","",IF(AND(ISNUMBER(V95),ISNUMBER(A95),V95&gt;=A95,V95-A95&lt;=14),-2,0))</f>
        <v/>
      </c>
      <c r="AI95" s="16" t="str">
        <f aca="false">IF(C95="","",IF(AND(F95="Short",N(U95)&gt;=0.2),-1,0))</f>
        <v/>
      </c>
      <c r="AJ95" s="23" t="str">
        <f aca="false">IF(C95="","",SUM(AB95:AI95))</f>
        <v/>
      </c>
      <c r="AK95" s="24" t="str">
        <f aca="false">IF(C95="","",IF(AJ95&gt;=14,"A",IF(AJ95&gt;=10,"B","C")))</f>
        <v/>
      </c>
      <c r="AL95" s="39" t="str">
        <f aca="false">IFERROR(IF(OR(Y95="",Z95="",AA95=""),"",IF(F95="Short",IF(Z95&lt;=Y95,"",(Y95-AA95)/(Z95-Y95)),IF(Y95&lt;=Z95,"",(AA95-Y95)/(Y95-Z95)))),"")</f>
        <v/>
      </c>
      <c r="AM95" s="37" t="str">
        <f aca="false">IF(OR(Y95="",Z95="",N(Y95)=N(Z95)),"",IF(OR(AND(F95="Short",Z95&lt;Y95),AND(NOT(F95="Short"),Z95&gt;Y95)),"stop on wrong side",ABS(Y95-Z95)))</f>
        <v/>
      </c>
      <c r="AN95" s="40" t="str">
        <f aca="false">IFERROR(IF(OR(NOT(ISNUMBER(AM95)),$C$6=""),"",ROUNDDOWN($C$6*$C$7/AM95,2)),"")</f>
        <v/>
      </c>
      <c r="AO95" s="37" t="str">
        <f aca="false">IFERROR(IF(AN95="","",AN95*Y95),"")</f>
        <v/>
      </c>
      <c r="AP95" s="35"/>
      <c r="AQ95" s="19"/>
      <c r="AR95" s="26"/>
      <c r="AS95" s="41" t="str">
        <f aca="false">IFERROR(IF(OR(AR95="",Y95="",AQ95=""),"",IF(F95="Short",1-AR95/Y95,AR95/Y95-1)),"")</f>
        <v/>
      </c>
      <c r="AT95" s="42" t="str">
        <f aca="true">IF(AQ95="","",IF(ISNUMBER($C$4),$C$4,TODAY())-AQ95)</f>
        <v/>
      </c>
      <c r="AU95" s="14" t="str">
        <f aca="false">IF(C95="","",IF(AP95="Open position",IF(IF(F95="Short",AND(ISNUMBER(AR95),ISNUMBER(Z95),AR95&gt;=Z95),AND(ISNUMBER(AR95),ISNUMBER(Z95),AR95&lt;=Z95)),IF(F95="Short","COVER — stop hit (buy back)","SELL — stop hit"),IF(IF(F95="Short",AND(ISNUMBER(AR95),ISNUMBER(AA95),AR95&lt;=AA95),AND(ISNUMBER(AR95),ISNUMBER(AA95),AR95&gt;=AA95)),"TAKE PROFIT — target hit",IF(AND(ISNUMBER(AT95),AT95&gt;182),IF(F95="Short","COVER — 6-month time limit","SELL — 6-month time limit"),IF(AND(ISNUMBER(AT95),AT95&gt;42,ISNUMBER(AS95),AS95&lt;0.02),"REVIEW — no progress after 6 weeks",IF(IF(F95="Short",AND(L95&lt;&gt;"",N(L95)&gt;0),AND(L95&lt;&gt;"",N(L95)&lt;0)),IF(F95="Short","REVIEW — back above 50-day avg","REVIEW — below 50-day avg"),"HOLD"))))),IF(OR(AP95="Closed",AP95="Dropped"),"Closed",IF(AK95="A",IF(F95="Short","Run Technical Review — SHORT entry","Run Technical Review — LONG entry"),IF(AK95="B","Watch — wait for setup","Drop or re-check next week")))))</f>
        <v/>
      </c>
      <c r="AV95" s="35"/>
      <c r="AX95" s="43" t="str">
        <f aca="false">IF(AND(C95&lt;&gt;"",A95=$C$4,ISNUMBER(AJ95)),AJ95+ROW()/100000,"")</f>
        <v/>
      </c>
    </row>
    <row r="96" customFormat="false" ht="15" hidden="false" customHeight="false" outlineLevel="0" collapsed="false">
      <c r="A96" s="19"/>
      <c r="B96" s="35"/>
      <c r="C96" s="35"/>
      <c r="D96" s="35"/>
      <c r="E96" s="35"/>
      <c r="F96" s="35"/>
      <c r="G96" s="26"/>
      <c r="H96" s="26"/>
      <c r="I96" s="36"/>
      <c r="J96" s="37" t="str">
        <f aca="false">IF(OR(G96="",I96=""),"",G96*I96/1000000)</f>
        <v/>
      </c>
      <c r="K96" s="21"/>
      <c r="L96" s="21"/>
      <c r="M96" s="21"/>
      <c r="N96" s="25"/>
      <c r="O96" s="21"/>
      <c r="P96" s="21"/>
      <c r="Q96" s="21"/>
      <c r="R96" s="21"/>
      <c r="S96" s="38"/>
      <c r="T96" s="21"/>
      <c r="U96" s="21"/>
      <c r="V96" s="19"/>
      <c r="W96" s="26"/>
      <c r="X96" s="35"/>
      <c r="Y96" s="26"/>
      <c r="Z96" s="26"/>
      <c r="AA96" s="26"/>
      <c r="AB96" s="16" t="str">
        <f aca="false">IF(C96="","",IF(F96="Short",(AND(M96&lt;&gt;"",N(M96)&lt;0))+(AND(L96&lt;&gt;"",N(L96)&lt;0))+(AND(K96&lt;&gt;"",N(K96)&lt;0))+AND(L96&lt;&gt;"",M96&lt;&gt;"",N(M96)&lt;N(L96)),(N(M96)&gt;0)+(N(L96)&gt;0)+(N(K96)&gt;0)+AND(L96&lt;&gt;"",M96&lt;&gt;"",N(M96)&gt;N(L96))))</f>
        <v/>
      </c>
      <c r="AC96" s="16" t="str">
        <f aca="false">IF(C96="","",IF(F96="Short",IF(N96="",0,IF(AND(N96&gt;=30,N96&lt;=50),2,IF(OR(AND(N96&gt;=25,N96&lt;30),AND(N96&gt;50,N96&lt;=60)),1,0)))+IF(P96="",0,IF(AND(IF(B96="JSE",$L$5,$L$4)&lt;&gt;"",P96&lt;IF(B96="JSE",$L$5,$L$4)),2,IF(P96&lt;0,1,0))),IF(N96="",0,IF(AND(N96&gt;=50,N96&lt;=70),2,IF(OR(AND(N96&gt;=40,N96&lt;50),AND(N96&gt;70,N96&lt;=75)),1,0)))+IF(P96="",0,IF(AND(IF(B96="JSE",$L$5,$L$4)&lt;&gt;"",P96&gt;IF(B96="JSE",$L$5,$L$4)),2,IF(P96&gt;0,1,0)))))</f>
        <v/>
      </c>
      <c r="AD96" s="16" t="str">
        <f aca="false">IF(C96="","",IF(F96="Short",IF(R96="",0,IF(R96&lt;=0.1,2,IF(R96&lt;=0.25,1,0))),IF(Q96="",0,IF(Q96&gt;=-0.1,2,IF(Q96&gt;=-0.25,1,0)))))</f>
        <v/>
      </c>
      <c r="AE96" s="16" t="str">
        <f aca="false">IF(C96="","",IF(J96="",0,IF(J96&gt;=IF(B96="JSE",$L$7,$L$6),2,IF(J96&gt;=IF(B96="JSE",$L$7,$L$6)/4,1,0))))</f>
        <v/>
      </c>
      <c r="AF96" s="16" t="str">
        <f aca="false">IF(C96="","",IF(F96="Short",AND(T96&lt;&gt;"",N(T96)&lt;0),N(T96)&gt;0)+(N(S96)&gt;=1.5))</f>
        <v/>
      </c>
      <c r="AG96" s="16" t="str">
        <f aca="false">IF(C96="","",IF(AL96="",0,IF(AL96&gt;=3,4,IF(AL96&gt;=2,2,0))))</f>
        <v/>
      </c>
      <c r="AH96" s="16" t="str">
        <f aca="false">IF(C96="","",IF(AND(ISNUMBER(V96),ISNUMBER(A96),V96&gt;=A96,V96-A96&lt;=14),-2,0))</f>
        <v/>
      </c>
      <c r="AI96" s="16" t="str">
        <f aca="false">IF(C96="","",IF(AND(F96="Short",N(U96)&gt;=0.2),-1,0))</f>
        <v/>
      </c>
      <c r="AJ96" s="23" t="str">
        <f aca="false">IF(C96="","",SUM(AB96:AI96))</f>
        <v/>
      </c>
      <c r="AK96" s="24" t="str">
        <f aca="false">IF(C96="","",IF(AJ96&gt;=14,"A",IF(AJ96&gt;=10,"B","C")))</f>
        <v/>
      </c>
      <c r="AL96" s="39" t="str">
        <f aca="false">IFERROR(IF(OR(Y96="",Z96="",AA96=""),"",IF(F96="Short",IF(Z96&lt;=Y96,"",(Y96-AA96)/(Z96-Y96)),IF(Y96&lt;=Z96,"",(AA96-Y96)/(Y96-Z96)))),"")</f>
        <v/>
      </c>
      <c r="AM96" s="37" t="str">
        <f aca="false">IF(OR(Y96="",Z96="",N(Y96)=N(Z96)),"",IF(OR(AND(F96="Short",Z96&lt;Y96),AND(NOT(F96="Short"),Z96&gt;Y96)),"stop on wrong side",ABS(Y96-Z96)))</f>
        <v/>
      </c>
      <c r="AN96" s="40" t="str">
        <f aca="false">IFERROR(IF(OR(NOT(ISNUMBER(AM96)),$C$6=""),"",ROUNDDOWN($C$6*$C$7/AM96,2)),"")</f>
        <v/>
      </c>
      <c r="AO96" s="37" t="str">
        <f aca="false">IFERROR(IF(AN96="","",AN96*Y96),"")</f>
        <v/>
      </c>
      <c r="AP96" s="35"/>
      <c r="AQ96" s="19"/>
      <c r="AR96" s="26"/>
      <c r="AS96" s="41" t="str">
        <f aca="false">IFERROR(IF(OR(AR96="",Y96="",AQ96=""),"",IF(F96="Short",1-AR96/Y96,AR96/Y96-1)),"")</f>
        <v/>
      </c>
      <c r="AT96" s="42" t="str">
        <f aca="true">IF(AQ96="","",IF(ISNUMBER($C$4),$C$4,TODAY())-AQ96)</f>
        <v/>
      </c>
      <c r="AU96" s="14" t="str">
        <f aca="false">IF(C96="","",IF(AP96="Open position",IF(IF(F96="Short",AND(ISNUMBER(AR96),ISNUMBER(Z96),AR96&gt;=Z96),AND(ISNUMBER(AR96),ISNUMBER(Z96),AR96&lt;=Z96)),IF(F96="Short","COVER — stop hit (buy back)","SELL — stop hit"),IF(IF(F96="Short",AND(ISNUMBER(AR96),ISNUMBER(AA96),AR96&lt;=AA96),AND(ISNUMBER(AR96),ISNUMBER(AA96),AR96&gt;=AA96)),"TAKE PROFIT — target hit",IF(AND(ISNUMBER(AT96),AT96&gt;182),IF(F96="Short","COVER — 6-month time limit","SELL — 6-month time limit"),IF(AND(ISNUMBER(AT96),AT96&gt;42,ISNUMBER(AS96),AS96&lt;0.02),"REVIEW — no progress after 6 weeks",IF(IF(F96="Short",AND(L96&lt;&gt;"",N(L96)&gt;0),AND(L96&lt;&gt;"",N(L96)&lt;0)),IF(F96="Short","REVIEW — back above 50-day avg","REVIEW — below 50-day avg"),"HOLD"))))),IF(OR(AP96="Closed",AP96="Dropped"),"Closed",IF(AK96="A",IF(F96="Short","Run Technical Review — SHORT entry","Run Technical Review — LONG entry"),IF(AK96="B","Watch — wait for setup","Drop or re-check next week")))))</f>
        <v/>
      </c>
      <c r="AV96" s="35"/>
      <c r="AX96" s="43" t="str">
        <f aca="false">IF(AND(C96&lt;&gt;"",A96=$C$4,ISNUMBER(AJ96)),AJ96+ROW()/100000,"")</f>
        <v/>
      </c>
    </row>
    <row r="97" customFormat="false" ht="15" hidden="false" customHeight="false" outlineLevel="0" collapsed="false">
      <c r="A97" s="19"/>
      <c r="B97" s="35"/>
      <c r="C97" s="35"/>
      <c r="D97" s="35"/>
      <c r="E97" s="35"/>
      <c r="F97" s="35"/>
      <c r="G97" s="26"/>
      <c r="H97" s="26"/>
      <c r="I97" s="36"/>
      <c r="J97" s="37" t="str">
        <f aca="false">IF(OR(G97="",I97=""),"",G97*I97/1000000)</f>
        <v/>
      </c>
      <c r="K97" s="21"/>
      <c r="L97" s="21"/>
      <c r="M97" s="21"/>
      <c r="N97" s="25"/>
      <c r="O97" s="21"/>
      <c r="P97" s="21"/>
      <c r="Q97" s="21"/>
      <c r="R97" s="21"/>
      <c r="S97" s="38"/>
      <c r="T97" s="21"/>
      <c r="U97" s="21"/>
      <c r="V97" s="19"/>
      <c r="W97" s="26"/>
      <c r="X97" s="35"/>
      <c r="Y97" s="26"/>
      <c r="Z97" s="26"/>
      <c r="AA97" s="26"/>
      <c r="AB97" s="16" t="str">
        <f aca="false">IF(C97="","",IF(F97="Short",(AND(M97&lt;&gt;"",N(M97)&lt;0))+(AND(L97&lt;&gt;"",N(L97)&lt;0))+(AND(K97&lt;&gt;"",N(K97)&lt;0))+AND(L97&lt;&gt;"",M97&lt;&gt;"",N(M97)&lt;N(L97)),(N(M97)&gt;0)+(N(L97)&gt;0)+(N(K97)&gt;0)+AND(L97&lt;&gt;"",M97&lt;&gt;"",N(M97)&gt;N(L97))))</f>
        <v/>
      </c>
      <c r="AC97" s="16" t="str">
        <f aca="false">IF(C97="","",IF(F97="Short",IF(N97="",0,IF(AND(N97&gt;=30,N97&lt;=50),2,IF(OR(AND(N97&gt;=25,N97&lt;30),AND(N97&gt;50,N97&lt;=60)),1,0)))+IF(P97="",0,IF(AND(IF(B97="JSE",$L$5,$L$4)&lt;&gt;"",P97&lt;IF(B97="JSE",$L$5,$L$4)),2,IF(P97&lt;0,1,0))),IF(N97="",0,IF(AND(N97&gt;=50,N97&lt;=70),2,IF(OR(AND(N97&gt;=40,N97&lt;50),AND(N97&gt;70,N97&lt;=75)),1,0)))+IF(P97="",0,IF(AND(IF(B97="JSE",$L$5,$L$4)&lt;&gt;"",P97&gt;IF(B97="JSE",$L$5,$L$4)),2,IF(P97&gt;0,1,0)))))</f>
        <v/>
      </c>
      <c r="AD97" s="16" t="str">
        <f aca="false">IF(C97="","",IF(F97="Short",IF(R97="",0,IF(R97&lt;=0.1,2,IF(R97&lt;=0.25,1,0))),IF(Q97="",0,IF(Q97&gt;=-0.1,2,IF(Q97&gt;=-0.25,1,0)))))</f>
        <v/>
      </c>
      <c r="AE97" s="16" t="str">
        <f aca="false">IF(C97="","",IF(J97="",0,IF(J97&gt;=IF(B97="JSE",$L$7,$L$6),2,IF(J97&gt;=IF(B97="JSE",$L$7,$L$6)/4,1,0))))</f>
        <v/>
      </c>
      <c r="AF97" s="16" t="str">
        <f aca="false">IF(C97="","",IF(F97="Short",AND(T97&lt;&gt;"",N(T97)&lt;0),N(T97)&gt;0)+(N(S97)&gt;=1.5))</f>
        <v/>
      </c>
      <c r="AG97" s="16" t="str">
        <f aca="false">IF(C97="","",IF(AL97="",0,IF(AL97&gt;=3,4,IF(AL97&gt;=2,2,0))))</f>
        <v/>
      </c>
      <c r="AH97" s="16" t="str">
        <f aca="false">IF(C97="","",IF(AND(ISNUMBER(V97),ISNUMBER(A97),V97&gt;=A97,V97-A97&lt;=14),-2,0))</f>
        <v/>
      </c>
      <c r="AI97" s="16" t="str">
        <f aca="false">IF(C97="","",IF(AND(F97="Short",N(U97)&gt;=0.2),-1,0))</f>
        <v/>
      </c>
      <c r="AJ97" s="23" t="str">
        <f aca="false">IF(C97="","",SUM(AB97:AI97))</f>
        <v/>
      </c>
      <c r="AK97" s="24" t="str">
        <f aca="false">IF(C97="","",IF(AJ97&gt;=14,"A",IF(AJ97&gt;=10,"B","C")))</f>
        <v/>
      </c>
      <c r="AL97" s="39" t="str">
        <f aca="false">IFERROR(IF(OR(Y97="",Z97="",AA97=""),"",IF(F97="Short",IF(Z97&lt;=Y97,"",(Y97-AA97)/(Z97-Y97)),IF(Y97&lt;=Z97,"",(AA97-Y97)/(Y97-Z97)))),"")</f>
        <v/>
      </c>
      <c r="AM97" s="37" t="str">
        <f aca="false">IF(OR(Y97="",Z97="",N(Y97)=N(Z97)),"",IF(OR(AND(F97="Short",Z97&lt;Y97),AND(NOT(F97="Short"),Z97&gt;Y97)),"stop on wrong side",ABS(Y97-Z97)))</f>
        <v/>
      </c>
      <c r="AN97" s="40" t="str">
        <f aca="false">IFERROR(IF(OR(NOT(ISNUMBER(AM97)),$C$6=""),"",ROUNDDOWN($C$6*$C$7/AM97,2)),"")</f>
        <v/>
      </c>
      <c r="AO97" s="37" t="str">
        <f aca="false">IFERROR(IF(AN97="","",AN97*Y97),"")</f>
        <v/>
      </c>
      <c r="AP97" s="35"/>
      <c r="AQ97" s="19"/>
      <c r="AR97" s="26"/>
      <c r="AS97" s="41" t="str">
        <f aca="false">IFERROR(IF(OR(AR97="",Y97="",AQ97=""),"",IF(F97="Short",1-AR97/Y97,AR97/Y97-1)),"")</f>
        <v/>
      </c>
      <c r="AT97" s="42" t="str">
        <f aca="true">IF(AQ97="","",IF(ISNUMBER($C$4),$C$4,TODAY())-AQ97)</f>
        <v/>
      </c>
      <c r="AU97" s="14" t="str">
        <f aca="false">IF(C97="","",IF(AP97="Open position",IF(IF(F97="Short",AND(ISNUMBER(AR97),ISNUMBER(Z97),AR97&gt;=Z97),AND(ISNUMBER(AR97),ISNUMBER(Z97),AR97&lt;=Z97)),IF(F97="Short","COVER — stop hit (buy back)","SELL — stop hit"),IF(IF(F97="Short",AND(ISNUMBER(AR97),ISNUMBER(AA97),AR97&lt;=AA97),AND(ISNUMBER(AR97),ISNUMBER(AA97),AR97&gt;=AA97)),"TAKE PROFIT — target hit",IF(AND(ISNUMBER(AT97),AT97&gt;182),IF(F97="Short","COVER — 6-month time limit","SELL — 6-month time limit"),IF(AND(ISNUMBER(AT97),AT97&gt;42,ISNUMBER(AS97),AS97&lt;0.02),"REVIEW — no progress after 6 weeks",IF(IF(F97="Short",AND(L97&lt;&gt;"",N(L97)&gt;0),AND(L97&lt;&gt;"",N(L97)&lt;0)),IF(F97="Short","REVIEW — back above 50-day avg","REVIEW — below 50-day avg"),"HOLD"))))),IF(OR(AP97="Closed",AP97="Dropped"),"Closed",IF(AK97="A",IF(F97="Short","Run Technical Review — SHORT entry","Run Technical Review — LONG entry"),IF(AK97="B","Watch — wait for setup","Drop or re-check next week")))))</f>
        <v/>
      </c>
      <c r="AV97" s="35"/>
      <c r="AX97" s="43" t="str">
        <f aca="false">IF(AND(C97&lt;&gt;"",A97=$C$4,ISNUMBER(AJ97)),AJ97+ROW()/100000,"")</f>
        <v/>
      </c>
    </row>
    <row r="98" customFormat="false" ht="15" hidden="false" customHeight="false" outlineLevel="0" collapsed="false">
      <c r="A98" s="19"/>
      <c r="B98" s="35"/>
      <c r="C98" s="35"/>
      <c r="D98" s="35"/>
      <c r="E98" s="35"/>
      <c r="F98" s="35"/>
      <c r="G98" s="26"/>
      <c r="H98" s="26"/>
      <c r="I98" s="36"/>
      <c r="J98" s="37" t="str">
        <f aca="false">IF(OR(G98="",I98=""),"",G98*I98/1000000)</f>
        <v/>
      </c>
      <c r="K98" s="21"/>
      <c r="L98" s="21"/>
      <c r="M98" s="21"/>
      <c r="N98" s="25"/>
      <c r="O98" s="21"/>
      <c r="P98" s="21"/>
      <c r="Q98" s="21"/>
      <c r="R98" s="21"/>
      <c r="S98" s="38"/>
      <c r="T98" s="21"/>
      <c r="U98" s="21"/>
      <c r="V98" s="19"/>
      <c r="W98" s="26"/>
      <c r="X98" s="35"/>
      <c r="Y98" s="26"/>
      <c r="Z98" s="26"/>
      <c r="AA98" s="26"/>
      <c r="AB98" s="16" t="str">
        <f aca="false">IF(C98="","",IF(F98="Short",(AND(M98&lt;&gt;"",N(M98)&lt;0))+(AND(L98&lt;&gt;"",N(L98)&lt;0))+(AND(K98&lt;&gt;"",N(K98)&lt;0))+AND(L98&lt;&gt;"",M98&lt;&gt;"",N(M98)&lt;N(L98)),(N(M98)&gt;0)+(N(L98)&gt;0)+(N(K98)&gt;0)+AND(L98&lt;&gt;"",M98&lt;&gt;"",N(M98)&gt;N(L98))))</f>
        <v/>
      </c>
      <c r="AC98" s="16" t="str">
        <f aca="false">IF(C98="","",IF(F98="Short",IF(N98="",0,IF(AND(N98&gt;=30,N98&lt;=50),2,IF(OR(AND(N98&gt;=25,N98&lt;30),AND(N98&gt;50,N98&lt;=60)),1,0)))+IF(P98="",0,IF(AND(IF(B98="JSE",$L$5,$L$4)&lt;&gt;"",P98&lt;IF(B98="JSE",$L$5,$L$4)),2,IF(P98&lt;0,1,0))),IF(N98="",0,IF(AND(N98&gt;=50,N98&lt;=70),2,IF(OR(AND(N98&gt;=40,N98&lt;50),AND(N98&gt;70,N98&lt;=75)),1,0)))+IF(P98="",0,IF(AND(IF(B98="JSE",$L$5,$L$4)&lt;&gt;"",P98&gt;IF(B98="JSE",$L$5,$L$4)),2,IF(P98&gt;0,1,0)))))</f>
        <v/>
      </c>
      <c r="AD98" s="16" t="str">
        <f aca="false">IF(C98="","",IF(F98="Short",IF(R98="",0,IF(R98&lt;=0.1,2,IF(R98&lt;=0.25,1,0))),IF(Q98="",0,IF(Q98&gt;=-0.1,2,IF(Q98&gt;=-0.25,1,0)))))</f>
        <v/>
      </c>
      <c r="AE98" s="16" t="str">
        <f aca="false">IF(C98="","",IF(J98="",0,IF(J98&gt;=IF(B98="JSE",$L$7,$L$6),2,IF(J98&gt;=IF(B98="JSE",$L$7,$L$6)/4,1,0))))</f>
        <v/>
      </c>
      <c r="AF98" s="16" t="str">
        <f aca="false">IF(C98="","",IF(F98="Short",AND(T98&lt;&gt;"",N(T98)&lt;0),N(T98)&gt;0)+(N(S98)&gt;=1.5))</f>
        <v/>
      </c>
      <c r="AG98" s="16" t="str">
        <f aca="false">IF(C98="","",IF(AL98="",0,IF(AL98&gt;=3,4,IF(AL98&gt;=2,2,0))))</f>
        <v/>
      </c>
      <c r="AH98" s="16" t="str">
        <f aca="false">IF(C98="","",IF(AND(ISNUMBER(V98),ISNUMBER(A98),V98&gt;=A98,V98-A98&lt;=14),-2,0))</f>
        <v/>
      </c>
      <c r="AI98" s="16" t="str">
        <f aca="false">IF(C98="","",IF(AND(F98="Short",N(U98)&gt;=0.2),-1,0))</f>
        <v/>
      </c>
      <c r="AJ98" s="23" t="str">
        <f aca="false">IF(C98="","",SUM(AB98:AI98))</f>
        <v/>
      </c>
      <c r="AK98" s="24" t="str">
        <f aca="false">IF(C98="","",IF(AJ98&gt;=14,"A",IF(AJ98&gt;=10,"B","C")))</f>
        <v/>
      </c>
      <c r="AL98" s="39" t="str">
        <f aca="false">IFERROR(IF(OR(Y98="",Z98="",AA98=""),"",IF(F98="Short",IF(Z98&lt;=Y98,"",(Y98-AA98)/(Z98-Y98)),IF(Y98&lt;=Z98,"",(AA98-Y98)/(Y98-Z98)))),"")</f>
        <v/>
      </c>
      <c r="AM98" s="37" t="str">
        <f aca="false">IF(OR(Y98="",Z98="",N(Y98)=N(Z98)),"",IF(OR(AND(F98="Short",Z98&lt;Y98),AND(NOT(F98="Short"),Z98&gt;Y98)),"stop on wrong side",ABS(Y98-Z98)))</f>
        <v/>
      </c>
      <c r="AN98" s="40" t="str">
        <f aca="false">IFERROR(IF(OR(NOT(ISNUMBER(AM98)),$C$6=""),"",ROUNDDOWN($C$6*$C$7/AM98,2)),"")</f>
        <v/>
      </c>
      <c r="AO98" s="37" t="str">
        <f aca="false">IFERROR(IF(AN98="","",AN98*Y98),"")</f>
        <v/>
      </c>
      <c r="AP98" s="35"/>
      <c r="AQ98" s="19"/>
      <c r="AR98" s="26"/>
      <c r="AS98" s="41" t="str">
        <f aca="false">IFERROR(IF(OR(AR98="",Y98="",AQ98=""),"",IF(F98="Short",1-AR98/Y98,AR98/Y98-1)),"")</f>
        <v/>
      </c>
      <c r="AT98" s="42" t="str">
        <f aca="true">IF(AQ98="","",IF(ISNUMBER($C$4),$C$4,TODAY())-AQ98)</f>
        <v/>
      </c>
      <c r="AU98" s="14" t="str">
        <f aca="false">IF(C98="","",IF(AP98="Open position",IF(IF(F98="Short",AND(ISNUMBER(AR98),ISNUMBER(Z98),AR98&gt;=Z98),AND(ISNUMBER(AR98),ISNUMBER(Z98),AR98&lt;=Z98)),IF(F98="Short","COVER — stop hit (buy back)","SELL — stop hit"),IF(IF(F98="Short",AND(ISNUMBER(AR98),ISNUMBER(AA98),AR98&lt;=AA98),AND(ISNUMBER(AR98),ISNUMBER(AA98),AR98&gt;=AA98)),"TAKE PROFIT — target hit",IF(AND(ISNUMBER(AT98),AT98&gt;182),IF(F98="Short","COVER — 6-month time limit","SELL — 6-month time limit"),IF(AND(ISNUMBER(AT98),AT98&gt;42,ISNUMBER(AS98),AS98&lt;0.02),"REVIEW — no progress after 6 weeks",IF(IF(F98="Short",AND(L98&lt;&gt;"",N(L98)&gt;0),AND(L98&lt;&gt;"",N(L98)&lt;0)),IF(F98="Short","REVIEW — back above 50-day avg","REVIEW — below 50-day avg"),"HOLD"))))),IF(OR(AP98="Closed",AP98="Dropped"),"Closed",IF(AK98="A",IF(F98="Short","Run Technical Review — SHORT entry","Run Technical Review — LONG entry"),IF(AK98="B","Watch — wait for setup","Drop or re-check next week")))))</f>
        <v/>
      </c>
      <c r="AV98" s="35"/>
      <c r="AX98" s="43" t="str">
        <f aca="false">IF(AND(C98&lt;&gt;"",A98=$C$4,ISNUMBER(AJ98)),AJ98+ROW()/100000,"")</f>
        <v/>
      </c>
    </row>
    <row r="99" customFormat="false" ht="15" hidden="false" customHeight="false" outlineLevel="0" collapsed="false">
      <c r="A99" s="19"/>
      <c r="B99" s="35"/>
      <c r="C99" s="35"/>
      <c r="D99" s="35"/>
      <c r="E99" s="35"/>
      <c r="F99" s="35"/>
      <c r="G99" s="26"/>
      <c r="H99" s="26"/>
      <c r="I99" s="36"/>
      <c r="J99" s="37" t="str">
        <f aca="false">IF(OR(G99="",I99=""),"",G99*I99/1000000)</f>
        <v/>
      </c>
      <c r="K99" s="21"/>
      <c r="L99" s="21"/>
      <c r="M99" s="21"/>
      <c r="N99" s="25"/>
      <c r="O99" s="21"/>
      <c r="P99" s="21"/>
      <c r="Q99" s="21"/>
      <c r="R99" s="21"/>
      <c r="S99" s="38"/>
      <c r="T99" s="21"/>
      <c r="U99" s="21"/>
      <c r="V99" s="19"/>
      <c r="W99" s="26"/>
      <c r="X99" s="35"/>
      <c r="Y99" s="26"/>
      <c r="Z99" s="26"/>
      <c r="AA99" s="26"/>
      <c r="AB99" s="16" t="str">
        <f aca="false">IF(C99="","",IF(F99="Short",(AND(M99&lt;&gt;"",N(M99)&lt;0))+(AND(L99&lt;&gt;"",N(L99)&lt;0))+(AND(K99&lt;&gt;"",N(K99)&lt;0))+AND(L99&lt;&gt;"",M99&lt;&gt;"",N(M99)&lt;N(L99)),(N(M99)&gt;0)+(N(L99)&gt;0)+(N(K99)&gt;0)+AND(L99&lt;&gt;"",M99&lt;&gt;"",N(M99)&gt;N(L99))))</f>
        <v/>
      </c>
      <c r="AC99" s="16" t="str">
        <f aca="false">IF(C99="","",IF(F99="Short",IF(N99="",0,IF(AND(N99&gt;=30,N99&lt;=50),2,IF(OR(AND(N99&gt;=25,N99&lt;30),AND(N99&gt;50,N99&lt;=60)),1,0)))+IF(P99="",0,IF(AND(IF(B99="JSE",$L$5,$L$4)&lt;&gt;"",P99&lt;IF(B99="JSE",$L$5,$L$4)),2,IF(P99&lt;0,1,0))),IF(N99="",0,IF(AND(N99&gt;=50,N99&lt;=70),2,IF(OR(AND(N99&gt;=40,N99&lt;50),AND(N99&gt;70,N99&lt;=75)),1,0)))+IF(P99="",0,IF(AND(IF(B99="JSE",$L$5,$L$4)&lt;&gt;"",P99&gt;IF(B99="JSE",$L$5,$L$4)),2,IF(P99&gt;0,1,0)))))</f>
        <v/>
      </c>
      <c r="AD99" s="16" t="str">
        <f aca="false">IF(C99="","",IF(F99="Short",IF(R99="",0,IF(R99&lt;=0.1,2,IF(R99&lt;=0.25,1,0))),IF(Q99="",0,IF(Q99&gt;=-0.1,2,IF(Q99&gt;=-0.25,1,0)))))</f>
        <v/>
      </c>
      <c r="AE99" s="16" t="str">
        <f aca="false">IF(C99="","",IF(J99="",0,IF(J99&gt;=IF(B99="JSE",$L$7,$L$6),2,IF(J99&gt;=IF(B99="JSE",$L$7,$L$6)/4,1,0))))</f>
        <v/>
      </c>
      <c r="AF99" s="16" t="str">
        <f aca="false">IF(C99="","",IF(F99="Short",AND(T99&lt;&gt;"",N(T99)&lt;0),N(T99)&gt;0)+(N(S99)&gt;=1.5))</f>
        <v/>
      </c>
      <c r="AG99" s="16" t="str">
        <f aca="false">IF(C99="","",IF(AL99="",0,IF(AL99&gt;=3,4,IF(AL99&gt;=2,2,0))))</f>
        <v/>
      </c>
      <c r="AH99" s="16" t="str">
        <f aca="false">IF(C99="","",IF(AND(ISNUMBER(V99),ISNUMBER(A99),V99&gt;=A99,V99-A99&lt;=14),-2,0))</f>
        <v/>
      </c>
      <c r="AI99" s="16" t="str">
        <f aca="false">IF(C99="","",IF(AND(F99="Short",N(U99)&gt;=0.2),-1,0))</f>
        <v/>
      </c>
      <c r="AJ99" s="23" t="str">
        <f aca="false">IF(C99="","",SUM(AB99:AI99))</f>
        <v/>
      </c>
      <c r="AK99" s="24" t="str">
        <f aca="false">IF(C99="","",IF(AJ99&gt;=14,"A",IF(AJ99&gt;=10,"B","C")))</f>
        <v/>
      </c>
      <c r="AL99" s="39" t="str">
        <f aca="false">IFERROR(IF(OR(Y99="",Z99="",AA99=""),"",IF(F99="Short",IF(Z99&lt;=Y99,"",(Y99-AA99)/(Z99-Y99)),IF(Y99&lt;=Z99,"",(AA99-Y99)/(Y99-Z99)))),"")</f>
        <v/>
      </c>
      <c r="AM99" s="37" t="str">
        <f aca="false">IF(OR(Y99="",Z99="",N(Y99)=N(Z99)),"",IF(OR(AND(F99="Short",Z99&lt;Y99),AND(NOT(F99="Short"),Z99&gt;Y99)),"stop on wrong side",ABS(Y99-Z99)))</f>
        <v/>
      </c>
      <c r="AN99" s="40" t="str">
        <f aca="false">IFERROR(IF(OR(NOT(ISNUMBER(AM99)),$C$6=""),"",ROUNDDOWN($C$6*$C$7/AM99,2)),"")</f>
        <v/>
      </c>
      <c r="AO99" s="37" t="str">
        <f aca="false">IFERROR(IF(AN99="","",AN99*Y99),"")</f>
        <v/>
      </c>
      <c r="AP99" s="35"/>
      <c r="AQ99" s="19"/>
      <c r="AR99" s="26"/>
      <c r="AS99" s="41" t="str">
        <f aca="false">IFERROR(IF(OR(AR99="",Y99="",AQ99=""),"",IF(F99="Short",1-AR99/Y99,AR99/Y99-1)),"")</f>
        <v/>
      </c>
      <c r="AT99" s="42" t="str">
        <f aca="true">IF(AQ99="","",IF(ISNUMBER($C$4),$C$4,TODAY())-AQ99)</f>
        <v/>
      </c>
      <c r="AU99" s="14" t="str">
        <f aca="false">IF(C99="","",IF(AP99="Open position",IF(IF(F99="Short",AND(ISNUMBER(AR99),ISNUMBER(Z99),AR99&gt;=Z99),AND(ISNUMBER(AR99),ISNUMBER(Z99),AR99&lt;=Z99)),IF(F99="Short","COVER — stop hit (buy back)","SELL — stop hit"),IF(IF(F99="Short",AND(ISNUMBER(AR99),ISNUMBER(AA99),AR99&lt;=AA99),AND(ISNUMBER(AR99),ISNUMBER(AA99),AR99&gt;=AA99)),"TAKE PROFIT — target hit",IF(AND(ISNUMBER(AT99),AT99&gt;182),IF(F99="Short","COVER — 6-month time limit","SELL — 6-month time limit"),IF(AND(ISNUMBER(AT99),AT99&gt;42,ISNUMBER(AS99),AS99&lt;0.02),"REVIEW — no progress after 6 weeks",IF(IF(F99="Short",AND(L99&lt;&gt;"",N(L99)&gt;0),AND(L99&lt;&gt;"",N(L99)&lt;0)),IF(F99="Short","REVIEW — back above 50-day avg","REVIEW — below 50-day avg"),"HOLD"))))),IF(OR(AP99="Closed",AP99="Dropped"),"Closed",IF(AK99="A",IF(F99="Short","Run Technical Review — SHORT entry","Run Technical Review — LONG entry"),IF(AK99="B","Watch — wait for setup","Drop or re-check next week")))))</f>
        <v/>
      </c>
      <c r="AV99" s="35"/>
      <c r="AX99" s="43" t="str">
        <f aca="false">IF(AND(C99&lt;&gt;"",A99=$C$4,ISNUMBER(AJ99)),AJ99+ROW()/100000,"")</f>
        <v/>
      </c>
    </row>
    <row r="100" customFormat="false" ht="15" hidden="false" customHeight="false" outlineLevel="0" collapsed="false">
      <c r="A100" s="19"/>
      <c r="B100" s="35"/>
      <c r="C100" s="35"/>
      <c r="D100" s="35"/>
      <c r="E100" s="35"/>
      <c r="F100" s="35"/>
      <c r="G100" s="26"/>
      <c r="H100" s="26"/>
      <c r="I100" s="36"/>
      <c r="J100" s="37" t="str">
        <f aca="false">IF(OR(G100="",I100=""),"",G100*I100/1000000)</f>
        <v/>
      </c>
      <c r="K100" s="21"/>
      <c r="L100" s="21"/>
      <c r="M100" s="21"/>
      <c r="N100" s="25"/>
      <c r="O100" s="21"/>
      <c r="P100" s="21"/>
      <c r="Q100" s="21"/>
      <c r="R100" s="21"/>
      <c r="S100" s="38"/>
      <c r="T100" s="21"/>
      <c r="U100" s="21"/>
      <c r="V100" s="19"/>
      <c r="W100" s="26"/>
      <c r="X100" s="35"/>
      <c r="Y100" s="26"/>
      <c r="Z100" s="26"/>
      <c r="AA100" s="26"/>
      <c r="AB100" s="16" t="str">
        <f aca="false">IF(C100="","",IF(F100="Short",(AND(M100&lt;&gt;"",N(M100)&lt;0))+(AND(L100&lt;&gt;"",N(L100)&lt;0))+(AND(K100&lt;&gt;"",N(K100)&lt;0))+AND(L100&lt;&gt;"",M100&lt;&gt;"",N(M100)&lt;N(L100)),(N(M100)&gt;0)+(N(L100)&gt;0)+(N(K100)&gt;0)+AND(L100&lt;&gt;"",M100&lt;&gt;"",N(M100)&gt;N(L100))))</f>
        <v/>
      </c>
      <c r="AC100" s="16" t="str">
        <f aca="false">IF(C100="","",IF(F100="Short",IF(N100="",0,IF(AND(N100&gt;=30,N100&lt;=50),2,IF(OR(AND(N100&gt;=25,N100&lt;30),AND(N100&gt;50,N100&lt;=60)),1,0)))+IF(P100="",0,IF(AND(IF(B100="JSE",$L$5,$L$4)&lt;&gt;"",P100&lt;IF(B100="JSE",$L$5,$L$4)),2,IF(P100&lt;0,1,0))),IF(N100="",0,IF(AND(N100&gt;=50,N100&lt;=70),2,IF(OR(AND(N100&gt;=40,N100&lt;50),AND(N100&gt;70,N100&lt;=75)),1,0)))+IF(P100="",0,IF(AND(IF(B100="JSE",$L$5,$L$4)&lt;&gt;"",P100&gt;IF(B100="JSE",$L$5,$L$4)),2,IF(P100&gt;0,1,0)))))</f>
        <v/>
      </c>
      <c r="AD100" s="16" t="str">
        <f aca="false">IF(C100="","",IF(F100="Short",IF(R100="",0,IF(R100&lt;=0.1,2,IF(R100&lt;=0.25,1,0))),IF(Q100="",0,IF(Q100&gt;=-0.1,2,IF(Q100&gt;=-0.25,1,0)))))</f>
        <v/>
      </c>
      <c r="AE100" s="16" t="str">
        <f aca="false">IF(C100="","",IF(J100="",0,IF(J100&gt;=IF(B100="JSE",$L$7,$L$6),2,IF(J100&gt;=IF(B100="JSE",$L$7,$L$6)/4,1,0))))</f>
        <v/>
      </c>
      <c r="AF100" s="16" t="str">
        <f aca="false">IF(C100="","",IF(F100="Short",AND(T100&lt;&gt;"",N(T100)&lt;0),N(T100)&gt;0)+(N(S100)&gt;=1.5))</f>
        <v/>
      </c>
      <c r="AG100" s="16" t="str">
        <f aca="false">IF(C100="","",IF(AL100="",0,IF(AL100&gt;=3,4,IF(AL100&gt;=2,2,0))))</f>
        <v/>
      </c>
      <c r="AH100" s="16" t="str">
        <f aca="false">IF(C100="","",IF(AND(ISNUMBER(V100),ISNUMBER(A100),V100&gt;=A100,V100-A100&lt;=14),-2,0))</f>
        <v/>
      </c>
      <c r="AI100" s="16" t="str">
        <f aca="false">IF(C100="","",IF(AND(F100="Short",N(U100)&gt;=0.2),-1,0))</f>
        <v/>
      </c>
      <c r="AJ100" s="23" t="str">
        <f aca="false">IF(C100="","",SUM(AB100:AI100))</f>
        <v/>
      </c>
      <c r="AK100" s="24" t="str">
        <f aca="false">IF(C100="","",IF(AJ100&gt;=14,"A",IF(AJ100&gt;=10,"B","C")))</f>
        <v/>
      </c>
      <c r="AL100" s="39" t="str">
        <f aca="false">IFERROR(IF(OR(Y100="",Z100="",AA100=""),"",IF(F100="Short",IF(Z100&lt;=Y100,"",(Y100-AA100)/(Z100-Y100)),IF(Y100&lt;=Z100,"",(AA100-Y100)/(Y100-Z100)))),"")</f>
        <v/>
      </c>
      <c r="AM100" s="37" t="str">
        <f aca="false">IF(OR(Y100="",Z100="",N(Y100)=N(Z100)),"",IF(OR(AND(F100="Short",Z100&lt;Y100),AND(NOT(F100="Short"),Z100&gt;Y100)),"stop on wrong side",ABS(Y100-Z100)))</f>
        <v/>
      </c>
      <c r="AN100" s="40" t="str">
        <f aca="false">IFERROR(IF(OR(NOT(ISNUMBER(AM100)),$C$6=""),"",ROUNDDOWN($C$6*$C$7/AM100,2)),"")</f>
        <v/>
      </c>
      <c r="AO100" s="37" t="str">
        <f aca="false">IFERROR(IF(AN100="","",AN100*Y100),"")</f>
        <v/>
      </c>
      <c r="AP100" s="35"/>
      <c r="AQ100" s="19"/>
      <c r="AR100" s="26"/>
      <c r="AS100" s="41" t="str">
        <f aca="false">IFERROR(IF(OR(AR100="",Y100="",AQ100=""),"",IF(F100="Short",1-AR100/Y100,AR100/Y100-1)),"")</f>
        <v/>
      </c>
      <c r="AT100" s="42" t="str">
        <f aca="true">IF(AQ100="","",IF(ISNUMBER($C$4),$C$4,TODAY())-AQ100)</f>
        <v/>
      </c>
      <c r="AU100" s="14" t="str">
        <f aca="false">IF(C100="","",IF(AP100="Open position",IF(IF(F100="Short",AND(ISNUMBER(AR100),ISNUMBER(Z100),AR100&gt;=Z100),AND(ISNUMBER(AR100),ISNUMBER(Z100),AR100&lt;=Z100)),IF(F100="Short","COVER — stop hit (buy back)","SELL — stop hit"),IF(IF(F100="Short",AND(ISNUMBER(AR100),ISNUMBER(AA100),AR100&lt;=AA100),AND(ISNUMBER(AR100),ISNUMBER(AA100),AR100&gt;=AA100)),"TAKE PROFIT — target hit",IF(AND(ISNUMBER(AT100),AT100&gt;182),IF(F100="Short","COVER — 6-month time limit","SELL — 6-month time limit"),IF(AND(ISNUMBER(AT100),AT100&gt;42,ISNUMBER(AS100),AS100&lt;0.02),"REVIEW — no progress after 6 weeks",IF(IF(F100="Short",AND(L100&lt;&gt;"",N(L100)&gt;0),AND(L100&lt;&gt;"",N(L100)&lt;0)),IF(F100="Short","REVIEW — back above 50-day avg","REVIEW — below 50-day avg"),"HOLD"))))),IF(OR(AP100="Closed",AP100="Dropped"),"Closed",IF(AK100="A",IF(F100="Short","Run Technical Review — SHORT entry","Run Technical Review — LONG entry"),IF(AK100="B","Watch — wait for setup","Drop or re-check next week")))))</f>
        <v/>
      </c>
      <c r="AV100" s="35"/>
      <c r="AX100" s="43" t="str">
        <f aca="false">IF(AND(C100&lt;&gt;"",A100=$C$4,ISNUMBER(AJ100)),AJ100+ROW()/100000,"")</f>
        <v/>
      </c>
    </row>
    <row r="101" customFormat="false" ht="15" hidden="false" customHeight="false" outlineLevel="0" collapsed="false">
      <c r="A101" s="19"/>
      <c r="B101" s="35"/>
      <c r="C101" s="35"/>
      <c r="D101" s="35"/>
      <c r="E101" s="35"/>
      <c r="F101" s="35"/>
      <c r="G101" s="26"/>
      <c r="H101" s="26"/>
      <c r="I101" s="36"/>
      <c r="J101" s="37" t="str">
        <f aca="false">IF(OR(G101="",I101=""),"",G101*I101/1000000)</f>
        <v/>
      </c>
      <c r="K101" s="21"/>
      <c r="L101" s="21"/>
      <c r="M101" s="21"/>
      <c r="N101" s="25"/>
      <c r="O101" s="21"/>
      <c r="P101" s="21"/>
      <c r="Q101" s="21"/>
      <c r="R101" s="21"/>
      <c r="S101" s="38"/>
      <c r="T101" s="21"/>
      <c r="U101" s="21"/>
      <c r="V101" s="19"/>
      <c r="W101" s="26"/>
      <c r="X101" s="35"/>
      <c r="Y101" s="26"/>
      <c r="Z101" s="26"/>
      <c r="AA101" s="26"/>
      <c r="AB101" s="16" t="str">
        <f aca="false">IF(C101="","",IF(F101="Short",(AND(M101&lt;&gt;"",N(M101)&lt;0))+(AND(L101&lt;&gt;"",N(L101)&lt;0))+(AND(K101&lt;&gt;"",N(K101)&lt;0))+AND(L101&lt;&gt;"",M101&lt;&gt;"",N(M101)&lt;N(L101)),(N(M101)&gt;0)+(N(L101)&gt;0)+(N(K101)&gt;0)+AND(L101&lt;&gt;"",M101&lt;&gt;"",N(M101)&gt;N(L101))))</f>
        <v/>
      </c>
      <c r="AC101" s="16" t="str">
        <f aca="false">IF(C101="","",IF(F101="Short",IF(N101="",0,IF(AND(N101&gt;=30,N101&lt;=50),2,IF(OR(AND(N101&gt;=25,N101&lt;30),AND(N101&gt;50,N101&lt;=60)),1,0)))+IF(P101="",0,IF(AND(IF(B101="JSE",$L$5,$L$4)&lt;&gt;"",P101&lt;IF(B101="JSE",$L$5,$L$4)),2,IF(P101&lt;0,1,0))),IF(N101="",0,IF(AND(N101&gt;=50,N101&lt;=70),2,IF(OR(AND(N101&gt;=40,N101&lt;50),AND(N101&gt;70,N101&lt;=75)),1,0)))+IF(P101="",0,IF(AND(IF(B101="JSE",$L$5,$L$4)&lt;&gt;"",P101&gt;IF(B101="JSE",$L$5,$L$4)),2,IF(P101&gt;0,1,0)))))</f>
        <v/>
      </c>
      <c r="AD101" s="16" t="str">
        <f aca="false">IF(C101="","",IF(F101="Short",IF(R101="",0,IF(R101&lt;=0.1,2,IF(R101&lt;=0.25,1,0))),IF(Q101="",0,IF(Q101&gt;=-0.1,2,IF(Q101&gt;=-0.25,1,0)))))</f>
        <v/>
      </c>
      <c r="AE101" s="16" t="str">
        <f aca="false">IF(C101="","",IF(J101="",0,IF(J101&gt;=IF(B101="JSE",$L$7,$L$6),2,IF(J101&gt;=IF(B101="JSE",$L$7,$L$6)/4,1,0))))</f>
        <v/>
      </c>
      <c r="AF101" s="16" t="str">
        <f aca="false">IF(C101="","",IF(F101="Short",AND(T101&lt;&gt;"",N(T101)&lt;0),N(T101)&gt;0)+(N(S101)&gt;=1.5))</f>
        <v/>
      </c>
      <c r="AG101" s="16" t="str">
        <f aca="false">IF(C101="","",IF(AL101="",0,IF(AL101&gt;=3,4,IF(AL101&gt;=2,2,0))))</f>
        <v/>
      </c>
      <c r="AH101" s="16" t="str">
        <f aca="false">IF(C101="","",IF(AND(ISNUMBER(V101),ISNUMBER(A101),V101&gt;=A101,V101-A101&lt;=14),-2,0))</f>
        <v/>
      </c>
      <c r="AI101" s="16" t="str">
        <f aca="false">IF(C101="","",IF(AND(F101="Short",N(U101)&gt;=0.2),-1,0))</f>
        <v/>
      </c>
      <c r="AJ101" s="23" t="str">
        <f aca="false">IF(C101="","",SUM(AB101:AI101))</f>
        <v/>
      </c>
      <c r="AK101" s="24" t="str">
        <f aca="false">IF(C101="","",IF(AJ101&gt;=14,"A",IF(AJ101&gt;=10,"B","C")))</f>
        <v/>
      </c>
      <c r="AL101" s="39" t="str">
        <f aca="false">IFERROR(IF(OR(Y101="",Z101="",AA101=""),"",IF(F101="Short",IF(Z101&lt;=Y101,"",(Y101-AA101)/(Z101-Y101)),IF(Y101&lt;=Z101,"",(AA101-Y101)/(Y101-Z101)))),"")</f>
        <v/>
      </c>
      <c r="AM101" s="37" t="str">
        <f aca="false">IF(OR(Y101="",Z101="",N(Y101)=N(Z101)),"",IF(OR(AND(F101="Short",Z101&lt;Y101),AND(NOT(F101="Short"),Z101&gt;Y101)),"stop on wrong side",ABS(Y101-Z101)))</f>
        <v/>
      </c>
      <c r="AN101" s="40" t="str">
        <f aca="false">IFERROR(IF(OR(NOT(ISNUMBER(AM101)),$C$6=""),"",ROUNDDOWN($C$6*$C$7/AM101,2)),"")</f>
        <v/>
      </c>
      <c r="AO101" s="37" t="str">
        <f aca="false">IFERROR(IF(AN101="","",AN101*Y101),"")</f>
        <v/>
      </c>
      <c r="AP101" s="35"/>
      <c r="AQ101" s="19"/>
      <c r="AR101" s="26"/>
      <c r="AS101" s="41" t="str">
        <f aca="false">IFERROR(IF(OR(AR101="",Y101="",AQ101=""),"",IF(F101="Short",1-AR101/Y101,AR101/Y101-1)),"")</f>
        <v/>
      </c>
      <c r="AT101" s="42" t="str">
        <f aca="true">IF(AQ101="","",IF(ISNUMBER($C$4),$C$4,TODAY())-AQ101)</f>
        <v/>
      </c>
      <c r="AU101" s="14" t="str">
        <f aca="false">IF(C101="","",IF(AP101="Open position",IF(IF(F101="Short",AND(ISNUMBER(AR101),ISNUMBER(Z101),AR101&gt;=Z101),AND(ISNUMBER(AR101),ISNUMBER(Z101),AR101&lt;=Z101)),IF(F101="Short","COVER — stop hit (buy back)","SELL — stop hit"),IF(IF(F101="Short",AND(ISNUMBER(AR101),ISNUMBER(AA101),AR101&lt;=AA101),AND(ISNUMBER(AR101),ISNUMBER(AA101),AR101&gt;=AA101)),"TAKE PROFIT — target hit",IF(AND(ISNUMBER(AT101),AT101&gt;182),IF(F101="Short","COVER — 6-month time limit","SELL — 6-month time limit"),IF(AND(ISNUMBER(AT101),AT101&gt;42,ISNUMBER(AS101),AS101&lt;0.02),"REVIEW — no progress after 6 weeks",IF(IF(F101="Short",AND(L101&lt;&gt;"",N(L101)&gt;0),AND(L101&lt;&gt;"",N(L101)&lt;0)),IF(F101="Short","REVIEW — back above 50-day avg","REVIEW — below 50-day avg"),"HOLD"))))),IF(OR(AP101="Closed",AP101="Dropped"),"Closed",IF(AK101="A",IF(F101="Short","Run Technical Review — SHORT entry","Run Technical Review — LONG entry"),IF(AK101="B","Watch — wait for setup","Drop or re-check next week")))))</f>
        <v/>
      </c>
      <c r="AV101" s="35"/>
      <c r="AX101" s="43" t="str">
        <f aca="false">IF(AND(C101&lt;&gt;"",A101=$C$4,ISNUMBER(AJ101)),AJ101+ROW()/100000,"")</f>
        <v/>
      </c>
    </row>
    <row r="102" customFormat="false" ht="15" hidden="false" customHeight="false" outlineLevel="0" collapsed="false">
      <c r="A102" s="19"/>
      <c r="B102" s="35"/>
      <c r="C102" s="35"/>
      <c r="D102" s="35"/>
      <c r="E102" s="35"/>
      <c r="F102" s="35"/>
      <c r="G102" s="26"/>
      <c r="H102" s="26"/>
      <c r="I102" s="36"/>
      <c r="J102" s="37" t="str">
        <f aca="false">IF(OR(G102="",I102=""),"",G102*I102/1000000)</f>
        <v/>
      </c>
      <c r="K102" s="21"/>
      <c r="L102" s="21"/>
      <c r="M102" s="21"/>
      <c r="N102" s="25"/>
      <c r="O102" s="21"/>
      <c r="P102" s="21"/>
      <c r="Q102" s="21"/>
      <c r="R102" s="21"/>
      <c r="S102" s="38"/>
      <c r="T102" s="21"/>
      <c r="U102" s="21"/>
      <c r="V102" s="19"/>
      <c r="W102" s="26"/>
      <c r="X102" s="35"/>
      <c r="Y102" s="26"/>
      <c r="Z102" s="26"/>
      <c r="AA102" s="26"/>
      <c r="AB102" s="16" t="str">
        <f aca="false">IF(C102="","",IF(F102="Short",(AND(M102&lt;&gt;"",N(M102)&lt;0))+(AND(L102&lt;&gt;"",N(L102)&lt;0))+(AND(K102&lt;&gt;"",N(K102)&lt;0))+AND(L102&lt;&gt;"",M102&lt;&gt;"",N(M102)&lt;N(L102)),(N(M102)&gt;0)+(N(L102)&gt;0)+(N(K102)&gt;0)+AND(L102&lt;&gt;"",M102&lt;&gt;"",N(M102)&gt;N(L102))))</f>
        <v/>
      </c>
      <c r="AC102" s="16" t="str">
        <f aca="false">IF(C102="","",IF(F102="Short",IF(N102="",0,IF(AND(N102&gt;=30,N102&lt;=50),2,IF(OR(AND(N102&gt;=25,N102&lt;30),AND(N102&gt;50,N102&lt;=60)),1,0)))+IF(P102="",0,IF(AND(IF(B102="JSE",$L$5,$L$4)&lt;&gt;"",P102&lt;IF(B102="JSE",$L$5,$L$4)),2,IF(P102&lt;0,1,0))),IF(N102="",0,IF(AND(N102&gt;=50,N102&lt;=70),2,IF(OR(AND(N102&gt;=40,N102&lt;50),AND(N102&gt;70,N102&lt;=75)),1,0)))+IF(P102="",0,IF(AND(IF(B102="JSE",$L$5,$L$4)&lt;&gt;"",P102&gt;IF(B102="JSE",$L$5,$L$4)),2,IF(P102&gt;0,1,0)))))</f>
        <v/>
      </c>
      <c r="AD102" s="16" t="str">
        <f aca="false">IF(C102="","",IF(F102="Short",IF(R102="",0,IF(R102&lt;=0.1,2,IF(R102&lt;=0.25,1,0))),IF(Q102="",0,IF(Q102&gt;=-0.1,2,IF(Q102&gt;=-0.25,1,0)))))</f>
        <v/>
      </c>
      <c r="AE102" s="16" t="str">
        <f aca="false">IF(C102="","",IF(J102="",0,IF(J102&gt;=IF(B102="JSE",$L$7,$L$6),2,IF(J102&gt;=IF(B102="JSE",$L$7,$L$6)/4,1,0))))</f>
        <v/>
      </c>
      <c r="AF102" s="16" t="str">
        <f aca="false">IF(C102="","",IF(F102="Short",AND(T102&lt;&gt;"",N(T102)&lt;0),N(T102)&gt;0)+(N(S102)&gt;=1.5))</f>
        <v/>
      </c>
      <c r="AG102" s="16" t="str">
        <f aca="false">IF(C102="","",IF(AL102="",0,IF(AL102&gt;=3,4,IF(AL102&gt;=2,2,0))))</f>
        <v/>
      </c>
      <c r="AH102" s="16" t="str">
        <f aca="false">IF(C102="","",IF(AND(ISNUMBER(V102),ISNUMBER(A102),V102&gt;=A102,V102-A102&lt;=14),-2,0))</f>
        <v/>
      </c>
      <c r="AI102" s="16" t="str">
        <f aca="false">IF(C102="","",IF(AND(F102="Short",N(U102)&gt;=0.2),-1,0))</f>
        <v/>
      </c>
      <c r="AJ102" s="23" t="str">
        <f aca="false">IF(C102="","",SUM(AB102:AI102))</f>
        <v/>
      </c>
      <c r="AK102" s="24" t="str">
        <f aca="false">IF(C102="","",IF(AJ102&gt;=14,"A",IF(AJ102&gt;=10,"B","C")))</f>
        <v/>
      </c>
      <c r="AL102" s="39" t="str">
        <f aca="false">IFERROR(IF(OR(Y102="",Z102="",AA102=""),"",IF(F102="Short",IF(Z102&lt;=Y102,"",(Y102-AA102)/(Z102-Y102)),IF(Y102&lt;=Z102,"",(AA102-Y102)/(Y102-Z102)))),"")</f>
        <v/>
      </c>
      <c r="AM102" s="37" t="str">
        <f aca="false">IF(OR(Y102="",Z102="",N(Y102)=N(Z102)),"",IF(OR(AND(F102="Short",Z102&lt;Y102),AND(NOT(F102="Short"),Z102&gt;Y102)),"stop on wrong side",ABS(Y102-Z102)))</f>
        <v/>
      </c>
      <c r="AN102" s="40" t="str">
        <f aca="false">IFERROR(IF(OR(NOT(ISNUMBER(AM102)),$C$6=""),"",ROUNDDOWN($C$6*$C$7/AM102,2)),"")</f>
        <v/>
      </c>
      <c r="AO102" s="37" t="str">
        <f aca="false">IFERROR(IF(AN102="","",AN102*Y102),"")</f>
        <v/>
      </c>
      <c r="AP102" s="35"/>
      <c r="AQ102" s="19"/>
      <c r="AR102" s="26"/>
      <c r="AS102" s="41" t="str">
        <f aca="false">IFERROR(IF(OR(AR102="",Y102="",AQ102=""),"",IF(F102="Short",1-AR102/Y102,AR102/Y102-1)),"")</f>
        <v/>
      </c>
      <c r="AT102" s="42" t="str">
        <f aca="true">IF(AQ102="","",IF(ISNUMBER($C$4),$C$4,TODAY())-AQ102)</f>
        <v/>
      </c>
      <c r="AU102" s="14" t="str">
        <f aca="false">IF(C102="","",IF(AP102="Open position",IF(IF(F102="Short",AND(ISNUMBER(AR102),ISNUMBER(Z102),AR102&gt;=Z102),AND(ISNUMBER(AR102),ISNUMBER(Z102),AR102&lt;=Z102)),IF(F102="Short","COVER — stop hit (buy back)","SELL — stop hit"),IF(IF(F102="Short",AND(ISNUMBER(AR102),ISNUMBER(AA102),AR102&lt;=AA102),AND(ISNUMBER(AR102),ISNUMBER(AA102),AR102&gt;=AA102)),"TAKE PROFIT — target hit",IF(AND(ISNUMBER(AT102),AT102&gt;182),IF(F102="Short","COVER — 6-month time limit","SELL — 6-month time limit"),IF(AND(ISNUMBER(AT102),AT102&gt;42,ISNUMBER(AS102),AS102&lt;0.02),"REVIEW — no progress after 6 weeks",IF(IF(F102="Short",AND(L102&lt;&gt;"",N(L102)&gt;0),AND(L102&lt;&gt;"",N(L102)&lt;0)),IF(F102="Short","REVIEW — back above 50-day avg","REVIEW — below 50-day avg"),"HOLD"))))),IF(OR(AP102="Closed",AP102="Dropped"),"Closed",IF(AK102="A",IF(F102="Short","Run Technical Review — SHORT entry","Run Technical Review — LONG entry"),IF(AK102="B","Watch — wait for setup","Drop or re-check next week")))))</f>
        <v/>
      </c>
      <c r="AV102" s="35"/>
      <c r="AX102" s="43" t="str">
        <f aca="false">IF(AND(C102&lt;&gt;"",A102=$C$4,ISNUMBER(AJ102)),AJ102+ROW()/100000,"")</f>
        <v/>
      </c>
    </row>
    <row r="103" customFormat="false" ht="15" hidden="false" customHeight="false" outlineLevel="0" collapsed="false">
      <c r="A103" s="19"/>
      <c r="B103" s="35"/>
      <c r="C103" s="35"/>
      <c r="D103" s="35"/>
      <c r="E103" s="35"/>
      <c r="F103" s="35"/>
      <c r="G103" s="26"/>
      <c r="H103" s="26"/>
      <c r="I103" s="36"/>
      <c r="J103" s="37" t="str">
        <f aca="false">IF(OR(G103="",I103=""),"",G103*I103/1000000)</f>
        <v/>
      </c>
      <c r="K103" s="21"/>
      <c r="L103" s="21"/>
      <c r="M103" s="21"/>
      <c r="N103" s="25"/>
      <c r="O103" s="21"/>
      <c r="P103" s="21"/>
      <c r="Q103" s="21"/>
      <c r="R103" s="21"/>
      <c r="S103" s="38"/>
      <c r="T103" s="21"/>
      <c r="U103" s="21"/>
      <c r="V103" s="19"/>
      <c r="W103" s="26"/>
      <c r="X103" s="35"/>
      <c r="Y103" s="26"/>
      <c r="Z103" s="26"/>
      <c r="AA103" s="26"/>
      <c r="AB103" s="16" t="str">
        <f aca="false">IF(C103="","",IF(F103="Short",(AND(M103&lt;&gt;"",N(M103)&lt;0))+(AND(L103&lt;&gt;"",N(L103)&lt;0))+(AND(K103&lt;&gt;"",N(K103)&lt;0))+AND(L103&lt;&gt;"",M103&lt;&gt;"",N(M103)&lt;N(L103)),(N(M103)&gt;0)+(N(L103)&gt;0)+(N(K103)&gt;0)+AND(L103&lt;&gt;"",M103&lt;&gt;"",N(M103)&gt;N(L103))))</f>
        <v/>
      </c>
      <c r="AC103" s="16" t="str">
        <f aca="false">IF(C103="","",IF(F103="Short",IF(N103="",0,IF(AND(N103&gt;=30,N103&lt;=50),2,IF(OR(AND(N103&gt;=25,N103&lt;30),AND(N103&gt;50,N103&lt;=60)),1,0)))+IF(P103="",0,IF(AND(IF(B103="JSE",$L$5,$L$4)&lt;&gt;"",P103&lt;IF(B103="JSE",$L$5,$L$4)),2,IF(P103&lt;0,1,0))),IF(N103="",0,IF(AND(N103&gt;=50,N103&lt;=70),2,IF(OR(AND(N103&gt;=40,N103&lt;50),AND(N103&gt;70,N103&lt;=75)),1,0)))+IF(P103="",0,IF(AND(IF(B103="JSE",$L$5,$L$4)&lt;&gt;"",P103&gt;IF(B103="JSE",$L$5,$L$4)),2,IF(P103&gt;0,1,0)))))</f>
        <v/>
      </c>
      <c r="AD103" s="16" t="str">
        <f aca="false">IF(C103="","",IF(F103="Short",IF(R103="",0,IF(R103&lt;=0.1,2,IF(R103&lt;=0.25,1,0))),IF(Q103="",0,IF(Q103&gt;=-0.1,2,IF(Q103&gt;=-0.25,1,0)))))</f>
        <v/>
      </c>
      <c r="AE103" s="16" t="str">
        <f aca="false">IF(C103="","",IF(J103="",0,IF(J103&gt;=IF(B103="JSE",$L$7,$L$6),2,IF(J103&gt;=IF(B103="JSE",$L$7,$L$6)/4,1,0))))</f>
        <v/>
      </c>
      <c r="AF103" s="16" t="str">
        <f aca="false">IF(C103="","",IF(F103="Short",AND(T103&lt;&gt;"",N(T103)&lt;0),N(T103)&gt;0)+(N(S103)&gt;=1.5))</f>
        <v/>
      </c>
      <c r="AG103" s="16" t="str">
        <f aca="false">IF(C103="","",IF(AL103="",0,IF(AL103&gt;=3,4,IF(AL103&gt;=2,2,0))))</f>
        <v/>
      </c>
      <c r="AH103" s="16" t="str">
        <f aca="false">IF(C103="","",IF(AND(ISNUMBER(V103),ISNUMBER(A103),V103&gt;=A103,V103-A103&lt;=14),-2,0))</f>
        <v/>
      </c>
      <c r="AI103" s="16" t="str">
        <f aca="false">IF(C103="","",IF(AND(F103="Short",N(U103)&gt;=0.2),-1,0))</f>
        <v/>
      </c>
      <c r="AJ103" s="23" t="str">
        <f aca="false">IF(C103="","",SUM(AB103:AI103))</f>
        <v/>
      </c>
      <c r="AK103" s="24" t="str">
        <f aca="false">IF(C103="","",IF(AJ103&gt;=14,"A",IF(AJ103&gt;=10,"B","C")))</f>
        <v/>
      </c>
      <c r="AL103" s="39" t="str">
        <f aca="false">IFERROR(IF(OR(Y103="",Z103="",AA103=""),"",IF(F103="Short",IF(Z103&lt;=Y103,"",(Y103-AA103)/(Z103-Y103)),IF(Y103&lt;=Z103,"",(AA103-Y103)/(Y103-Z103)))),"")</f>
        <v/>
      </c>
      <c r="AM103" s="37" t="str">
        <f aca="false">IF(OR(Y103="",Z103="",N(Y103)=N(Z103)),"",IF(OR(AND(F103="Short",Z103&lt;Y103),AND(NOT(F103="Short"),Z103&gt;Y103)),"stop on wrong side",ABS(Y103-Z103)))</f>
        <v/>
      </c>
      <c r="AN103" s="40" t="str">
        <f aca="false">IFERROR(IF(OR(NOT(ISNUMBER(AM103)),$C$6=""),"",ROUNDDOWN($C$6*$C$7/AM103,2)),"")</f>
        <v/>
      </c>
      <c r="AO103" s="37" t="str">
        <f aca="false">IFERROR(IF(AN103="","",AN103*Y103),"")</f>
        <v/>
      </c>
      <c r="AP103" s="35"/>
      <c r="AQ103" s="19"/>
      <c r="AR103" s="26"/>
      <c r="AS103" s="41" t="str">
        <f aca="false">IFERROR(IF(OR(AR103="",Y103="",AQ103=""),"",IF(F103="Short",1-AR103/Y103,AR103/Y103-1)),"")</f>
        <v/>
      </c>
      <c r="AT103" s="42" t="str">
        <f aca="true">IF(AQ103="","",IF(ISNUMBER($C$4),$C$4,TODAY())-AQ103)</f>
        <v/>
      </c>
      <c r="AU103" s="14" t="str">
        <f aca="false">IF(C103="","",IF(AP103="Open position",IF(IF(F103="Short",AND(ISNUMBER(AR103),ISNUMBER(Z103),AR103&gt;=Z103),AND(ISNUMBER(AR103),ISNUMBER(Z103),AR103&lt;=Z103)),IF(F103="Short","COVER — stop hit (buy back)","SELL — stop hit"),IF(IF(F103="Short",AND(ISNUMBER(AR103),ISNUMBER(AA103),AR103&lt;=AA103),AND(ISNUMBER(AR103),ISNUMBER(AA103),AR103&gt;=AA103)),"TAKE PROFIT — target hit",IF(AND(ISNUMBER(AT103),AT103&gt;182),IF(F103="Short","COVER — 6-month time limit","SELL — 6-month time limit"),IF(AND(ISNUMBER(AT103),AT103&gt;42,ISNUMBER(AS103),AS103&lt;0.02),"REVIEW — no progress after 6 weeks",IF(IF(F103="Short",AND(L103&lt;&gt;"",N(L103)&gt;0),AND(L103&lt;&gt;"",N(L103)&lt;0)),IF(F103="Short","REVIEW — back above 50-day avg","REVIEW — below 50-day avg"),"HOLD"))))),IF(OR(AP103="Closed",AP103="Dropped"),"Closed",IF(AK103="A",IF(F103="Short","Run Technical Review — SHORT entry","Run Technical Review — LONG entry"),IF(AK103="B","Watch — wait for setup","Drop or re-check next week")))))</f>
        <v/>
      </c>
      <c r="AV103" s="35"/>
      <c r="AX103" s="43" t="str">
        <f aca="false">IF(AND(C103&lt;&gt;"",A103=$C$4,ISNUMBER(AJ103)),AJ103+ROW()/100000,"")</f>
        <v/>
      </c>
    </row>
    <row r="104" customFormat="false" ht="15" hidden="false" customHeight="false" outlineLevel="0" collapsed="false">
      <c r="A104" s="19"/>
      <c r="B104" s="35"/>
      <c r="C104" s="35"/>
      <c r="D104" s="35"/>
      <c r="E104" s="35"/>
      <c r="F104" s="35"/>
      <c r="G104" s="26"/>
      <c r="H104" s="26"/>
      <c r="I104" s="36"/>
      <c r="J104" s="37" t="str">
        <f aca="false">IF(OR(G104="",I104=""),"",G104*I104/1000000)</f>
        <v/>
      </c>
      <c r="K104" s="21"/>
      <c r="L104" s="21"/>
      <c r="M104" s="21"/>
      <c r="N104" s="25"/>
      <c r="O104" s="21"/>
      <c r="P104" s="21"/>
      <c r="Q104" s="21"/>
      <c r="R104" s="21"/>
      <c r="S104" s="38"/>
      <c r="T104" s="21"/>
      <c r="U104" s="21"/>
      <c r="V104" s="19"/>
      <c r="W104" s="26"/>
      <c r="X104" s="35"/>
      <c r="Y104" s="26"/>
      <c r="Z104" s="26"/>
      <c r="AA104" s="26"/>
      <c r="AB104" s="16" t="str">
        <f aca="false">IF(C104="","",IF(F104="Short",(AND(M104&lt;&gt;"",N(M104)&lt;0))+(AND(L104&lt;&gt;"",N(L104)&lt;0))+(AND(K104&lt;&gt;"",N(K104)&lt;0))+AND(L104&lt;&gt;"",M104&lt;&gt;"",N(M104)&lt;N(L104)),(N(M104)&gt;0)+(N(L104)&gt;0)+(N(K104)&gt;0)+AND(L104&lt;&gt;"",M104&lt;&gt;"",N(M104)&gt;N(L104))))</f>
        <v/>
      </c>
      <c r="AC104" s="16" t="str">
        <f aca="false">IF(C104="","",IF(F104="Short",IF(N104="",0,IF(AND(N104&gt;=30,N104&lt;=50),2,IF(OR(AND(N104&gt;=25,N104&lt;30),AND(N104&gt;50,N104&lt;=60)),1,0)))+IF(P104="",0,IF(AND(IF(B104="JSE",$L$5,$L$4)&lt;&gt;"",P104&lt;IF(B104="JSE",$L$5,$L$4)),2,IF(P104&lt;0,1,0))),IF(N104="",0,IF(AND(N104&gt;=50,N104&lt;=70),2,IF(OR(AND(N104&gt;=40,N104&lt;50),AND(N104&gt;70,N104&lt;=75)),1,0)))+IF(P104="",0,IF(AND(IF(B104="JSE",$L$5,$L$4)&lt;&gt;"",P104&gt;IF(B104="JSE",$L$5,$L$4)),2,IF(P104&gt;0,1,0)))))</f>
        <v/>
      </c>
      <c r="AD104" s="16" t="str">
        <f aca="false">IF(C104="","",IF(F104="Short",IF(R104="",0,IF(R104&lt;=0.1,2,IF(R104&lt;=0.25,1,0))),IF(Q104="",0,IF(Q104&gt;=-0.1,2,IF(Q104&gt;=-0.25,1,0)))))</f>
        <v/>
      </c>
      <c r="AE104" s="16" t="str">
        <f aca="false">IF(C104="","",IF(J104="",0,IF(J104&gt;=IF(B104="JSE",$L$7,$L$6),2,IF(J104&gt;=IF(B104="JSE",$L$7,$L$6)/4,1,0))))</f>
        <v/>
      </c>
      <c r="AF104" s="16" t="str">
        <f aca="false">IF(C104="","",IF(F104="Short",AND(T104&lt;&gt;"",N(T104)&lt;0),N(T104)&gt;0)+(N(S104)&gt;=1.5))</f>
        <v/>
      </c>
      <c r="AG104" s="16" t="str">
        <f aca="false">IF(C104="","",IF(AL104="",0,IF(AL104&gt;=3,4,IF(AL104&gt;=2,2,0))))</f>
        <v/>
      </c>
      <c r="AH104" s="16" t="str">
        <f aca="false">IF(C104="","",IF(AND(ISNUMBER(V104),ISNUMBER(A104),V104&gt;=A104,V104-A104&lt;=14),-2,0))</f>
        <v/>
      </c>
      <c r="AI104" s="16" t="str">
        <f aca="false">IF(C104="","",IF(AND(F104="Short",N(U104)&gt;=0.2),-1,0))</f>
        <v/>
      </c>
      <c r="AJ104" s="23" t="str">
        <f aca="false">IF(C104="","",SUM(AB104:AI104))</f>
        <v/>
      </c>
      <c r="AK104" s="24" t="str">
        <f aca="false">IF(C104="","",IF(AJ104&gt;=14,"A",IF(AJ104&gt;=10,"B","C")))</f>
        <v/>
      </c>
      <c r="AL104" s="39" t="str">
        <f aca="false">IFERROR(IF(OR(Y104="",Z104="",AA104=""),"",IF(F104="Short",IF(Z104&lt;=Y104,"",(Y104-AA104)/(Z104-Y104)),IF(Y104&lt;=Z104,"",(AA104-Y104)/(Y104-Z104)))),"")</f>
        <v/>
      </c>
      <c r="AM104" s="37" t="str">
        <f aca="false">IF(OR(Y104="",Z104="",N(Y104)=N(Z104)),"",IF(OR(AND(F104="Short",Z104&lt;Y104),AND(NOT(F104="Short"),Z104&gt;Y104)),"stop on wrong side",ABS(Y104-Z104)))</f>
        <v/>
      </c>
      <c r="AN104" s="40" t="str">
        <f aca="false">IFERROR(IF(OR(NOT(ISNUMBER(AM104)),$C$6=""),"",ROUNDDOWN($C$6*$C$7/AM104,2)),"")</f>
        <v/>
      </c>
      <c r="AO104" s="37" t="str">
        <f aca="false">IFERROR(IF(AN104="","",AN104*Y104),"")</f>
        <v/>
      </c>
      <c r="AP104" s="35"/>
      <c r="AQ104" s="19"/>
      <c r="AR104" s="26"/>
      <c r="AS104" s="41" t="str">
        <f aca="false">IFERROR(IF(OR(AR104="",Y104="",AQ104=""),"",IF(F104="Short",1-AR104/Y104,AR104/Y104-1)),"")</f>
        <v/>
      </c>
      <c r="AT104" s="42" t="str">
        <f aca="true">IF(AQ104="","",IF(ISNUMBER($C$4),$C$4,TODAY())-AQ104)</f>
        <v/>
      </c>
      <c r="AU104" s="14" t="str">
        <f aca="false">IF(C104="","",IF(AP104="Open position",IF(IF(F104="Short",AND(ISNUMBER(AR104),ISNUMBER(Z104),AR104&gt;=Z104),AND(ISNUMBER(AR104),ISNUMBER(Z104),AR104&lt;=Z104)),IF(F104="Short","COVER — stop hit (buy back)","SELL — stop hit"),IF(IF(F104="Short",AND(ISNUMBER(AR104),ISNUMBER(AA104),AR104&lt;=AA104),AND(ISNUMBER(AR104),ISNUMBER(AA104),AR104&gt;=AA104)),"TAKE PROFIT — target hit",IF(AND(ISNUMBER(AT104),AT104&gt;182),IF(F104="Short","COVER — 6-month time limit","SELL — 6-month time limit"),IF(AND(ISNUMBER(AT104),AT104&gt;42,ISNUMBER(AS104),AS104&lt;0.02),"REVIEW — no progress after 6 weeks",IF(IF(F104="Short",AND(L104&lt;&gt;"",N(L104)&gt;0),AND(L104&lt;&gt;"",N(L104)&lt;0)),IF(F104="Short","REVIEW — back above 50-day avg","REVIEW — below 50-day avg"),"HOLD"))))),IF(OR(AP104="Closed",AP104="Dropped"),"Closed",IF(AK104="A",IF(F104="Short","Run Technical Review — SHORT entry","Run Technical Review — LONG entry"),IF(AK104="B","Watch — wait for setup","Drop or re-check next week")))))</f>
        <v/>
      </c>
      <c r="AV104" s="35"/>
      <c r="AX104" s="43" t="str">
        <f aca="false">IF(AND(C104&lt;&gt;"",A104=$C$4,ISNUMBER(AJ104)),AJ104+ROW()/100000,"")</f>
        <v/>
      </c>
    </row>
    <row r="105" customFormat="false" ht="15" hidden="false" customHeight="false" outlineLevel="0" collapsed="false">
      <c r="A105" s="19"/>
      <c r="B105" s="35"/>
      <c r="C105" s="35"/>
      <c r="D105" s="35"/>
      <c r="E105" s="35"/>
      <c r="F105" s="35"/>
      <c r="G105" s="26"/>
      <c r="H105" s="26"/>
      <c r="I105" s="36"/>
      <c r="J105" s="37" t="str">
        <f aca="false">IF(OR(G105="",I105=""),"",G105*I105/1000000)</f>
        <v/>
      </c>
      <c r="K105" s="21"/>
      <c r="L105" s="21"/>
      <c r="M105" s="21"/>
      <c r="N105" s="25"/>
      <c r="O105" s="21"/>
      <c r="P105" s="21"/>
      <c r="Q105" s="21"/>
      <c r="R105" s="21"/>
      <c r="S105" s="38"/>
      <c r="T105" s="21"/>
      <c r="U105" s="21"/>
      <c r="V105" s="19"/>
      <c r="W105" s="26"/>
      <c r="X105" s="35"/>
      <c r="Y105" s="26"/>
      <c r="Z105" s="26"/>
      <c r="AA105" s="26"/>
      <c r="AB105" s="16" t="str">
        <f aca="false">IF(C105="","",IF(F105="Short",(AND(M105&lt;&gt;"",N(M105)&lt;0))+(AND(L105&lt;&gt;"",N(L105)&lt;0))+(AND(K105&lt;&gt;"",N(K105)&lt;0))+AND(L105&lt;&gt;"",M105&lt;&gt;"",N(M105)&lt;N(L105)),(N(M105)&gt;0)+(N(L105)&gt;0)+(N(K105)&gt;0)+AND(L105&lt;&gt;"",M105&lt;&gt;"",N(M105)&gt;N(L105))))</f>
        <v/>
      </c>
      <c r="AC105" s="16" t="str">
        <f aca="false">IF(C105="","",IF(F105="Short",IF(N105="",0,IF(AND(N105&gt;=30,N105&lt;=50),2,IF(OR(AND(N105&gt;=25,N105&lt;30),AND(N105&gt;50,N105&lt;=60)),1,0)))+IF(P105="",0,IF(AND(IF(B105="JSE",$L$5,$L$4)&lt;&gt;"",P105&lt;IF(B105="JSE",$L$5,$L$4)),2,IF(P105&lt;0,1,0))),IF(N105="",0,IF(AND(N105&gt;=50,N105&lt;=70),2,IF(OR(AND(N105&gt;=40,N105&lt;50),AND(N105&gt;70,N105&lt;=75)),1,0)))+IF(P105="",0,IF(AND(IF(B105="JSE",$L$5,$L$4)&lt;&gt;"",P105&gt;IF(B105="JSE",$L$5,$L$4)),2,IF(P105&gt;0,1,0)))))</f>
        <v/>
      </c>
      <c r="AD105" s="16" t="str">
        <f aca="false">IF(C105="","",IF(F105="Short",IF(R105="",0,IF(R105&lt;=0.1,2,IF(R105&lt;=0.25,1,0))),IF(Q105="",0,IF(Q105&gt;=-0.1,2,IF(Q105&gt;=-0.25,1,0)))))</f>
        <v/>
      </c>
      <c r="AE105" s="16" t="str">
        <f aca="false">IF(C105="","",IF(J105="",0,IF(J105&gt;=IF(B105="JSE",$L$7,$L$6),2,IF(J105&gt;=IF(B105="JSE",$L$7,$L$6)/4,1,0))))</f>
        <v/>
      </c>
      <c r="AF105" s="16" t="str">
        <f aca="false">IF(C105="","",IF(F105="Short",AND(T105&lt;&gt;"",N(T105)&lt;0),N(T105)&gt;0)+(N(S105)&gt;=1.5))</f>
        <v/>
      </c>
      <c r="AG105" s="16" t="str">
        <f aca="false">IF(C105="","",IF(AL105="",0,IF(AL105&gt;=3,4,IF(AL105&gt;=2,2,0))))</f>
        <v/>
      </c>
      <c r="AH105" s="16" t="str">
        <f aca="false">IF(C105="","",IF(AND(ISNUMBER(V105),ISNUMBER(A105),V105&gt;=A105,V105-A105&lt;=14),-2,0))</f>
        <v/>
      </c>
      <c r="AI105" s="16" t="str">
        <f aca="false">IF(C105="","",IF(AND(F105="Short",N(U105)&gt;=0.2),-1,0))</f>
        <v/>
      </c>
      <c r="AJ105" s="23" t="str">
        <f aca="false">IF(C105="","",SUM(AB105:AI105))</f>
        <v/>
      </c>
      <c r="AK105" s="24" t="str">
        <f aca="false">IF(C105="","",IF(AJ105&gt;=14,"A",IF(AJ105&gt;=10,"B","C")))</f>
        <v/>
      </c>
      <c r="AL105" s="39" t="str">
        <f aca="false">IFERROR(IF(OR(Y105="",Z105="",AA105=""),"",IF(F105="Short",IF(Z105&lt;=Y105,"",(Y105-AA105)/(Z105-Y105)),IF(Y105&lt;=Z105,"",(AA105-Y105)/(Y105-Z105)))),"")</f>
        <v/>
      </c>
      <c r="AM105" s="37" t="str">
        <f aca="false">IF(OR(Y105="",Z105="",N(Y105)=N(Z105)),"",IF(OR(AND(F105="Short",Z105&lt;Y105),AND(NOT(F105="Short"),Z105&gt;Y105)),"stop on wrong side",ABS(Y105-Z105)))</f>
        <v/>
      </c>
      <c r="AN105" s="40" t="str">
        <f aca="false">IFERROR(IF(OR(NOT(ISNUMBER(AM105)),$C$6=""),"",ROUNDDOWN($C$6*$C$7/AM105,2)),"")</f>
        <v/>
      </c>
      <c r="AO105" s="37" t="str">
        <f aca="false">IFERROR(IF(AN105="","",AN105*Y105),"")</f>
        <v/>
      </c>
      <c r="AP105" s="35"/>
      <c r="AQ105" s="19"/>
      <c r="AR105" s="26"/>
      <c r="AS105" s="41" t="str">
        <f aca="false">IFERROR(IF(OR(AR105="",Y105="",AQ105=""),"",IF(F105="Short",1-AR105/Y105,AR105/Y105-1)),"")</f>
        <v/>
      </c>
      <c r="AT105" s="42" t="str">
        <f aca="true">IF(AQ105="","",IF(ISNUMBER($C$4),$C$4,TODAY())-AQ105)</f>
        <v/>
      </c>
      <c r="AU105" s="14" t="str">
        <f aca="false">IF(C105="","",IF(AP105="Open position",IF(IF(F105="Short",AND(ISNUMBER(AR105),ISNUMBER(Z105),AR105&gt;=Z105),AND(ISNUMBER(AR105),ISNUMBER(Z105),AR105&lt;=Z105)),IF(F105="Short","COVER — stop hit (buy back)","SELL — stop hit"),IF(IF(F105="Short",AND(ISNUMBER(AR105),ISNUMBER(AA105),AR105&lt;=AA105),AND(ISNUMBER(AR105),ISNUMBER(AA105),AR105&gt;=AA105)),"TAKE PROFIT — target hit",IF(AND(ISNUMBER(AT105),AT105&gt;182),IF(F105="Short","COVER — 6-month time limit","SELL — 6-month time limit"),IF(AND(ISNUMBER(AT105),AT105&gt;42,ISNUMBER(AS105),AS105&lt;0.02),"REVIEW — no progress after 6 weeks",IF(IF(F105="Short",AND(L105&lt;&gt;"",N(L105)&gt;0),AND(L105&lt;&gt;"",N(L105)&lt;0)),IF(F105="Short","REVIEW — back above 50-day avg","REVIEW — below 50-day avg"),"HOLD"))))),IF(OR(AP105="Closed",AP105="Dropped"),"Closed",IF(AK105="A",IF(F105="Short","Run Technical Review — SHORT entry","Run Technical Review — LONG entry"),IF(AK105="B","Watch — wait for setup","Drop or re-check next week")))))</f>
        <v/>
      </c>
      <c r="AV105" s="35"/>
      <c r="AX105" s="43" t="str">
        <f aca="false">IF(AND(C105&lt;&gt;"",A105=$C$4,ISNUMBER(AJ105)),AJ105+ROW()/100000,"")</f>
        <v/>
      </c>
    </row>
    <row r="106" customFormat="false" ht="15" hidden="false" customHeight="false" outlineLevel="0" collapsed="false">
      <c r="A106" s="19"/>
      <c r="B106" s="35"/>
      <c r="C106" s="35"/>
      <c r="D106" s="35"/>
      <c r="E106" s="35"/>
      <c r="F106" s="35"/>
      <c r="G106" s="26"/>
      <c r="H106" s="26"/>
      <c r="I106" s="36"/>
      <c r="J106" s="37" t="str">
        <f aca="false">IF(OR(G106="",I106=""),"",G106*I106/1000000)</f>
        <v/>
      </c>
      <c r="K106" s="21"/>
      <c r="L106" s="21"/>
      <c r="M106" s="21"/>
      <c r="N106" s="25"/>
      <c r="O106" s="21"/>
      <c r="P106" s="21"/>
      <c r="Q106" s="21"/>
      <c r="R106" s="21"/>
      <c r="S106" s="38"/>
      <c r="T106" s="21"/>
      <c r="U106" s="21"/>
      <c r="V106" s="19"/>
      <c r="W106" s="26"/>
      <c r="X106" s="35"/>
      <c r="Y106" s="26"/>
      <c r="Z106" s="26"/>
      <c r="AA106" s="26"/>
      <c r="AB106" s="16" t="str">
        <f aca="false">IF(C106="","",IF(F106="Short",(AND(M106&lt;&gt;"",N(M106)&lt;0))+(AND(L106&lt;&gt;"",N(L106)&lt;0))+(AND(K106&lt;&gt;"",N(K106)&lt;0))+AND(L106&lt;&gt;"",M106&lt;&gt;"",N(M106)&lt;N(L106)),(N(M106)&gt;0)+(N(L106)&gt;0)+(N(K106)&gt;0)+AND(L106&lt;&gt;"",M106&lt;&gt;"",N(M106)&gt;N(L106))))</f>
        <v/>
      </c>
      <c r="AC106" s="16" t="str">
        <f aca="false">IF(C106="","",IF(F106="Short",IF(N106="",0,IF(AND(N106&gt;=30,N106&lt;=50),2,IF(OR(AND(N106&gt;=25,N106&lt;30),AND(N106&gt;50,N106&lt;=60)),1,0)))+IF(P106="",0,IF(AND(IF(B106="JSE",$L$5,$L$4)&lt;&gt;"",P106&lt;IF(B106="JSE",$L$5,$L$4)),2,IF(P106&lt;0,1,0))),IF(N106="",0,IF(AND(N106&gt;=50,N106&lt;=70),2,IF(OR(AND(N106&gt;=40,N106&lt;50),AND(N106&gt;70,N106&lt;=75)),1,0)))+IF(P106="",0,IF(AND(IF(B106="JSE",$L$5,$L$4)&lt;&gt;"",P106&gt;IF(B106="JSE",$L$5,$L$4)),2,IF(P106&gt;0,1,0)))))</f>
        <v/>
      </c>
      <c r="AD106" s="16" t="str">
        <f aca="false">IF(C106="","",IF(F106="Short",IF(R106="",0,IF(R106&lt;=0.1,2,IF(R106&lt;=0.25,1,0))),IF(Q106="",0,IF(Q106&gt;=-0.1,2,IF(Q106&gt;=-0.25,1,0)))))</f>
        <v/>
      </c>
      <c r="AE106" s="16" t="str">
        <f aca="false">IF(C106="","",IF(J106="",0,IF(J106&gt;=IF(B106="JSE",$L$7,$L$6),2,IF(J106&gt;=IF(B106="JSE",$L$7,$L$6)/4,1,0))))</f>
        <v/>
      </c>
      <c r="AF106" s="16" t="str">
        <f aca="false">IF(C106="","",IF(F106="Short",AND(T106&lt;&gt;"",N(T106)&lt;0),N(T106)&gt;0)+(N(S106)&gt;=1.5))</f>
        <v/>
      </c>
      <c r="AG106" s="16" t="str">
        <f aca="false">IF(C106="","",IF(AL106="",0,IF(AL106&gt;=3,4,IF(AL106&gt;=2,2,0))))</f>
        <v/>
      </c>
      <c r="AH106" s="16" t="str">
        <f aca="false">IF(C106="","",IF(AND(ISNUMBER(V106),ISNUMBER(A106),V106&gt;=A106,V106-A106&lt;=14),-2,0))</f>
        <v/>
      </c>
      <c r="AI106" s="16" t="str">
        <f aca="false">IF(C106="","",IF(AND(F106="Short",N(U106)&gt;=0.2),-1,0))</f>
        <v/>
      </c>
      <c r="AJ106" s="23" t="str">
        <f aca="false">IF(C106="","",SUM(AB106:AI106))</f>
        <v/>
      </c>
      <c r="AK106" s="24" t="str">
        <f aca="false">IF(C106="","",IF(AJ106&gt;=14,"A",IF(AJ106&gt;=10,"B","C")))</f>
        <v/>
      </c>
      <c r="AL106" s="39" t="str">
        <f aca="false">IFERROR(IF(OR(Y106="",Z106="",AA106=""),"",IF(F106="Short",IF(Z106&lt;=Y106,"",(Y106-AA106)/(Z106-Y106)),IF(Y106&lt;=Z106,"",(AA106-Y106)/(Y106-Z106)))),"")</f>
        <v/>
      </c>
      <c r="AM106" s="37" t="str">
        <f aca="false">IF(OR(Y106="",Z106="",N(Y106)=N(Z106)),"",IF(OR(AND(F106="Short",Z106&lt;Y106),AND(NOT(F106="Short"),Z106&gt;Y106)),"stop on wrong side",ABS(Y106-Z106)))</f>
        <v/>
      </c>
      <c r="AN106" s="40" t="str">
        <f aca="false">IFERROR(IF(OR(NOT(ISNUMBER(AM106)),$C$6=""),"",ROUNDDOWN($C$6*$C$7/AM106,2)),"")</f>
        <v/>
      </c>
      <c r="AO106" s="37" t="str">
        <f aca="false">IFERROR(IF(AN106="","",AN106*Y106),"")</f>
        <v/>
      </c>
      <c r="AP106" s="35"/>
      <c r="AQ106" s="19"/>
      <c r="AR106" s="26"/>
      <c r="AS106" s="41" t="str">
        <f aca="false">IFERROR(IF(OR(AR106="",Y106="",AQ106=""),"",IF(F106="Short",1-AR106/Y106,AR106/Y106-1)),"")</f>
        <v/>
      </c>
      <c r="AT106" s="42" t="str">
        <f aca="true">IF(AQ106="","",IF(ISNUMBER($C$4),$C$4,TODAY())-AQ106)</f>
        <v/>
      </c>
      <c r="AU106" s="14" t="str">
        <f aca="false">IF(C106="","",IF(AP106="Open position",IF(IF(F106="Short",AND(ISNUMBER(AR106),ISNUMBER(Z106),AR106&gt;=Z106),AND(ISNUMBER(AR106),ISNUMBER(Z106),AR106&lt;=Z106)),IF(F106="Short","COVER — stop hit (buy back)","SELL — stop hit"),IF(IF(F106="Short",AND(ISNUMBER(AR106),ISNUMBER(AA106),AR106&lt;=AA106),AND(ISNUMBER(AR106),ISNUMBER(AA106),AR106&gt;=AA106)),"TAKE PROFIT — target hit",IF(AND(ISNUMBER(AT106),AT106&gt;182),IF(F106="Short","COVER — 6-month time limit","SELL — 6-month time limit"),IF(AND(ISNUMBER(AT106),AT106&gt;42,ISNUMBER(AS106),AS106&lt;0.02),"REVIEW — no progress after 6 weeks",IF(IF(F106="Short",AND(L106&lt;&gt;"",N(L106)&gt;0),AND(L106&lt;&gt;"",N(L106)&lt;0)),IF(F106="Short","REVIEW — back above 50-day avg","REVIEW — below 50-day avg"),"HOLD"))))),IF(OR(AP106="Closed",AP106="Dropped"),"Closed",IF(AK106="A",IF(F106="Short","Run Technical Review — SHORT entry","Run Technical Review — LONG entry"),IF(AK106="B","Watch — wait for setup","Drop or re-check next week")))))</f>
        <v/>
      </c>
      <c r="AV106" s="35"/>
      <c r="AX106" s="43" t="str">
        <f aca="false">IF(AND(C106&lt;&gt;"",A106=$C$4,ISNUMBER(AJ106)),AJ106+ROW()/100000,"")</f>
        <v/>
      </c>
    </row>
    <row r="107" customFormat="false" ht="15" hidden="false" customHeight="false" outlineLevel="0" collapsed="false">
      <c r="A107" s="19"/>
      <c r="B107" s="35"/>
      <c r="C107" s="35"/>
      <c r="D107" s="35"/>
      <c r="E107" s="35"/>
      <c r="F107" s="35"/>
      <c r="G107" s="26"/>
      <c r="H107" s="26"/>
      <c r="I107" s="36"/>
      <c r="J107" s="37" t="str">
        <f aca="false">IF(OR(G107="",I107=""),"",G107*I107/1000000)</f>
        <v/>
      </c>
      <c r="K107" s="21"/>
      <c r="L107" s="21"/>
      <c r="M107" s="21"/>
      <c r="N107" s="25"/>
      <c r="O107" s="21"/>
      <c r="P107" s="21"/>
      <c r="Q107" s="21"/>
      <c r="R107" s="21"/>
      <c r="S107" s="38"/>
      <c r="T107" s="21"/>
      <c r="U107" s="21"/>
      <c r="V107" s="19"/>
      <c r="W107" s="26"/>
      <c r="X107" s="35"/>
      <c r="Y107" s="26"/>
      <c r="Z107" s="26"/>
      <c r="AA107" s="26"/>
      <c r="AB107" s="16" t="str">
        <f aca="false">IF(C107="","",IF(F107="Short",(AND(M107&lt;&gt;"",N(M107)&lt;0))+(AND(L107&lt;&gt;"",N(L107)&lt;0))+(AND(K107&lt;&gt;"",N(K107)&lt;0))+AND(L107&lt;&gt;"",M107&lt;&gt;"",N(M107)&lt;N(L107)),(N(M107)&gt;0)+(N(L107)&gt;0)+(N(K107)&gt;0)+AND(L107&lt;&gt;"",M107&lt;&gt;"",N(M107)&gt;N(L107))))</f>
        <v/>
      </c>
      <c r="AC107" s="16" t="str">
        <f aca="false">IF(C107="","",IF(F107="Short",IF(N107="",0,IF(AND(N107&gt;=30,N107&lt;=50),2,IF(OR(AND(N107&gt;=25,N107&lt;30),AND(N107&gt;50,N107&lt;=60)),1,0)))+IF(P107="",0,IF(AND(IF(B107="JSE",$L$5,$L$4)&lt;&gt;"",P107&lt;IF(B107="JSE",$L$5,$L$4)),2,IF(P107&lt;0,1,0))),IF(N107="",0,IF(AND(N107&gt;=50,N107&lt;=70),2,IF(OR(AND(N107&gt;=40,N107&lt;50),AND(N107&gt;70,N107&lt;=75)),1,0)))+IF(P107="",0,IF(AND(IF(B107="JSE",$L$5,$L$4)&lt;&gt;"",P107&gt;IF(B107="JSE",$L$5,$L$4)),2,IF(P107&gt;0,1,0)))))</f>
        <v/>
      </c>
      <c r="AD107" s="16" t="str">
        <f aca="false">IF(C107="","",IF(F107="Short",IF(R107="",0,IF(R107&lt;=0.1,2,IF(R107&lt;=0.25,1,0))),IF(Q107="",0,IF(Q107&gt;=-0.1,2,IF(Q107&gt;=-0.25,1,0)))))</f>
        <v/>
      </c>
      <c r="AE107" s="16" t="str">
        <f aca="false">IF(C107="","",IF(J107="",0,IF(J107&gt;=IF(B107="JSE",$L$7,$L$6),2,IF(J107&gt;=IF(B107="JSE",$L$7,$L$6)/4,1,0))))</f>
        <v/>
      </c>
      <c r="AF107" s="16" t="str">
        <f aca="false">IF(C107="","",IF(F107="Short",AND(T107&lt;&gt;"",N(T107)&lt;0),N(T107)&gt;0)+(N(S107)&gt;=1.5))</f>
        <v/>
      </c>
      <c r="AG107" s="16" t="str">
        <f aca="false">IF(C107="","",IF(AL107="",0,IF(AL107&gt;=3,4,IF(AL107&gt;=2,2,0))))</f>
        <v/>
      </c>
      <c r="AH107" s="16" t="str">
        <f aca="false">IF(C107="","",IF(AND(ISNUMBER(V107),ISNUMBER(A107),V107&gt;=A107,V107-A107&lt;=14),-2,0))</f>
        <v/>
      </c>
      <c r="AI107" s="16" t="str">
        <f aca="false">IF(C107="","",IF(AND(F107="Short",N(U107)&gt;=0.2),-1,0))</f>
        <v/>
      </c>
      <c r="AJ107" s="23" t="str">
        <f aca="false">IF(C107="","",SUM(AB107:AI107))</f>
        <v/>
      </c>
      <c r="AK107" s="24" t="str">
        <f aca="false">IF(C107="","",IF(AJ107&gt;=14,"A",IF(AJ107&gt;=10,"B","C")))</f>
        <v/>
      </c>
      <c r="AL107" s="39" t="str">
        <f aca="false">IFERROR(IF(OR(Y107="",Z107="",AA107=""),"",IF(F107="Short",IF(Z107&lt;=Y107,"",(Y107-AA107)/(Z107-Y107)),IF(Y107&lt;=Z107,"",(AA107-Y107)/(Y107-Z107)))),"")</f>
        <v/>
      </c>
      <c r="AM107" s="37" t="str">
        <f aca="false">IF(OR(Y107="",Z107="",N(Y107)=N(Z107)),"",IF(OR(AND(F107="Short",Z107&lt;Y107),AND(NOT(F107="Short"),Z107&gt;Y107)),"stop on wrong side",ABS(Y107-Z107)))</f>
        <v/>
      </c>
      <c r="AN107" s="40" t="str">
        <f aca="false">IFERROR(IF(OR(NOT(ISNUMBER(AM107)),$C$6=""),"",ROUNDDOWN($C$6*$C$7/AM107,2)),"")</f>
        <v/>
      </c>
      <c r="AO107" s="37" t="str">
        <f aca="false">IFERROR(IF(AN107="","",AN107*Y107),"")</f>
        <v/>
      </c>
      <c r="AP107" s="35"/>
      <c r="AQ107" s="19"/>
      <c r="AR107" s="26"/>
      <c r="AS107" s="41" t="str">
        <f aca="false">IFERROR(IF(OR(AR107="",Y107="",AQ107=""),"",IF(F107="Short",1-AR107/Y107,AR107/Y107-1)),"")</f>
        <v/>
      </c>
      <c r="AT107" s="42" t="str">
        <f aca="true">IF(AQ107="","",IF(ISNUMBER($C$4),$C$4,TODAY())-AQ107)</f>
        <v/>
      </c>
      <c r="AU107" s="14" t="str">
        <f aca="false">IF(C107="","",IF(AP107="Open position",IF(IF(F107="Short",AND(ISNUMBER(AR107),ISNUMBER(Z107),AR107&gt;=Z107),AND(ISNUMBER(AR107),ISNUMBER(Z107),AR107&lt;=Z107)),IF(F107="Short","COVER — stop hit (buy back)","SELL — stop hit"),IF(IF(F107="Short",AND(ISNUMBER(AR107),ISNUMBER(AA107),AR107&lt;=AA107),AND(ISNUMBER(AR107),ISNUMBER(AA107),AR107&gt;=AA107)),"TAKE PROFIT — target hit",IF(AND(ISNUMBER(AT107),AT107&gt;182),IF(F107="Short","COVER — 6-month time limit","SELL — 6-month time limit"),IF(AND(ISNUMBER(AT107),AT107&gt;42,ISNUMBER(AS107),AS107&lt;0.02),"REVIEW — no progress after 6 weeks",IF(IF(F107="Short",AND(L107&lt;&gt;"",N(L107)&gt;0),AND(L107&lt;&gt;"",N(L107)&lt;0)),IF(F107="Short","REVIEW — back above 50-day avg","REVIEW — below 50-day avg"),"HOLD"))))),IF(OR(AP107="Closed",AP107="Dropped"),"Closed",IF(AK107="A",IF(F107="Short","Run Technical Review — SHORT entry","Run Technical Review — LONG entry"),IF(AK107="B","Watch — wait for setup","Drop or re-check next week")))))</f>
        <v/>
      </c>
      <c r="AV107" s="35"/>
      <c r="AX107" s="43" t="str">
        <f aca="false">IF(AND(C107&lt;&gt;"",A107=$C$4,ISNUMBER(AJ107)),AJ107+ROW()/100000,"")</f>
        <v/>
      </c>
    </row>
    <row r="108" customFormat="false" ht="15" hidden="false" customHeight="false" outlineLevel="0" collapsed="false">
      <c r="A108" s="19"/>
      <c r="B108" s="35"/>
      <c r="C108" s="35"/>
      <c r="D108" s="35"/>
      <c r="E108" s="35"/>
      <c r="F108" s="35"/>
      <c r="G108" s="26"/>
      <c r="H108" s="26"/>
      <c r="I108" s="36"/>
      <c r="J108" s="37" t="str">
        <f aca="false">IF(OR(G108="",I108=""),"",G108*I108/1000000)</f>
        <v/>
      </c>
      <c r="K108" s="21"/>
      <c r="L108" s="21"/>
      <c r="M108" s="21"/>
      <c r="N108" s="25"/>
      <c r="O108" s="21"/>
      <c r="P108" s="21"/>
      <c r="Q108" s="21"/>
      <c r="R108" s="21"/>
      <c r="S108" s="38"/>
      <c r="T108" s="21"/>
      <c r="U108" s="21"/>
      <c r="V108" s="19"/>
      <c r="W108" s="26"/>
      <c r="X108" s="35"/>
      <c r="Y108" s="26"/>
      <c r="Z108" s="26"/>
      <c r="AA108" s="26"/>
      <c r="AB108" s="16" t="str">
        <f aca="false">IF(C108="","",IF(F108="Short",(AND(M108&lt;&gt;"",N(M108)&lt;0))+(AND(L108&lt;&gt;"",N(L108)&lt;0))+(AND(K108&lt;&gt;"",N(K108)&lt;0))+AND(L108&lt;&gt;"",M108&lt;&gt;"",N(M108)&lt;N(L108)),(N(M108)&gt;0)+(N(L108)&gt;0)+(N(K108)&gt;0)+AND(L108&lt;&gt;"",M108&lt;&gt;"",N(M108)&gt;N(L108))))</f>
        <v/>
      </c>
      <c r="AC108" s="16" t="str">
        <f aca="false">IF(C108="","",IF(F108="Short",IF(N108="",0,IF(AND(N108&gt;=30,N108&lt;=50),2,IF(OR(AND(N108&gt;=25,N108&lt;30),AND(N108&gt;50,N108&lt;=60)),1,0)))+IF(P108="",0,IF(AND(IF(B108="JSE",$L$5,$L$4)&lt;&gt;"",P108&lt;IF(B108="JSE",$L$5,$L$4)),2,IF(P108&lt;0,1,0))),IF(N108="",0,IF(AND(N108&gt;=50,N108&lt;=70),2,IF(OR(AND(N108&gt;=40,N108&lt;50),AND(N108&gt;70,N108&lt;=75)),1,0)))+IF(P108="",0,IF(AND(IF(B108="JSE",$L$5,$L$4)&lt;&gt;"",P108&gt;IF(B108="JSE",$L$5,$L$4)),2,IF(P108&gt;0,1,0)))))</f>
        <v/>
      </c>
      <c r="AD108" s="16" t="str">
        <f aca="false">IF(C108="","",IF(F108="Short",IF(R108="",0,IF(R108&lt;=0.1,2,IF(R108&lt;=0.25,1,0))),IF(Q108="",0,IF(Q108&gt;=-0.1,2,IF(Q108&gt;=-0.25,1,0)))))</f>
        <v/>
      </c>
      <c r="AE108" s="16" t="str">
        <f aca="false">IF(C108="","",IF(J108="",0,IF(J108&gt;=IF(B108="JSE",$L$7,$L$6),2,IF(J108&gt;=IF(B108="JSE",$L$7,$L$6)/4,1,0))))</f>
        <v/>
      </c>
      <c r="AF108" s="16" t="str">
        <f aca="false">IF(C108="","",IF(F108="Short",AND(T108&lt;&gt;"",N(T108)&lt;0),N(T108)&gt;0)+(N(S108)&gt;=1.5))</f>
        <v/>
      </c>
      <c r="AG108" s="16" t="str">
        <f aca="false">IF(C108="","",IF(AL108="",0,IF(AL108&gt;=3,4,IF(AL108&gt;=2,2,0))))</f>
        <v/>
      </c>
      <c r="AH108" s="16" t="str">
        <f aca="false">IF(C108="","",IF(AND(ISNUMBER(V108),ISNUMBER(A108),V108&gt;=A108,V108-A108&lt;=14),-2,0))</f>
        <v/>
      </c>
      <c r="AI108" s="16" t="str">
        <f aca="false">IF(C108="","",IF(AND(F108="Short",N(U108)&gt;=0.2),-1,0))</f>
        <v/>
      </c>
      <c r="AJ108" s="23" t="str">
        <f aca="false">IF(C108="","",SUM(AB108:AI108))</f>
        <v/>
      </c>
      <c r="AK108" s="24" t="str">
        <f aca="false">IF(C108="","",IF(AJ108&gt;=14,"A",IF(AJ108&gt;=10,"B","C")))</f>
        <v/>
      </c>
      <c r="AL108" s="39" t="str">
        <f aca="false">IFERROR(IF(OR(Y108="",Z108="",AA108=""),"",IF(F108="Short",IF(Z108&lt;=Y108,"",(Y108-AA108)/(Z108-Y108)),IF(Y108&lt;=Z108,"",(AA108-Y108)/(Y108-Z108)))),"")</f>
        <v/>
      </c>
      <c r="AM108" s="37" t="str">
        <f aca="false">IF(OR(Y108="",Z108="",N(Y108)=N(Z108)),"",IF(OR(AND(F108="Short",Z108&lt;Y108),AND(NOT(F108="Short"),Z108&gt;Y108)),"stop on wrong side",ABS(Y108-Z108)))</f>
        <v/>
      </c>
      <c r="AN108" s="40" t="str">
        <f aca="false">IFERROR(IF(OR(NOT(ISNUMBER(AM108)),$C$6=""),"",ROUNDDOWN($C$6*$C$7/AM108,2)),"")</f>
        <v/>
      </c>
      <c r="AO108" s="37" t="str">
        <f aca="false">IFERROR(IF(AN108="","",AN108*Y108),"")</f>
        <v/>
      </c>
      <c r="AP108" s="35"/>
      <c r="AQ108" s="19"/>
      <c r="AR108" s="26"/>
      <c r="AS108" s="41" t="str">
        <f aca="false">IFERROR(IF(OR(AR108="",Y108="",AQ108=""),"",IF(F108="Short",1-AR108/Y108,AR108/Y108-1)),"")</f>
        <v/>
      </c>
      <c r="AT108" s="42" t="str">
        <f aca="true">IF(AQ108="","",IF(ISNUMBER($C$4),$C$4,TODAY())-AQ108)</f>
        <v/>
      </c>
      <c r="AU108" s="14" t="str">
        <f aca="false">IF(C108="","",IF(AP108="Open position",IF(IF(F108="Short",AND(ISNUMBER(AR108),ISNUMBER(Z108),AR108&gt;=Z108),AND(ISNUMBER(AR108),ISNUMBER(Z108),AR108&lt;=Z108)),IF(F108="Short","COVER — stop hit (buy back)","SELL — stop hit"),IF(IF(F108="Short",AND(ISNUMBER(AR108),ISNUMBER(AA108),AR108&lt;=AA108),AND(ISNUMBER(AR108),ISNUMBER(AA108),AR108&gt;=AA108)),"TAKE PROFIT — target hit",IF(AND(ISNUMBER(AT108),AT108&gt;182),IF(F108="Short","COVER — 6-month time limit","SELL — 6-month time limit"),IF(AND(ISNUMBER(AT108),AT108&gt;42,ISNUMBER(AS108),AS108&lt;0.02),"REVIEW — no progress after 6 weeks",IF(IF(F108="Short",AND(L108&lt;&gt;"",N(L108)&gt;0),AND(L108&lt;&gt;"",N(L108)&lt;0)),IF(F108="Short","REVIEW — back above 50-day avg","REVIEW — below 50-day avg"),"HOLD"))))),IF(OR(AP108="Closed",AP108="Dropped"),"Closed",IF(AK108="A",IF(F108="Short","Run Technical Review — SHORT entry","Run Technical Review — LONG entry"),IF(AK108="B","Watch — wait for setup","Drop or re-check next week")))))</f>
        <v/>
      </c>
      <c r="AV108" s="35"/>
      <c r="AX108" s="43" t="str">
        <f aca="false">IF(AND(C108&lt;&gt;"",A108=$C$4,ISNUMBER(AJ108)),AJ108+ROW()/100000,"")</f>
        <v/>
      </c>
    </row>
    <row r="109" customFormat="false" ht="15" hidden="false" customHeight="false" outlineLevel="0" collapsed="false">
      <c r="A109" s="19"/>
      <c r="B109" s="35"/>
      <c r="C109" s="35"/>
      <c r="D109" s="35"/>
      <c r="E109" s="35"/>
      <c r="F109" s="35"/>
      <c r="G109" s="26"/>
      <c r="H109" s="26"/>
      <c r="I109" s="36"/>
      <c r="J109" s="37" t="str">
        <f aca="false">IF(OR(G109="",I109=""),"",G109*I109/1000000)</f>
        <v/>
      </c>
      <c r="K109" s="21"/>
      <c r="L109" s="21"/>
      <c r="M109" s="21"/>
      <c r="N109" s="25"/>
      <c r="O109" s="21"/>
      <c r="P109" s="21"/>
      <c r="Q109" s="21"/>
      <c r="R109" s="21"/>
      <c r="S109" s="38"/>
      <c r="T109" s="21"/>
      <c r="U109" s="21"/>
      <c r="V109" s="19"/>
      <c r="W109" s="26"/>
      <c r="X109" s="35"/>
      <c r="Y109" s="26"/>
      <c r="Z109" s="26"/>
      <c r="AA109" s="26"/>
      <c r="AB109" s="16" t="str">
        <f aca="false">IF(C109="","",IF(F109="Short",(AND(M109&lt;&gt;"",N(M109)&lt;0))+(AND(L109&lt;&gt;"",N(L109)&lt;0))+(AND(K109&lt;&gt;"",N(K109)&lt;0))+AND(L109&lt;&gt;"",M109&lt;&gt;"",N(M109)&lt;N(L109)),(N(M109)&gt;0)+(N(L109)&gt;0)+(N(K109)&gt;0)+AND(L109&lt;&gt;"",M109&lt;&gt;"",N(M109)&gt;N(L109))))</f>
        <v/>
      </c>
      <c r="AC109" s="16" t="str">
        <f aca="false">IF(C109="","",IF(F109="Short",IF(N109="",0,IF(AND(N109&gt;=30,N109&lt;=50),2,IF(OR(AND(N109&gt;=25,N109&lt;30),AND(N109&gt;50,N109&lt;=60)),1,0)))+IF(P109="",0,IF(AND(IF(B109="JSE",$L$5,$L$4)&lt;&gt;"",P109&lt;IF(B109="JSE",$L$5,$L$4)),2,IF(P109&lt;0,1,0))),IF(N109="",0,IF(AND(N109&gt;=50,N109&lt;=70),2,IF(OR(AND(N109&gt;=40,N109&lt;50),AND(N109&gt;70,N109&lt;=75)),1,0)))+IF(P109="",0,IF(AND(IF(B109="JSE",$L$5,$L$4)&lt;&gt;"",P109&gt;IF(B109="JSE",$L$5,$L$4)),2,IF(P109&gt;0,1,0)))))</f>
        <v/>
      </c>
      <c r="AD109" s="16" t="str">
        <f aca="false">IF(C109="","",IF(F109="Short",IF(R109="",0,IF(R109&lt;=0.1,2,IF(R109&lt;=0.25,1,0))),IF(Q109="",0,IF(Q109&gt;=-0.1,2,IF(Q109&gt;=-0.25,1,0)))))</f>
        <v/>
      </c>
      <c r="AE109" s="16" t="str">
        <f aca="false">IF(C109="","",IF(J109="",0,IF(J109&gt;=IF(B109="JSE",$L$7,$L$6),2,IF(J109&gt;=IF(B109="JSE",$L$7,$L$6)/4,1,0))))</f>
        <v/>
      </c>
      <c r="AF109" s="16" t="str">
        <f aca="false">IF(C109="","",IF(F109="Short",AND(T109&lt;&gt;"",N(T109)&lt;0),N(T109)&gt;0)+(N(S109)&gt;=1.5))</f>
        <v/>
      </c>
      <c r="AG109" s="16" t="str">
        <f aca="false">IF(C109="","",IF(AL109="",0,IF(AL109&gt;=3,4,IF(AL109&gt;=2,2,0))))</f>
        <v/>
      </c>
      <c r="AH109" s="16" t="str">
        <f aca="false">IF(C109="","",IF(AND(ISNUMBER(V109),ISNUMBER(A109),V109&gt;=A109,V109-A109&lt;=14),-2,0))</f>
        <v/>
      </c>
      <c r="AI109" s="16" t="str">
        <f aca="false">IF(C109="","",IF(AND(F109="Short",N(U109)&gt;=0.2),-1,0))</f>
        <v/>
      </c>
      <c r="AJ109" s="23" t="str">
        <f aca="false">IF(C109="","",SUM(AB109:AI109))</f>
        <v/>
      </c>
      <c r="AK109" s="24" t="str">
        <f aca="false">IF(C109="","",IF(AJ109&gt;=14,"A",IF(AJ109&gt;=10,"B","C")))</f>
        <v/>
      </c>
      <c r="AL109" s="39" t="str">
        <f aca="false">IFERROR(IF(OR(Y109="",Z109="",AA109=""),"",IF(F109="Short",IF(Z109&lt;=Y109,"",(Y109-AA109)/(Z109-Y109)),IF(Y109&lt;=Z109,"",(AA109-Y109)/(Y109-Z109)))),"")</f>
        <v/>
      </c>
      <c r="AM109" s="37" t="str">
        <f aca="false">IF(OR(Y109="",Z109="",N(Y109)=N(Z109)),"",IF(OR(AND(F109="Short",Z109&lt;Y109),AND(NOT(F109="Short"),Z109&gt;Y109)),"stop on wrong side",ABS(Y109-Z109)))</f>
        <v/>
      </c>
      <c r="AN109" s="40" t="str">
        <f aca="false">IFERROR(IF(OR(NOT(ISNUMBER(AM109)),$C$6=""),"",ROUNDDOWN($C$6*$C$7/AM109,2)),"")</f>
        <v/>
      </c>
      <c r="AO109" s="37" t="str">
        <f aca="false">IFERROR(IF(AN109="","",AN109*Y109),"")</f>
        <v/>
      </c>
      <c r="AP109" s="35"/>
      <c r="AQ109" s="19"/>
      <c r="AR109" s="26"/>
      <c r="AS109" s="41" t="str">
        <f aca="false">IFERROR(IF(OR(AR109="",Y109="",AQ109=""),"",IF(F109="Short",1-AR109/Y109,AR109/Y109-1)),"")</f>
        <v/>
      </c>
      <c r="AT109" s="42" t="str">
        <f aca="true">IF(AQ109="","",IF(ISNUMBER($C$4),$C$4,TODAY())-AQ109)</f>
        <v/>
      </c>
      <c r="AU109" s="14" t="str">
        <f aca="false">IF(C109="","",IF(AP109="Open position",IF(IF(F109="Short",AND(ISNUMBER(AR109),ISNUMBER(Z109),AR109&gt;=Z109),AND(ISNUMBER(AR109),ISNUMBER(Z109),AR109&lt;=Z109)),IF(F109="Short","COVER — stop hit (buy back)","SELL — stop hit"),IF(IF(F109="Short",AND(ISNUMBER(AR109),ISNUMBER(AA109),AR109&lt;=AA109),AND(ISNUMBER(AR109),ISNUMBER(AA109),AR109&gt;=AA109)),"TAKE PROFIT — target hit",IF(AND(ISNUMBER(AT109),AT109&gt;182),IF(F109="Short","COVER — 6-month time limit","SELL — 6-month time limit"),IF(AND(ISNUMBER(AT109),AT109&gt;42,ISNUMBER(AS109),AS109&lt;0.02),"REVIEW — no progress after 6 weeks",IF(IF(F109="Short",AND(L109&lt;&gt;"",N(L109)&gt;0),AND(L109&lt;&gt;"",N(L109)&lt;0)),IF(F109="Short","REVIEW — back above 50-day avg","REVIEW — below 50-day avg"),"HOLD"))))),IF(OR(AP109="Closed",AP109="Dropped"),"Closed",IF(AK109="A",IF(F109="Short","Run Technical Review — SHORT entry","Run Technical Review — LONG entry"),IF(AK109="B","Watch — wait for setup","Drop or re-check next week")))))</f>
        <v/>
      </c>
      <c r="AV109" s="35"/>
      <c r="AX109" s="43" t="str">
        <f aca="false">IF(AND(C109&lt;&gt;"",A109=$C$4,ISNUMBER(AJ109)),AJ109+ROW()/100000,"")</f>
        <v/>
      </c>
    </row>
    <row r="110" customFormat="false" ht="15" hidden="false" customHeight="false" outlineLevel="0" collapsed="false">
      <c r="A110" s="19"/>
      <c r="B110" s="35"/>
      <c r="C110" s="35"/>
      <c r="D110" s="35"/>
      <c r="E110" s="35"/>
      <c r="F110" s="35"/>
      <c r="G110" s="26"/>
      <c r="H110" s="26"/>
      <c r="I110" s="36"/>
      <c r="J110" s="37" t="str">
        <f aca="false">IF(OR(G110="",I110=""),"",G110*I110/1000000)</f>
        <v/>
      </c>
      <c r="K110" s="21"/>
      <c r="L110" s="21"/>
      <c r="M110" s="21"/>
      <c r="N110" s="25"/>
      <c r="O110" s="21"/>
      <c r="P110" s="21"/>
      <c r="Q110" s="21"/>
      <c r="R110" s="21"/>
      <c r="S110" s="38"/>
      <c r="T110" s="21"/>
      <c r="U110" s="21"/>
      <c r="V110" s="19"/>
      <c r="W110" s="26"/>
      <c r="X110" s="35"/>
      <c r="Y110" s="26"/>
      <c r="Z110" s="26"/>
      <c r="AA110" s="26"/>
      <c r="AB110" s="16" t="str">
        <f aca="false">IF(C110="","",IF(F110="Short",(AND(M110&lt;&gt;"",N(M110)&lt;0))+(AND(L110&lt;&gt;"",N(L110)&lt;0))+(AND(K110&lt;&gt;"",N(K110)&lt;0))+AND(L110&lt;&gt;"",M110&lt;&gt;"",N(M110)&lt;N(L110)),(N(M110)&gt;0)+(N(L110)&gt;0)+(N(K110)&gt;0)+AND(L110&lt;&gt;"",M110&lt;&gt;"",N(M110)&gt;N(L110))))</f>
        <v/>
      </c>
      <c r="AC110" s="16" t="str">
        <f aca="false">IF(C110="","",IF(F110="Short",IF(N110="",0,IF(AND(N110&gt;=30,N110&lt;=50),2,IF(OR(AND(N110&gt;=25,N110&lt;30),AND(N110&gt;50,N110&lt;=60)),1,0)))+IF(P110="",0,IF(AND(IF(B110="JSE",$L$5,$L$4)&lt;&gt;"",P110&lt;IF(B110="JSE",$L$5,$L$4)),2,IF(P110&lt;0,1,0))),IF(N110="",0,IF(AND(N110&gt;=50,N110&lt;=70),2,IF(OR(AND(N110&gt;=40,N110&lt;50),AND(N110&gt;70,N110&lt;=75)),1,0)))+IF(P110="",0,IF(AND(IF(B110="JSE",$L$5,$L$4)&lt;&gt;"",P110&gt;IF(B110="JSE",$L$5,$L$4)),2,IF(P110&gt;0,1,0)))))</f>
        <v/>
      </c>
      <c r="AD110" s="16" t="str">
        <f aca="false">IF(C110="","",IF(F110="Short",IF(R110="",0,IF(R110&lt;=0.1,2,IF(R110&lt;=0.25,1,0))),IF(Q110="",0,IF(Q110&gt;=-0.1,2,IF(Q110&gt;=-0.25,1,0)))))</f>
        <v/>
      </c>
      <c r="AE110" s="16" t="str">
        <f aca="false">IF(C110="","",IF(J110="",0,IF(J110&gt;=IF(B110="JSE",$L$7,$L$6),2,IF(J110&gt;=IF(B110="JSE",$L$7,$L$6)/4,1,0))))</f>
        <v/>
      </c>
      <c r="AF110" s="16" t="str">
        <f aca="false">IF(C110="","",IF(F110="Short",AND(T110&lt;&gt;"",N(T110)&lt;0),N(T110)&gt;0)+(N(S110)&gt;=1.5))</f>
        <v/>
      </c>
      <c r="AG110" s="16" t="str">
        <f aca="false">IF(C110="","",IF(AL110="",0,IF(AL110&gt;=3,4,IF(AL110&gt;=2,2,0))))</f>
        <v/>
      </c>
      <c r="AH110" s="16" t="str">
        <f aca="false">IF(C110="","",IF(AND(ISNUMBER(V110),ISNUMBER(A110),V110&gt;=A110,V110-A110&lt;=14),-2,0))</f>
        <v/>
      </c>
      <c r="AI110" s="16" t="str">
        <f aca="false">IF(C110="","",IF(AND(F110="Short",N(U110)&gt;=0.2),-1,0))</f>
        <v/>
      </c>
      <c r="AJ110" s="23" t="str">
        <f aca="false">IF(C110="","",SUM(AB110:AI110))</f>
        <v/>
      </c>
      <c r="AK110" s="24" t="str">
        <f aca="false">IF(C110="","",IF(AJ110&gt;=14,"A",IF(AJ110&gt;=10,"B","C")))</f>
        <v/>
      </c>
      <c r="AL110" s="39" t="str">
        <f aca="false">IFERROR(IF(OR(Y110="",Z110="",AA110=""),"",IF(F110="Short",IF(Z110&lt;=Y110,"",(Y110-AA110)/(Z110-Y110)),IF(Y110&lt;=Z110,"",(AA110-Y110)/(Y110-Z110)))),"")</f>
        <v/>
      </c>
      <c r="AM110" s="37" t="str">
        <f aca="false">IF(OR(Y110="",Z110="",N(Y110)=N(Z110)),"",IF(OR(AND(F110="Short",Z110&lt;Y110),AND(NOT(F110="Short"),Z110&gt;Y110)),"stop on wrong side",ABS(Y110-Z110)))</f>
        <v/>
      </c>
      <c r="AN110" s="40" t="str">
        <f aca="false">IFERROR(IF(OR(NOT(ISNUMBER(AM110)),$C$6=""),"",ROUNDDOWN($C$6*$C$7/AM110,2)),"")</f>
        <v/>
      </c>
      <c r="AO110" s="37" t="str">
        <f aca="false">IFERROR(IF(AN110="","",AN110*Y110),"")</f>
        <v/>
      </c>
      <c r="AP110" s="35"/>
      <c r="AQ110" s="19"/>
      <c r="AR110" s="26"/>
      <c r="AS110" s="41" t="str">
        <f aca="false">IFERROR(IF(OR(AR110="",Y110="",AQ110=""),"",IF(F110="Short",1-AR110/Y110,AR110/Y110-1)),"")</f>
        <v/>
      </c>
      <c r="AT110" s="42" t="str">
        <f aca="true">IF(AQ110="","",IF(ISNUMBER($C$4),$C$4,TODAY())-AQ110)</f>
        <v/>
      </c>
      <c r="AU110" s="14" t="str">
        <f aca="false">IF(C110="","",IF(AP110="Open position",IF(IF(F110="Short",AND(ISNUMBER(AR110),ISNUMBER(Z110),AR110&gt;=Z110),AND(ISNUMBER(AR110),ISNUMBER(Z110),AR110&lt;=Z110)),IF(F110="Short","COVER — stop hit (buy back)","SELL — stop hit"),IF(IF(F110="Short",AND(ISNUMBER(AR110),ISNUMBER(AA110),AR110&lt;=AA110),AND(ISNUMBER(AR110),ISNUMBER(AA110),AR110&gt;=AA110)),"TAKE PROFIT — target hit",IF(AND(ISNUMBER(AT110),AT110&gt;182),IF(F110="Short","COVER — 6-month time limit","SELL — 6-month time limit"),IF(AND(ISNUMBER(AT110),AT110&gt;42,ISNUMBER(AS110),AS110&lt;0.02),"REVIEW — no progress after 6 weeks",IF(IF(F110="Short",AND(L110&lt;&gt;"",N(L110)&gt;0),AND(L110&lt;&gt;"",N(L110)&lt;0)),IF(F110="Short","REVIEW — back above 50-day avg","REVIEW — below 50-day avg"),"HOLD"))))),IF(OR(AP110="Closed",AP110="Dropped"),"Closed",IF(AK110="A",IF(F110="Short","Run Technical Review — SHORT entry","Run Technical Review — LONG entry"),IF(AK110="B","Watch — wait for setup","Drop or re-check next week")))))</f>
        <v/>
      </c>
      <c r="AV110" s="35"/>
      <c r="AX110" s="43" t="str">
        <f aca="false">IF(AND(C110&lt;&gt;"",A110=$C$4,ISNUMBER(AJ110)),AJ110+ROW()/100000,"")</f>
        <v/>
      </c>
    </row>
    <row r="111" customFormat="false" ht="15" hidden="false" customHeight="false" outlineLevel="0" collapsed="false">
      <c r="A111" s="19"/>
      <c r="B111" s="35"/>
      <c r="C111" s="35"/>
      <c r="D111" s="35"/>
      <c r="E111" s="35"/>
      <c r="F111" s="35"/>
      <c r="G111" s="26"/>
      <c r="H111" s="26"/>
      <c r="I111" s="36"/>
      <c r="J111" s="37" t="str">
        <f aca="false">IF(OR(G111="",I111=""),"",G111*I111/1000000)</f>
        <v/>
      </c>
      <c r="K111" s="21"/>
      <c r="L111" s="21"/>
      <c r="M111" s="21"/>
      <c r="N111" s="25"/>
      <c r="O111" s="21"/>
      <c r="P111" s="21"/>
      <c r="Q111" s="21"/>
      <c r="R111" s="21"/>
      <c r="S111" s="38"/>
      <c r="T111" s="21"/>
      <c r="U111" s="21"/>
      <c r="V111" s="19"/>
      <c r="W111" s="26"/>
      <c r="X111" s="35"/>
      <c r="Y111" s="26"/>
      <c r="Z111" s="26"/>
      <c r="AA111" s="26"/>
      <c r="AB111" s="16" t="str">
        <f aca="false">IF(C111="","",IF(F111="Short",(AND(M111&lt;&gt;"",N(M111)&lt;0))+(AND(L111&lt;&gt;"",N(L111)&lt;0))+(AND(K111&lt;&gt;"",N(K111)&lt;0))+AND(L111&lt;&gt;"",M111&lt;&gt;"",N(M111)&lt;N(L111)),(N(M111)&gt;0)+(N(L111)&gt;0)+(N(K111)&gt;0)+AND(L111&lt;&gt;"",M111&lt;&gt;"",N(M111)&gt;N(L111))))</f>
        <v/>
      </c>
      <c r="AC111" s="16" t="str">
        <f aca="false">IF(C111="","",IF(F111="Short",IF(N111="",0,IF(AND(N111&gt;=30,N111&lt;=50),2,IF(OR(AND(N111&gt;=25,N111&lt;30),AND(N111&gt;50,N111&lt;=60)),1,0)))+IF(P111="",0,IF(AND(IF(B111="JSE",$L$5,$L$4)&lt;&gt;"",P111&lt;IF(B111="JSE",$L$5,$L$4)),2,IF(P111&lt;0,1,0))),IF(N111="",0,IF(AND(N111&gt;=50,N111&lt;=70),2,IF(OR(AND(N111&gt;=40,N111&lt;50),AND(N111&gt;70,N111&lt;=75)),1,0)))+IF(P111="",0,IF(AND(IF(B111="JSE",$L$5,$L$4)&lt;&gt;"",P111&gt;IF(B111="JSE",$L$5,$L$4)),2,IF(P111&gt;0,1,0)))))</f>
        <v/>
      </c>
      <c r="AD111" s="16" t="str">
        <f aca="false">IF(C111="","",IF(F111="Short",IF(R111="",0,IF(R111&lt;=0.1,2,IF(R111&lt;=0.25,1,0))),IF(Q111="",0,IF(Q111&gt;=-0.1,2,IF(Q111&gt;=-0.25,1,0)))))</f>
        <v/>
      </c>
      <c r="AE111" s="16" t="str">
        <f aca="false">IF(C111="","",IF(J111="",0,IF(J111&gt;=IF(B111="JSE",$L$7,$L$6),2,IF(J111&gt;=IF(B111="JSE",$L$7,$L$6)/4,1,0))))</f>
        <v/>
      </c>
      <c r="AF111" s="16" t="str">
        <f aca="false">IF(C111="","",IF(F111="Short",AND(T111&lt;&gt;"",N(T111)&lt;0),N(T111)&gt;0)+(N(S111)&gt;=1.5))</f>
        <v/>
      </c>
      <c r="AG111" s="16" t="str">
        <f aca="false">IF(C111="","",IF(AL111="",0,IF(AL111&gt;=3,4,IF(AL111&gt;=2,2,0))))</f>
        <v/>
      </c>
      <c r="AH111" s="16" t="str">
        <f aca="false">IF(C111="","",IF(AND(ISNUMBER(V111),ISNUMBER(A111),V111&gt;=A111,V111-A111&lt;=14),-2,0))</f>
        <v/>
      </c>
      <c r="AI111" s="16" t="str">
        <f aca="false">IF(C111="","",IF(AND(F111="Short",N(U111)&gt;=0.2),-1,0))</f>
        <v/>
      </c>
      <c r="AJ111" s="23" t="str">
        <f aca="false">IF(C111="","",SUM(AB111:AI111))</f>
        <v/>
      </c>
      <c r="AK111" s="24" t="str">
        <f aca="false">IF(C111="","",IF(AJ111&gt;=14,"A",IF(AJ111&gt;=10,"B","C")))</f>
        <v/>
      </c>
      <c r="AL111" s="39" t="str">
        <f aca="false">IFERROR(IF(OR(Y111="",Z111="",AA111=""),"",IF(F111="Short",IF(Z111&lt;=Y111,"",(Y111-AA111)/(Z111-Y111)),IF(Y111&lt;=Z111,"",(AA111-Y111)/(Y111-Z111)))),"")</f>
        <v/>
      </c>
      <c r="AM111" s="37" t="str">
        <f aca="false">IF(OR(Y111="",Z111="",N(Y111)=N(Z111)),"",IF(OR(AND(F111="Short",Z111&lt;Y111),AND(NOT(F111="Short"),Z111&gt;Y111)),"stop on wrong side",ABS(Y111-Z111)))</f>
        <v/>
      </c>
      <c r="AN111" s="40" t="str">
        <f aca="false">IFERROR(IF(OR(NOT(ISNUMBER(AM111)),$C$6=""),"",ROUNDDOWN($C$6*$C$7/AM111,2)),"")</f>
        <v/>
      </c>
      <c r="AO111" s="37" t="str">
        <f aca="false">IFERROR(IF(AN111="","",AN111*Y111),"")</f>
        <v/>
      </c>
      <c r="AP111" s="35"/>
      <c r="AQ111" s="19"/>
      <c r="AR111" s="26"/>
      <c r="AS111" s="41" t="str">
        <f aca="false">IFERROR(IF(OR(AR111="",Y111="",AQ111=""),"",IF(F111="Short",1-AR111/Y111,AR111/Y111-1)),"")</f>
        <v/>
      </c>
      <c r="AT111" s="42" t="str">
        <f aca="true">IF(AQ111="","",IF(ISNUMBER($C$4),$C$4,TODAY())-AQ111)</f>
        <v/>
      </c>
      <c r="AU111" s="14" t="str">
        <f aca="false">IF(C111="","",IF(AP111="Open position",IF(IF(F111="Short",AND(ISNUMBER(AR111),ISNUMBER(Z111),AR111&gt;=Z111),AND(ISNUMBER(AR111),ISNUMBER(Z111),AR111&lt;=Z111)),IF(F111="Short","COVER — stop hit (buy back)","SELL — stop hit"),IF(IF(F111="Short",AND(ISNUMBER(AR111),ISNUMBER(AA111),AR111&lt;=AA111),AND(ISNUMBER(AR111),ISNUMBER(AA111),AR111&gt;=AA111)),"TAKE PROFIT — target hit",IF(AND(ISNUMBER(AT111),AT111&gt;182),IF(F111="Short","COVER — 6-month time limit","SELL — 6-month time limit"),IF(AND(ISNUMBER(AT111),AT111&gt;42,ISNUMBER(AS111),AS111&lt;0.02),"REVIEW — no progress after 6 weeks",IF(IF(F111="Short",AND(L111&lt;&gt;"",N(L111)&gt;0),AND(L111&lt;&gt;"",N(L111)&lt;0)),IF(F111="Short","REVIEW — back above 50-day avg","REVIEW — below 50-day avg"),"HOLD"))))),IF(OR(AP111="Closed",AP111="Dropped"),"Closed",IF(AK111="A",IF(F111="Short","Run Technical Review — SHORT entry","Run Technical Review — LONG entry"),IF(AK111="B","Watch — wait for setup","Drop or re-check next week")))))</f>
        <v/>
      </c>
      <c r="AV111" s="35"/>
      <c r="AX111" s="43" t="str">
        <f aca="false">IF(AND(C111&lt;&gt;"",A111=$C$4,ISNUMBER(AJ111)),AJ111+ROW()/100000,"")</f>
        <v/>
      </c>
    </row>
    <row r="112" customFormat="false" ht="15" hidden="false" customHeight="false" outlineLevel="0" collapsed="false">
      <c r="A112" s="19"/>
      <c r="B112" s="35"/>
      <c r="C112" s="35"/>
      <c r="D112" s="35"/>
      <c r="E112" s="35"/>
      <c r="F112" s="35"/>
      <c r="G112" s="26"/>
      <c r="H112" s="26"/>
      <c r="I112" s="36"/>
      <c r="J112" s="37" t="str">
        <f aca="false">IF(OR(G112="",I112=""),"",G112*I112/1000000)</f>
        <v/>
      </c>
      <c r="K112" s="21"/>
      <c r="L112" s="21"/>
      <c r="M112" s="21"/>
      <c r="N112" s="25"/>
      <c r="O112" s="21"/>
      <c r="P112" s="21"/>
      <c r="Q112" s="21"/>
      <c r="R112" s="21"/>
      <c r="S112" s="38"/>
      <c r="T112" s="21"/>
      <c r="U112" s="21"/>
      <c r="V112" s="19"/>
      <c r="W112" s="26"/>
      <c r="X112" s="35"/>
      <c r="Y112" s="26"/>
      <c r="Z112" s="26"/>
      <c r="AA112" s="26"/>
      <c r="AB112" s="16" t="str">
        <f aca="false">IF(C112="","",IF(F112="Short",(AND(M112&lt;&gt;"",N(M112)&lt;0))+(AND(L112&lt;&gt;"",N(L112)&lt;0))+(AND(K112&lt;&gt;"",N(K112)&lt;0))+AND(L112&lt;&gt;"",M112&lt;&gt;"",N(M112)&lt;N(L112)),(N(M112)&gt;0)+(N(L112)&gt;0)+(N(K112)&gt;0)+AND(L112&lt;&gt;"",M112&lt;&gt;"",N(M112)&gt;N(L112))))</f>
        <v/>
      </c>
      <c r="AC112" s="16" t="str">
        <f aca="false">IF(C112="","",IF(F112="Short",IF(N112="",0,IF(AND(N112&gt;=30,N112&lt;=50),2,IF(OR(AND(N112&gt;=25,N112&lt;30),AND(N112&gt;50,N112&lt;=60)),1,0)))+IF(P112="",0,IF(AND(IF(B112="JSE",$L$5,$L$4)&lt;&gt;"",P112&lt;IF(B112="JSE",$L$5,$L$4)),2,IF(P112&lt;0,1,0))),IF(N112="",0,IF(AND(N112&gt;=50,N112&lt;=70),2,IF(OR(AND(N112&gt;=40,N112&lt;50),AND(N112&gt;70,N112&lt;=75)),1,0)))+IF(P112="",0,IF(AND(IF(B112="JSE",$L$5,$L$4)&lt;&gt;"",P112&gt;IF(B112="JSE",$L$5,$L$4)),2,IF(P112&gt;0,1,0)))))</f>
        <v/>
      </c>
      <c r="AD112" s="16" t="str">
        <f aca="false">IF(C112="","",IF(F112="Short",IF(R112="",0,IF(R112&lt;=0.1,2,IF(R112&lt;=0.25,1,0))),IF(Q112="",0,IF(Q112&gt;=-0.1,2,IF(Q112&gt;=-0.25,1,0)))))</f>
        <v/>
      </c>
      <c r="AE112" s="16" t="str">
        <f aca="false">IF(C112="","",IF(J112="",0,IF(J112&gt;=IF(B112="JSE",$L$7,$L$6),2,IF(J112&gt;=IF(B112="JSE",$L$7,$L$6)/4,1,0))))</f>
        <v/>
      </c>
      <c r="AF112" s="16" t="str">
        <f aca="false">IF(C112="","",IF(F112="Short",AND(T112&lt;&gt;"",N(T112)&lt;0),N(T112)&gt;0)+(N(S112)&gt;=1.5))</f>
        <v/>
      </c>
      <c r="AG112" s="16" t="str">
        <f aca="false">IF(C112="","",IF(AL112="",0,IF(AL112&gt;=3,4,IF(AL112&gt;=2,2,0))))</f>
        <v/>
      </c>
      <c r="AH112" s="16" t="str">
        <f aca="false">IF(C112="","",IF(AND(ISNUMBER(V112),ISNUMBER(A112),V112&gt;=A112,V112-A112&lt;=14),-2,0))</f>
        <v/>
      </c>
      <c r="AI112" s="16" t="str">
        <f aca="false">IF(C112="","",IF(AND(F112="Short",N(U112)&gt;=0.2),-1,0))</f>
        <v/>
      </c>
      <c r="AJ112" s="23" t="str">
        <f aca="false">IF(C112="","",SUM(AB112:AI112))</f>
        <v/>
      </c>
      <c r="AK112" s="24" t="str">
        <f aca="false">IF(C112="","",IF(AJ112&gt;=14,"A",IF(AJ112&gt;=10,"B","C")))</f>
        <v/>
      </c>
      <c r="AL112" s="39" t="str">
        <f aca="false">IFERROR(IF(OR(Y112="",Z112="",AA112=""),"",IF(F112="Short",IF(Z112&lt;=Y112,"",(Y112-AA112)/(Z112-Y112)),IF(Y112&lt;=Z112,"",(AA112-Y112)/(Y112-Z112)))),"")</f>
        <v/>
      </c>
      <c r="AM112" s="37" t="str">
        <f aca="false">IF(OR(Y112="",Z112="",N(Y112)=N(Z112)),"",IF(OR(AND(F112="Short",Z112&lt;Y112),AND(NOT(F112="Short"),Z112&gt;Y112)),"stop on wrong side",ABS(Y112-Z112)))</f>
        <v/>
      </c>
      <c r="AN112" s="40" t="str">
        <f aca="false">IFERROR(IF(OR(NOT(ISNUMBER(AM112)),$C$6=""),"",ROUNDDOWN($C$6*$C$7/AM112,2)),"")</f>
        <v/>
      </c>
      <c r="AO112" s="37" t="str">
        <f aca="false">IFERROR(IF(AN112="","",AN112*Y112),"")</f>
        <v/>
      </c>
      <c r="AP112" s="35"/>
      <c r="AQ112" s="19"/>
      <c r="AR112" s="26"/>
      <c r="AS112" s="41" t="str">
        <f aca="false">IFERROR(IF(OR(AR112="",Y112="",AQ112=""),"",IF(F112="Short",1-AR112/Y112,AR112/Y112-1)),"")</f>
        <v/>
      </c>
      <c r="AT112" s="42" t="str">
        <f aca="true">IF(AQ112="","",IF(ISNUMBER($C$4),$C$4,TODAY())-AQ112)</f>
        <v/>
      </c>
      <c r="AU112" s="14" t="str">
        <f aca="false">IF(C112="","",IF(AP112="Open position",IF(IF(F112="Short",AND(ISNUMBER(AR112),ISNUMBER(Z112),AR112&gt;=Z112),AND(ISNUMBER(AR112),ISNUMBER(Z112),AR112&lt;=Z112)),IF(F112="Short","COVER — stop hit (buy back)","SELL — stop hit"),IF(IF(F112="Short",AND(ISNUMBER(AR112),ISNUMBER(AA112),AR112&lt;=AA112),AND(ISNUMBER(AR112),ISNUMBER(AA112),AR112&gt;=AA112)),"TAKE PROFIT — target hit",IF(AND(ISNUMBER(AT112),AT112&gt;182),IF(F112="Short","COVER — 6-month time limit","SELL — 6-month time limit"),IF(AND(ISNUMBER(AT112),AT112&gt;42,ISNUMBER(AS112),AS112&lt;0.02),"REVIEW — no progress after 6 weeks",IF(IF(F112="Short",AND(L112&lt;&gt;"",N(L112)&gt;0),AND(L112&lt;&gt;"",N(L112)&lt;0)),IF(F112="Short","REVIEW — back above 50-day avg","REVIEW — below 50-day avg"),"HOLD"))))),IF(OR(AP112="Closed",AP112="Dropped"),"Closed",IF(AK112="A",IF(F112="Short","Run Technical Review — SHORT entry","Run Technical Review — LONG entry"),IF(AK112="B","Watch — wait for setup","Drop or re-check next week")))))</f>
        <v/>
      </c>
      <c r="AV112" s="35"/>
      <c r="AX112" s="43" t="str">
        <f aca="false">IF(AND(C112&lt;&gt;"",A112=$C$4,ISNUMBER(AJ112)),AJ112+ROW()/100000,"")</f>
        <v/>
      </c>
    </row>
    <row r="113" customFormat="false" ht="15" hidden="false" customHeight="false" outlineLevel="0" collapsed="false">
      <c r="A113" s="19"/>
      <c r="B113" s="35"/>
      <c r="C113" s="35"/>
      <c r="D113" s="35"/>
      <c r="E113" s="35"/>
      <c r="F113" s="35"/>
      <c r="G113" s="26"/>
      <c r="H113" s="26"/>
      <c r="I113" s="36"/>
      <c r="J113" s="37" t="str">
        <f aca="false">IF(OR(G113="",I113=""),"",G113*I113/1000000)</f>
        <v/>
      </c>
      <c r="K113" s="21"/>
      <c r="L113" s="21"/>
      <c r="M113" s="21"/>
      <c r="N113" s="25"/>
      <c r="O113" s="21"/>
      <c r="P113" s="21"/>
      <c r="Q113" s="21"/>
      <c r="R113" s="21"/>
      <c r="S113" s="38"/>
      <c r="T113" s="21"/>
      <c r="U113" s="21"/>
      <c r="V113" s="19"/>
      <c r="W113" s="26"/>
      <c r="X113" s="35"/>
      <c r="Y113" s="26"/>
      <c r="Z113" s="26"/>
      <c r="AA113" s="26"/>
      <c r="AB113" s="16" t="str">
        <f aca="false">IF(C113="","",IF(F113="Short",(AND(M113&lt;&gt;"",N(M113)&lt;0))+(AND(L113&lt;&gt;"",N(L113)&lt;0))+(AND(K113&lt;&gt;"",N(K113)&lt;0))+AND(L113&lt;&gt;"",M113&lt;&gt;"",N(M113)&lt;N(L113)),(N(M113)&gt;0)+(N(L113)&gt;0)+(N(K113)&gt;0)+AND(L113&lt;&gt;"",M113&lt;&gt;"",N(M113)&gt;N(L113))))</f>
        <v/>
      </c>
      <c r="AC113" s="16" t="str">
        <f aca="false">IF(C113="","",IF(F113="Short",IF(N113="",0,IF(AND(N113&gt;=30,N113&lt;=50),2,IF(OR(AND(N113&gt;=25,N113&lt;30),AND(N113&gt;50,N113&lt;=60)),1,0)))+IF(P113="",0,IF(AND(IF(B113="JSE",$L$5,$L$4)&lt;&gt;"",P113&lt;IF(B113="JSE",$L$5,$L$4)),2,IF(P113&lt;0,1,0))),IF(N113="",0,IF(AND(N113&gt;=50,N113&lt;=70),2,IF(OR(AND(N113&gt;=40,N113&lt;50),AND(N113&gt;70,N113&lt;=75)),1,0)))+IF(P113="",0,IF(AND(IF(B113="JSE",$L$5,$L$4)&lt;&gt;"",P113&gt;IF(B113="JSE",$L$5,$L$4)),2,IF(P113&gt;0,1,0)))))</f>
        <v/>
      </c>
      <c r="AD113" s="16" t="str">
        <f aca="false">IF(C113="","",IF(F113="Short",IF(R113="",0,IF(R113&lt;=0.1,2,IF(R113&lt;=0.25,1,0))),IF(Q113="",0,IF(Q113&gt;=-0.1,2,IF(Q113&gt;=-0.25,1,0)))))</f>
        <v/>
      </c>
      <c r="AE113" s="16" t="str">
        <f aca="false">IF(C113="","",IF(J113="",0,IF(J113&gt;=IF(B113="JSE",$L$7,$L$6),2,IF(J113&gt;=IF(B113="JSE",$L$7,$L$6)/4,1,0))))</f>
        <v/>
      </c>
      <c r="AF113" s="16" t="str">
        <f aca="false">IF(C113="","",IF(F113="Short",AND(T113&lt;&gt;"",N(T113)&lt;0),N(T113)&gt;0)+(N(S113)&gt;=1.5))</f>
        <v/>
      </c>
      <c r="AG113" s="16" t="str">
        <f aca="false">IF(C113="","",IF(AL113="",0,IF(AL113&gt;=3,4,IF(AL113&gt;=2,2,0))))</f>
        <v/>
      </c>
      <c r="AH113" s="16" t="str">
        <f aca="false">IF(C113="","",IF(AND(ISNUMBER(V113),ISNUMBER(A113),V113&gt;=A113,V113-A113&lt;=14),-2,0))</f>
        <v/>
      </c>
      <c r="AI113" s="16" t="str">
        <f aca="false">IF(C113="","",IF(AND(F113="Short",N(U113)&gt;=0.2),-1,0))</f>
        <v/>
      </c>
      <c r="AJ113" s="23" t="str">
        <f aca="false">IF(C113="","",SUM(AB113:AI113))</f>
        <v/>
      </c>
      <c r="AK113" s="24" t="str">
        <f aca="false">IF(C113="","",IF(AJ113&gt;=14,"A",IF(AJ113&gt;=10,"B","C")))</f>
        <v/>
      </c>
      <c r="AL113" s="39" t="str">
        <f aca="false">IFERROR(IF(OR(Y113="",Z113="",AA113=""),"",IF(F113="Short",IF(Z113&lt;=Y113,"",(Y113-AA113)/(Z113-Y113)),IF(Y113&lt;=Z113,"",(AA113-Y113)/(Y113-Z113)))),"")</f>
        <v/>
      </c>
      <c r="AM113" s="37" t="str">
        <f aca="false">IF(OR(Y113="",Z113="",N(Y113)=N(Z113)),"",IF(OR(AND(F113="Short",Z113&lt;Y113),AND(NOT(F113="Short"),Z113&gt;Y113)),"stop on wrong side",ABS(Y113-Z113)))</f>
        <v/>
      </c>
      <c r="AN113" s="40" t="str">
        <f aca="false">IFERROR(IF(OR(NOT(ISNUMBER(AM113)),$C$6=""),"",ROUNDDOWN($C$6*$C$7/AM113,2)),"")</f>
        <v/>
      </c>
      <c r="AO113" s="37" t="str">
        <f aca="false">IFERROR(IF(AN113="","",AN113*Y113),"")</f>
        <v/>
      </c>
      <c r="AP113" s="35"/>
      <c r="AQ113" s="19"/>
      <c r="AR113" s="26"/>
      <c r="AS113" s="41" t="str">
        <f aca="false">IFERROR(IF(OR(AR113="",Y113="",AQ113=""),"",IF(F113="Short",1-AR113/Y113,AR113/Y113-1)),"")</f>
        <v/>
      </c>
      <c r="AT113" s="42" t="str">
        <f aca="true">IF(AQ113="","",IF(ISNUMBER($C$4),$C$4,TODAY())-AQ113)</f>
        <v/>
      </c>
      <c r="AU113" s="14" t="str">
        <f aca="false">IF(C113="","",IF(AP113="Open position",IF(IF(F113="Short",AND(ISNUMBER(AR113),ISNUMBER(Z113),AR113&gt;=Z113),AND(ISNUMBER(AR113),ISNUMBER(Z113),AR113&lt;=Z113)),IF(F113="Short","COVER — stop hit (buy back)","SELL — stop hit"),IF(IF(F113="Short",AND(ISNUMBER(AR113),ISNUMBER(AA113),AR113&lt;=AA113),AND(ISNUMBER(AR113),ISNUMBER(AA113),AR113&gt;=AA113)),"TAKE PROFIT — target hit",IF(AND(ISNUMBER(AT113),AT113&gt;182),IF(F113="Short","COVER — 6-month time limit","SELL — 6-month time limit"),IF(AND(ISNUMBER(AT113),AT113&gt;42,ISNUMBER(AS113),AS113&lt;0.02),"REVIEW — no progress after 6 weeks",IF(IF(F113="Short",AND(L113&lt;&gt;"",N(L113)&gt;0),AND(L113&lt;&gt;"",N(L113)&lt;0)),IF(F113="Short","REVIEW — back above 50-day avg","REVIEW — below 50-day avg"),"HOLD"))))),IF(OR(AP113="Closed",AP113="Dropped"),"Closed",IF(AK113="A",IF(F113="Short","Run Technical Review — SHORT entry","Run Technical Review — LONG entry"),IF(AK113="B","Watch — wait for setup","Drop or re-check next week")))))</f>
        <v/>
      </c>
      <c r="AV113" s="35"/>
      <c r="AX113" s="43" t="str">
        <f aca="false">IF(AND(C113&lt;&gt;"",A113=$C$4,ISNUMBER(AJ113)),AJ113+ROW()/100000,"")</f>
        <v/>
      </c>
    </row>
    <row r="114" customFormat="false" ht="15" hidden="false" customHeight="false" outlineLevel="0" collapsed="false">
      <c r="A114" s="19"/>
      <c r="B114" s="35"/>
      <c r="C114" s="35"/>
      <c r="D114" s="35"/>
      <c r="E114" s="35"/>
      <c r="F114" s="35"/>
      <c r="G114" s="26"/>
      <c r="H114" s="26"/>
      <c r="I114" s="36"/>
      <c r="J114" s="37" t="str">
        <f aca="false">IF(OR(G114="",I114=""),"",G114*I114/1000000)</f>
        <v/>
      </c>
      <c r="K114" s="21"/>
      <c r="L114" s="21"/>
      <c r="M114" s="21"/>
      <c r="N114" s="25"/>
      <c r="O114" s="21"/>
      <c r="P114" s="21"/>
      <c r="Q114" s="21"/>
      <c r="R114" s="21"/>
      <c r="S114" s="38"/>
      <c r="T114" s="21"/>
      <c r="U114" s="21"/>
      <c r="V114" s="19"/>
      <c r="W114" s="26"/>
      <c r="X114" s="35"/>
      <c r="Y114" s="26"/>
      <c r="Z114" s="26"/>
      <c r="AA114" s="26"/>
      <c r="AB114" s="16" t="str">
        <f aca="false">IF(C114="","",IF(F114="Short",(AND(M114&lt;&gt;"",N(M114)&lt;0))+(AND(L114&lt;&gt;"",N(L114)&lt;0))+(AND(K114&lt;&gt;"",N(K114)&lt;0))+AND(L114&lt;&gt;"",M114&lt;&gt;"",N(M114)&lt;N(L114)),(N(M114)&gt;0)+(N(L114)&gt;0)+(N(K114)&gt;0)+AND(L114&lt;&gt;"",M114&lt;&gt;"",N(M114)&gt;N(L114))))</f>
        <v/>
      </c>
      <c r="AC114" s="16" t="str">
        <f aca="false">IF(C114="","",IF(F114="Short",IF(N114="",0,IF(AND(N114&gt;=30,N114&lt;=50),2,IF(OR(AND(N114&gt;=25,N114&lt;30),AND(N114&gt;50,N114&lt;=60)),1,0)))+IF(P114="",0,IF(AND(IF(B114="JSE",$L$5,$L$4)&lt;&gt;"",P114&lt;IF(B114="JSE",$L$5,$L$4)),2,IF(P114&lt;0,1,0))),IF(N114="",0,IF(AND(N114&gt;=50,N114&lt;=70),2,IF(OR(AND(N114&gt;=40,N114&lt;50),AND(N114&gt;70,N114&lt;=75)),1,0)))+IF(P114="",0,IF(AND(IF(B114="JSE",$L$5,$L$4)&lt;&gt;"",P114&gt;IF(B114="JSE",$L$5,$L$4)),2,IF(P114&gt;0,1,0)))))</f>
        <v/>
      </c>
      <c r="AD114" s="16" t="str">
        <f aca="false">IF(C114="","",IF(F114="Short",IF(R114="",0,IF(R114&lt;=0.1,2,IF(R114&lt;=0.25,1,0))),IF(Q114="",0,IF(Q114&gt;=-0.1,2,IF(Q114&gt;=-0.25,1,0)))))</f>
        <v/>
      </c>
      <c r="AE114" s="16" t="str">
        <f aca="false">IF(C114="","",IF(J114="",0,IF(J114&gt;=IF(B114="JSE",$L$7,$L$6),2,IF(J114&gt;=IF(B114="JSE",$L$7,$L$6)/4,1,0))))</f>
        <v/>
      </c>
      <c r="AF114" s="16" t="str">
        <f aca="false">IF(C114="","",IF(F114="Short",AND(T114&lt;&gt;"",N(T114)&lt;0),N(T114)&gt;0)+(N(S114)&gt;=1.5))</f>
        <v/>
      </c>
      <c r="AG114" s="16" t="str">
        <f aca="false">IF(C114="","",IF(AL114="",0,IF(AL114&gt;=3,4,IF(AL114&gt;=2,2,0))))</f>
        <v/>
      </c>
      <c r="AH114" s="16" t="str">
        <f aca="false">IF(C114="","",IF(AND(ISNUMBER(V114),ISNUMBER(A114),V114&gt;=A114,V114-A114&lt;=14),-2,0))</f>
        <v/>
      </c>
      <c r="AI114" s="16" t="str">
        <f aca="false">IF(C114="","",IF(AND(F114="Short",N(U114)&gt;=0.2),-1,0))</f>
        <v/>
      </c>
      <c r="AJ114" s="23" t="str">
        <f aca="false">IF(C114="","",SUM(AB114:AI114))</f>
        <v/>
      </c>
      <c r="AK114" s="24" t="str">
        <f aca="false">IF(C114="","",IF(AJ114&gt;=14,"A",IF(AJ114&gt;=10,"B","C")))</f>
        <v/>
      </c>
      <c r="AL114" s="39" t="str">
        <f aca="false">IFERROR(IF(OR(Y114="",Z114="",AA114=""),"",IF(F114="Short",IF(Z114&lt;=Y114,"",(Y114-AA114)/(Z114-Y114)),IF(Y114&lt;=Z114,"",(AA114-Y114)/(Y114-Z114)))),"")</f>
        <v/>
      </c>
      <c r="AM114" s="37" t="str">
        <f aca="false">IF(OR(Y114="",Z114="",N(Y114)=N(Z114)),"",IF(OR(AND(F114="Short",Z114&lt;Y114),AND(NOT(F114="Short"),Z114&gt;Y114)),"stop on wrong side",ABS(Y114-Z114)))</f>
        <v/>
      </c>
      <c r="AN114" s="40" t="str">
        <f aca="false">IFERROR(IF(OR(NOT(ISNUMBER(AM114)),$C$6=""),"",ROUNDDOWN($C$6*$C$7/AM114,2)),"")</f>
        <v/>
      </c>
      <c r="AO114" s="37" t="str">
        <f aca="false">IFERROR(IF(AN114="","",AN114*Y114),"")</f>
        <v/>
      </c>
      <c r="AP114" s="35"/>
      <c r="AQ114" s="19"/>
      <c r="AR114" s="26"/>
      <c r="AS114" s="41" t="str">
        <f aca="false">IFERROR(IF(OR(AR114="",Y114="",AQ114=""),"",IF(F114="Short",1-AR114/Y114,AR114/Y114-1)),"")</f>
        <v/>
      </c>
      <c r="AT114" s="42" t="str">
        <f aca="true">IF(AQ114="","",IF(ISNUMBER($C$4),$C$4,TODAY())-AQ114)</f>
        <v/>
      </c>
      <c r="AU114" s="14" t="str">
        <f aca="false">IF(C114="","",IF(AP114="Open position",IF(IF(F114="Short",AND(ISNUMBER(AR114),ISNUMBER(Z114),AR114&gt;=Z114),AND(ISNUMBER(AR114),ISNUMBER(Z114),AR114&lt;=Z114)),IF(F114="Short","COVER — stop hit (buy back)","SELL — stop hit"),IF(IF(F114="Short",AND(ISNUMBER(AR114),ISNUMBER(AA114),AR114&lt;=AA114),AND(ISNUMBER(AR114),ISNUMBER(AA114),AR114&gt;=AA114)),"TAKE PROFIT — target hit",IF(AND(ISNUMBER(AT114),AT114&gt;182),IF(F114="Short","COVER — 6-month time limit","SELL — 6-month time limit"),IF(AND(ISNUMBER(AT114),AT114&gt;42,ISNUMBER(AS114),AS114&lt;0.02),"REVIEW — no progress after 6 weeks",IF(IF(F114="Short",AND(L114&lt;&gt;"",N(L114)&gt;0),AND(L114&lt;&gt;"",N(L114)&lt;0)),IF(F114="Short","REVIEW — back above 50-day avg","REVIEW — below 50-day avg"),"HOLD"))))),IF(OR(AP114="Closed",AP114="Dropped"),"Closed",IF(AK114="A",IF(F114="Short","Run Technical Review — SHORT entry","Run Technical Review — LONG entry"),IF(AK114="B","Watch — wait for setup","Drop or re-check next week")))))</f>
        <v/>
      </c>
      <c r="AV114" s="35"/>
      <c r="AX114" s="43" t="str">
        <f aca="false">IF(AND(C114&lt;&gt;"",A114=$C$4,ISNUMBER(AJ114)),AJ114+ROW()/100000,"")</f>
        <v/>
      </c>
    </row>
    <row r="115" customFormat="false" ht="15" hidden="false" customHeight="false" outlineLevel="0" collapsed="false">
      <c r="A115" s="19"/>
      <c r="B115" s="35"/>
      <c r="C115" s="35"/>
      <c r="D115" s="35"/>
      <c r="E115" s="35"/>
      <c r="F115" s="35"/>
      <c r="G115" s="26"/>
      <c r="H115" s="26"/>
      <c r="I115" s="36"/>
      <c r="J115" s="37" t="str">
        <f aca="false">IF(OR(G115="",I115=""),"",G115*I115/1000000)</f>
        <v/>
      </c>
      <c r="K115" s="21"/>
      <c r="L115" s="21"/>
      <c r="M115" s="21"/>
      <c r="N115" s="25"/>
      <c r="O115" s="21"/>
      <c r="P115" s="21"/>
      <c r="Q115" s="21"/>
      <c r="R115" s="21"/>
      <c r="S115" s="38"/>
      <c r="T115" s="21"/>
      <c r="U115" s="21"/>
      <c r="V115" s="19"/>
      <c r="W115" s="26"/>
      <c r="X115" s="35"/>
      <c r="Y115" s="26"/>
      <c r="Z115" s="26"/>
      <c r="AA115" s="26"/>
      <c r="AB115" s="16" t="str">
        <f aca="false">IF(C115="","",IF(F115="Short",(AND(M115&lt;&gt;"",N(M115)&lt;0))+(AND(L115&lt;&gt;"",N(L115)&lt;0))+(AND(K115&lt;&gt;"",N(K115)&lt;0))+AND(L115&lt;&gt;"",M115&lt;&gt;"",N(M115)&lt;N(L115)),(N(M115)&gt;0)+(N(L115)&gt;0)+(N(K115)&gt;0)+AND(L115&lt;&gt;"",M115&lt;&gt;"",N(M115)&gt;N(L115))))</f>
        <v/>
      </c>
      <c r="AC115" s="16" t="str">
        <f aca="false">IF(C115="","",IF(F115="Short",IF(N115="",0,IF(AND(N115&gt;=30,N115&lt;=50),2,IF(OR(AND(N115&gt;=25,N115&lt;30),AND(N115&gt;50,N115&lt;=60)),1,0)))+IF(P115="",0,IF(AND(IF(B115="JSE",$L$5,$L$4)&lt;&gt;"",P115&lt;IF(B115="JSE",$L$5,$L$4)),2,IF(P115&lt;0,1,0))),IF(N115="",0,IF(AND(N115&gt;=50,N115&lt;=70),2,IF(OR(AND(N115&gt;=40,N115&lt;50),AND(N115&gt;70,N115&lt;=75)),1,0)))+IF(P115="",0,IF(AND(IF(B115="JSE",$L$5,$L$4)&lt;&gt;"",P115&gt;IF(B115="JSE",$L$5,$L$4)),2,IF(P115&gt;0,1,0)))))</f>
        <v/>
      </c>
      <c r="AD115" s="16" t="str">
        <f aca="false">IF(C115="","",IF(F115="Short",IF(R115="",0,IF(R115&lt;=0.1,2,IF(R115&lt;=0.25,1,0))),IF(Q115="",0,IF(Q115&gt;=-0.1,2,IF(Q115&gt;=-0.25,1,0)))))</f>
        <v/>
      </c>
      <c r="AE115" s="16" t="str">
        <f aca="false">IF(C115="","",IF(J115="",0,IF(J115&gt;=IF(B115="JSE",$L$7,$L$6),2,IF(J115&gt;=IF(B115="JSE",$L$7,$L$6)/4,1,0))))</f>
        <v/>
      </c>
      <c r="AF115" s="16" t="str">
        <f aca="false">IF(C115="","",IF(F115="Short",AND(T115&lt;&gt;"",N(T115)&lt;0),N(T115)&gt;0)+(N(S115)&gt;=1.5))</f>
        <v/>
      </c>
      <c r="AG115" s="16" t="str">
        <f aca="false">IF(C115="","",IF(AL115="",0,IF(AL115&gt;=3,4,IF(AL115&gt;=2,2,0))))</f>
        <v/>
      </c>
      <c r="AH115" s="16" t="str">
        <f aca="false">IF(C115="","",IF(AND(ISNUMBER(V115),ISNUMBER(A115),V115&gt;=A115,V115-A115&lt;=14),-2,0))</f>
        <v/>
      </c>
      <c r="AI115" s="16" t="str">
        <f aca="false">IF(C115="","",IF(AND(F115="Short",N(U115)&gt;=0.2),-1,0))</f>
        <v/>
      </c>
      <c r="AJ115" s="23" t="str">
        <f aca="false">IF(C115="","",SUM(AB115:AI115))</f>
        <v/>
      </c>
      <c r="AK115" s="24" t="str">
        <f aca="false">IF(C115="","",IF(AJ115&gt;=14,"A",IF(AJ115&gt;=10,"B","C")))</f>
        <v/>
      </c>
      <c r="AL115" s="39" t="str">
        <f aca="false">IFERROR(IF(OR(Y115="",Z115="",AA115=""),"",IF(F115="Short",IF(Z115&lt;=Y115,"",(Y115-AA115)/(Z115-Y115)),IF(Y115&lt;=Z115,"",(AA115-Y115)/(Y115-Z115)))),"")</f>
        <v/>
      </c>
      <c r="AM115" s="37" t="str">
        <f aca="false">IF(OR(Y115="",Z115="",N(Y115)=N(Z115)),"",IF(OR(AND(F115="Short",Z115&lt;Y115),AND(NOT(F115="Short"),Z115&gt;Y115)),"stop on wrong side",ABS(Y115-Z115)))</f>
        <v/>
      </c>
      <c r="AN115" s="40" t="str">
        <f aca="false">IFERROR(IF(OR(NOT(ISNUMBER(AM115)),$C$6=""),"",ROUNDDOWN($C$6*$C$7/AM115,2)),"")</f>
        <v/>
      </c>
      <c r="AO115" s="37" t="str">
        <f aca="false">IFERROR(IF(AN115="","",AN115*Y115),"")</f>
        <v/>
      </c>
      <c r="AP115" s="35"/>
      <c r="AQ115" s="19"/>
      <c r="AR115" s="26"/>
      <c r="AS115" s="41" t="str">
        <f aca="false">IFERROR(IF(OR(AR115="",Y115="",AQ115=""),"",IF(F115="Short",1-AR115/Y115,AR115/Y115-1)),"")</f>
        <v/>
      </c>
      <c r="AT115" s="42" t="str">
        <f aca="true">IF(AQ115="","",IF(ISNUMBER($C$4),$C$4,TODAY())-AQ115)</f>
        <v/>
      </c>
      <c r="AU115" s="14" t="str">
        <f aca="false">IF(C115="","",IF(AP115="Open position",IF(IF(F115="Short",AND(ISNUMBER(AR115),ISNUMBER(Z115),AR115&gt;=Z115),AND(ISNUMBER(AR115),ISNUMBER(Z115),AR115&lt;=Z115)),IF(F115="Short","COVER — stop hit (buy back)","SELL — stop hit"),IF(IF(F115="Short",AND(ISNUMBER(AR115),ISNUMBER(AA115),AR115&lt;=AA115),AND(ISNUMBER(AR115),ISNUMBER(AA115),AR115&gt;=AA115)),"TAKE PROFIT — target hit",IF(AND(ISNUMBER(AT115),AT115&gt;182),IF(F115="Short","COVER — 6-month time limit","SELL — 6-month time limit"),IF(AND(ISNUMBER(AT115),AT115&gt;42,ISNUMBER(AS115),AS115&lt;0.02),"REVIEW — no progress after 6 weeks",IF(IF(F115="Short",AND(L115&lt;&gt;"",N(L115)&gt;0),AND(L115&lt;&gt;"",N(L115)&lt;0)),IF(F115="Short","REVIEW — back above 50-day avg","REVIEW — below 50-day avg"),"HOLD"))))),IF(OR(AP115="Closed",AP115="Dropped"),"Closed",IF(AK115="A",IF(F115="Short","Run Technical Review — SHORT entry","Run Technical Review — LONG entry"),IF(AK115="B","Watch — wait for setup","Drop or re-check next week")))))</f>
        <v/>
      </c>
      <c r="AV115" s="35"/>
      <c r="AX115" s="43" t="str">
        <f aca="false">IF(AND(C115&lt;&gt;"",A115=$C$4,ISNUMBER(AJ115)),AJ115+ROW()/100000,"")</f>
        <v/>
      </c>
    </row>
    <row r="116" customFormat="false" ht="15" hidden="false" customHeight="false" outlineLevel="0" collapsed="false">
      <c r="A116" s="19"/>
      <c r="B116" s="35"/>
      <c r="C116" s="35"/>
      <c r="D116" s="35"/>
      <c r="E116" s="35"/>
      <c r="F116" s="35"/>
      <c r="G116" s="26"/>
      <c r="H116" s="26"/>
      <c r="I116" s="36"/>
      <c r="J116" s="37" t="str">
        <f aca="false">IF(OR(G116="",I116=""),"",G116*I116/1000000)</f>
        <v/>
      </c>
      <c r="K116" s="21"/>
      <c r="L116" s="21"/>
      <c r="M116" s="21"/>
      <c r="N116" s="25"/>
      <c r="O116" s="21"/>
      <c r="P116" s="21"/>
      <c r="Q116" s="21"/>
      <c r="R116" s="21"/>
      <c r="S116" s="38"/>
      <c r="T116" s="21"/>
      <c r="U116" s="21"/>
      <c r="V116" s="19"/>
      <c r="W116" s="26"/>
      <c r="X116" s="35"/>
      <c r="Y116" s="26"/>
      <c r="Z116" s="26"/>
      <c r="AA116" s="26"/>
      <c r="AB116" s="16" t="str">
        <f aca="false">IF(C116="","",IF(F116="Short",(AND(M116&lt;&gt;"",N(M116)&lt;0))+(AND(L116&lt;&gt;"",N(L116)&lt;0))+(AND(K116&lt;&gt;"",N(K116)&lt;0))+AND(L116&lt;&gt;"",M116&lt;&gt;"",N(M116)&lt;N(L116)),(N(M116)&gt;0)+(N(L116)&gt;0)+(N(K116)&gt;0)+AND(L116&lt;&gt;"",M116&lt;&gt;"",N(M116)&gt;N(L116))))</f>
        <v/>
      </c>
      <c r="AC116" s="16" t="str">
        <f aca="false">IF(C116="","",IF(F116="Short",IF(N116="",0,IF(AND(N116&gt;=30,N116&lt;=50),2,IF(OR(AND(N116&gt;=25,N116&lt;30),AND(N116&gt;50,N116&lt;=60)),1,0)))+IF(P116="",0,IF(AND(IF(B116="JSE",$L$5,$L$4)&lt;&gt;"",P116&lt;IF(B116="JSE",$L$5,$L$4)),2,IF(P116&lt;0,1,0))),IF(N116="",0,IF(AND(N116&gt;=50,N116&lt;=70),2,IF(OR(AND(N116&gt;=40,N116&lt;50),AND(N116&gt;70,N116&lt;=75)),1,0)))+IF(P116="",0,IF(AND(IF(B116="JSE",$L$5,$L$4)&lt;&gt;"",P116&gt;IF(B116="JSE",$L$5,$L$4)),2,IF(P116&gt;0,1,0)))))</f>
        <v/>
      </c>
      <c r="AD116" s="16" t="str">
        <f aca="false">IF(C116="","",IF(F116="Short",IF(R116="",0,IF(R116&lt;=0.1,2,IF(R116&lt;=0.25,1,0))),IF(Q116="",0,IF(Q116&gt;=-0.1,2,IF(Q116&gt;=-0.25,1,0)))))</f>
        <v/>
      </c>
      <c r="AE116" s="16" t="str">
        <f aca="false">IF(C116="","",IF(J116="",0,IF(J116&gt;=IF(B116="JSE",$L$7,$L$6),2,IF(J116&gt;=IF(B116="JSE",$L$7,$L$6)/4,1,0))))</f>
        <v/>
      </c>
      <c r="AF116" s="16" t="str">
        <f aca="false">IF(C116="","",IF(F116="Short",AND(T116&lt;&gt;"",N(T116)&lt;0),N(T116)&gt;0)+(N(S116)&gt;=1.5))</f>
        <v/>
      </c>
      <c r="AG116" s="16" t="str">
        <f aca="false">IF(C116="","",IF(AL116="",0,IF(AL116&gt;=3,4,IF(AL116&gt;=2,2,0))))</f>
        <v/>
      </c>
      <c r="AH116" s="16" t="str">
        <f aca="false">IF(C116="","",IF(AND(ISNUMBER(V116),ISNUMBER(A116),V116&gt;=A116,V116-A116&lt;=14),-2,0))</f>
        <v/>
      </c>
      <c r="AI116" s="16" t="str">
        <f aca="false">IF(C116="","",IF(AND(F116="Short",N(U116)&gt;=0.2),-1,0))</f>
        <v/>
      </c>
      <c r="AJ116" s="23" t="str">
        <f aca="false">IF(C116="","",SUM(AB116:AI116))</f>
        <v/>
      </c>
      <c r="AK116" s="24" t="str">
        <f aca="false">IF(C116="","",IF(AJ116&gt;=14,"A",IF(AJ116&gt;=10,"B","C")))</f>
        <v/>
      </c>
      <c r="AL116" s="39" t="str">
        <f aca="false">IFERROR(IF(OR(Y116="",Z116="",AA116=""),"",IF(F116="Short",IF(Z116&lt;=Y116,"",(Y116-AA116)/(Z116-Y116)),IF(Y116&lt;=Z116,"",(AA116-Y116)/(Y116-Z116)))),"")</f>
        <v/>
      </c>
      <c r="AM116" s="37" t="str">
        <f aca="false">IF(OR(Y116="",Z116="",N(Y116)=N(Z116)),"",IF(OR(AND(F116="Short",Z116&lt;Y116),AND(NOT(F116="Short"),Z116&gt;Y116)),"stop on wrong side",ABS(Y116-Z116)))</f>
        <v/>
      </c>
      <c r="AN116" s="40" t="str">
        <f aca="false">IFERROR(IF(OR(NOT(ISNUMBER(AM116)),$C$6=""),"",ROUNDDOWN($C$6*$C$7/AM116,2)),"")</f>
        <v/>
      </c>
      <c r="AO116" s="37" t="str">
        <f aca="false">IFERROR(IF(AN116="","",AN116*Y116),"")</f>
        <v/>
      </c>
      <c r="AP116" s="35"/>
      <c r="AQ116" s="19"/>
      <c r="AR116" s="26"/>
      <c r="AS116" s="41" t="str">
        <f aca="false">IFERROR(IF(OR(AR116="",Y116="",AQ116=""),"",IF(F116="Short",1-AR116/Y116,AR116/Y116-1)),"")</f>
        <v/>
      </c>
      <c r="AT116" s="42" t="str">
        <f aca="true">IF(AQ116="","",IF(ISNUMBER($C$4),$C$4,TODAY())-AQ116)</f>
        <v/>
      </c>
      <c r="AU116" s="14" t="str">
        <f aca="false">IF(C116="","",IF(AP116="Open position",IF(IF(F116="Short",AND(ISNUMBER(AR116),ISNUMBER(Z116),AR116&gt;=Z116),AND(ISNUMBER(AR116),ISNUMBER(Z116),AR116&lt;=Z116)),IF(F116="Short","COVER — stop hit (buy back)","SELL — stop hit"),IF(IF(F116="Short",AND(ISNUMBER(AR116),ISNUMBER(AA116),AR116&lt;=AA116),AND(ISNUMBER(AR116),ISNUMBER(AA116),AR116&gt;=AA116)),"TAKE PROFIT — target hit",IF(AND(ISNUMBER(AT116),AT116&gt;182),IF(F116="Short","COVER — 6-month time limit","SELL — 6-month time limit"),IF(AND(ISNUMBER(AT116),AT116&gt;42,ISNUMBER(AS116),AS116&lt;0.02),"REVIEW — no progress after 6 weeks",IF(IF(F116="Short",AND(L116&lt;&gt;"",N(L116)&gt;0),AND(L116&lt;&gt;"",N(L116)&lt;0)),IF(F116="Short","REVIEW — back above 50-day avg","REVIEW — below 50-day avg"),"HOLD"))))),IF(OR(AP116="Closed",AP116="Dropped"),"Closed",IF(AK116="A",IF(F116="Short","Run Technical Review — SHORT entry","Run Technical Review — LONG entry"),IF(AK116="B","Watch — wait for setup","Drop or re-check next week")))))</f>
        <v/>
      </c>
      <c r="AV116" s="35"/>
      <c r="AX116" s="43" t="str">
        <f aca="false">IF(AND(C116&lt;&gt;"",A116=$C$4,ISNUMBER(AJ116)),AJ116+ROW()/100000,"")</f>
        <v/>
      </c>
    </row>
    <row r="117" customFormat="false" ht="15" hidden="false" customHeight="false" outlineLevel="0" collapsed="false">
      <c r="A117" s="19"/>
      <c r="B117" s="35"/>
      <c r="C117" s="35"/>
      <c r="D117" s="35"/>
      <c r="E117" s="35"/>
      <c r="F117" s="35"/>
      <c r="G117" s="26"/>
      <c r="H117" s="26"/>
      <c r="I117" s="36"/>
      <c r="J117" s="37" t="str">
        <f aca="false">IF(OR(G117="",I117=""),"",G117*I117/1000000)</f>
        <v/>
      </c>
      <c r="K117" s="21"/>
      <c r="L117" s="21"/>
      <c r="M117" s="21"/>
      <c r="N117" s="25"/>
      <c r="O117" s="21"/>
      <c r="P117" s="21"/>
      <c r="Q117" s="21"/>
      <c r="R117" s="21"/>
      <c r="S117" s="38"/>
      <c r="T117" s="21"/>
      <c r="U117" s="21"/>
      <c r="V117" s="19"/>
      <c r="W117" s="26"/>
      <c r="X117" s="35"/>
      <c r="Y117" s="26"/>
      <c r="Z117" s="26"/>
      <c r="AA117" s="26"/>
      <c r="AB117" s="16" t="str">
        <f aca="false">IF(C117="","",IF(F117="Short",(AND(M117&lt;&gt;"",N(M117)&lt;0))+(AND(L117&lt;&gt;"",N(L117)&lt;0))+(AND(K117&lt;&gt;"",N(K117)&lt;0))+AND(L117&lt;&gt;"",M117&lt;&gt;"",N(M117)&lt;N(L117)),(N(M117)&gt;0)+(N(L117)&gt;0)+(N(K117)&gt;0)+AND(L117&lt;&gt;"",M117&lt;&gt;"",N(M117)&gt;N(L117))))</f>
        <v/>
      </c>
      <c r="AC117" s="16" t="str">
        <f aca="false">IF(C117="","",IF(F117="Short",IF(N117="",0,IF(AND(N117&gt;=30,N117&lt;=50),2,IF(OR(AND(N117&gt;=25,N117&lt;30),AND(N117&gt;50,N117&lt;=60)),1,0)))+IF(P117="",0,IF(AND(IF(B117="JSE",$L$5,$L$4)&lt;&gt;"",P117&lt;IF(B117="JSE",$L$5,$L$4)),2,IF(P117&lt;0,1,0))),IF(N117="",0,IF(AND(N117&gt;=50,N117&lt;=70),2,IF(OR(AND(N117&gt;=40,N117&lt;50),AND(N117&gt;70,N117&lt;=75)),1,0)))+IF(P117="",0,IF(AND(IF(B117="JSE",$L$5,$L$4)&lt;&gt;"",P117&gt;IF(B117="JSE",$L$5,$L$4)),2,IF(P117&gt;0,1,0)))))</f>
        <v/>
      </c>
      <c r="AD117" s="16" t="str">
        <f aca="false">IF(C117="","",IF(F117="Short",IF(R117="",0,IF(R117&lt;=0.1,2,IF(R117&lt;=0.25,1,0))),IF(Q117="",0,IF(Q117&gt;=-0.1,2,IF(Q117&gt;=-0.25,1,0)))))</f>
        <v/>
      </c>
      <c r="AE117" s="16" t="str">
        <f aca="false">IF(C117="","",IF(J117="",0,IF(J117&gt;=IF(B117="JSE",$L$7,$L$6),2,IF(J117&gt;=IF(B117="JSE",$L$7,$L$6)/4,1,0))))</f>
        <v/>
      </c>
      <c r="AF117" s="16" t="str">
        <f aca="false">IF(C117="","",IF(F117="Short",AND(T117&lt;&gt;"",N(T117)&lt;0),N(T117)&gt;0)+(N(S117)&gt;=1.5))</f>
        <v/>
      </c>
      <c r="AG117" s="16" t="str">
        <f aca="false">IF(C117="","",IF(AL117="",0,IF(AL117&gt;=3,4,IF(AL117&gt;=2,2,0))))</f>
        <v/>
      </c>
      <c r="AH117" s="16" t="str">
        <f aca="false">IF(C117="","",IF(AND(ISNUMBER(V117),ISNUMBER(A117),V117&gt;=A117,V117-A117&lt;=14),-2,0))</f>
        <v/>
      </c>
      <c r="AI117" s="16" t="str">
        <f aca="false">IF(C117="","",IF(AND(F117="Short",N(U117)&gt;=0.2),-1,0))</f>
        <v/>
      </c>
      <c r="AJ117" s="23" t="str">
        <f aca="false">IF(C117="","",SUM(AB117:AI117))</f>
        <v/>
      </c>
      <c r="AK117" s="24" t="str">
        <f aca="false">IF(C117="","",IF(AJ117&gt;=14,"A",IF(AJ117&gt;=10,"B","C")))</f>
        <v/>
      </c>
      <c r="AL117" s="39" t="str">
        <f aca="false">IFERROR(IF(OR(Y117="",Z117="",AA117=""),"",IF(F117="Short",IF(Z117&lt;=Y117,"",(Y117-AA117)/(Z117-Y117)),IF(Y117&lt;=Z117,"",(AA117-Y117)/(Y117-Z117)))),"")</f>
        <v/>
      </c>
      <c r="AM117" s="37" t="str">
        <f aca="false">IF(OR(Y117="",Z117="",N(Y117)=N(Z117)),"",IF(OR(AND(F117="Short",Z117&lt;Y117),AND(NOT(F117="Short"),Z117&gt;Y117)),"stop on wrong side",ABS(Y117-Z117)))</f>
        <v/>
      </c>
      <c r="AN117" s="40" t="str">
        <f aca="false">IFERROR(IF(OR(NOT(ISNUMBER(AM117)),$C$6=""),"",ROUNDDOWN($C$6*$C$7/AM117,2)),"")</f>
        <v/>
      </c>
      <c r="AO117" s="37" t="str">
        <f aca="false">IFERROR(IF(AN117="","",AN117*Y117),"")</f>
        <v/>
      </c>
      <c r="AP117" s="35"/>
      <c r="AQ117" s="19"/>
      <c r="AR117" s="26"/>
      <c r="AS117" s="41" t="str">
        <f aca="false">IFERROR(IF(OR(AR117="",Y117="",AQ117=""),"",IF(F117="Short",1-AR117/Y117,AR117/Y117-1)),"")</f>
        <v/>
      </c>
      <c r="AT117" s="42" t="str">
        <f aca="true">IF(AQ117="","",IF(ISNUMBER($C$4),$C$4,TODAY())-AQ117)</f>
        <v/>
      </c>
      <c r="AU117" s="14" t="str">
        <f aca="false">IF(C117="","",IF(AP117="Open position",IF(IF(F117="Short",AND(ISNUMBER(AR117),ISNUMBER(Z117),AR117&gt;=Z117),AND(ISNUMBER(AR117),ISNUMBER(Z117),AR117&lt;=Z117)),IF(F117="Short","COVER — stop hit (buy back)","SELL — stop hit"),IF(IF(F117="Short",AND(ISNUMBER(AR117),ISNUMBER(AA117),AR117&lt;=AA117),AND(ISNUMBER(AR117),ISNUMBER(AA117),AR117&gt;=AA117)),"TAKE PROFIT — target hit",IF(AND(ISNUMBER(AT117),AT117&gt;182),IF(F117="Short","COVER — 6-month time limit","SELL — 6-month time limit"),IF(AND(ISNUMBER(AT117),AT117&gt;42,ISNUMBER(AS117),AS117&lt;0.02),"REVIEW — no progress after 6 weeks",IF(IF(F117="Short",AND(L117&lt;&gt;"",N(L117)&gt;0),AND(L117&lt;&gt;"",N(L117)&lt;0)),IF(F117="Short","REVIEW — back above 50-day avg","REVIEW — below 50-day avg"),"HOLD"))))),IF(OR(AP117="Closed",AP117="Dropped"),"Closed",IF(AK117="A",IF(F117="Short","Run Technical Review — SHORT entry","Run Technical Review — LONG entry"),IF(AK117="B","Watch — wait for setup","Drop or re-check next week")))))</f>
        <v/>
      </c>
      <c r="AV117" s="35"/>
      <c r="AX117" s="43" t="str">
        <f aca="false">IF(AND(C117&lt;&gt;"",A117=$C$4,ISNUMBER(AJ117)),AJ117+ROW()/100000,"")</f>
        <v/>
      </c>
    </row>
    <row r="118" customFormat="false" ht="15" hidden="false" customHeight="false" outlineLevel="0" collapsed="false">
      <c r="A118" s="19"/>
      <c r="B118" s="35"/>
      <c r="C118" s="35"/>
      <c r="D118" s="35"/>
      <c r="E118" s="35"/>
      <c r="F118" s="35"/>
      <c r="G118" s="26"/>
      <c r="H118" s="26"/>
      <c r="I118" s="36"/>
      <c r="J118" s="37" t="str">
        <f aca="false">IF(OR(G118="",I118=""),"",G118*I118/1000000)</f>
        <v/>
      </c>
      <c r="K118" s="21"/>
      <c r="L118" s="21"/>
      <c r="M118" s="21"/>
      <c r="N118" s="25"/>
      <c r="O118" s="21"/>
      <c r="P118" s="21"/>
      <c r="Q118" s="21"/>
      <c r="R118" s="21"/>
      <c r="S118" s="38"/>
      <c r="T118" s="21"/>
      <c r="U118" s="21"/>
      <c r="V118" s="19"/>
      <c r="W118" s="26"/>
      <c r="X118" s="35"/>
      <c r="Y118" s="26"/>
      <c r="Z118" s="26"/>
      <c r="AA118" s="26"/>
      <c r="AB118" s="16" t="str">
        <f aca="false">IF(C118="","",IF(F118="Short",(AND(M118&lt;&gt;"",N(M118)&lt;0))+(AND(L118&lt;&gt;"",N(L118)&lt;0))+(AND(K118&lt;&gt;"",N(K118)&lt;0))+AND(L118&lt;&gt;"",M118&lt;&gt;"",N(M118)&lt;N(L118)),(N(M118)&gt;0)+(N(L118)&gt;0)+(N(K118)&gt;0)+AND(L118&lt;&gt;"",M118&lt;&gt;"",N(M118)&gt;N(L118))))</f>
        <v/>
      </c>
      <c r="AC118" s="16" t="str">
        <f aca="false">IF(C118="","",IF(F118="Short",IF(N118="",0,IF(AND(N118&gt;=30,N118&lt;=50),2,IF(OR(AND(N118&gt;=25,N118&lt;30),AND(N118&gt;50,N118&lt;=60)),1,0)))+IF(P118="",0,IF(AND(IF(B118="JSE",$L$5,$L$4)&lt;&gt;"",P118&lt;IF(B118="JSE",$L$5,$L$4)),2,IF(P118&lt;0,1,0))),IF(N118="",0,IF(AND(N118&gt;=50,N118&lt;=70),2,IF(OR(AND(N118&gt;=40,N118&lt;50),AND(N118&gt;70,N118&lt;=75)),1,0)))+IF(P118="",0,IF(AND(IF(B118="JSE",$L$5,$L$4)&lt;&gt;"",P118&gt;IF(B118="JSE",$L$5,$L$4)),2,IF(P118&gt;0,1,0)))))</f>
        <v/>
      </c>
      <c r="AD118" s="16" t="str">
        <f aca="false">IF(C118="","",IF(F118="Short",IF(R118="",0,IF(R118&lt;=0.1,2,IF(R118&lt;=0.25,1,0))),IF(Q118="",0,IF(Q118&gt;=-0.1,2,IF(Q118&gt;=-0.25,1,0)))))</f>
        <v/>
      </c>
      <c r="AE118" s="16" t="str">
        <f aca="false">IF(C118="","",IF(J118="",0,IF(J118&gt;=IF(B118="JSE",$L$7,$L$6),2,IF(J118&gt;=IF(B118="JSE",$L$7,$L$6)/4,1,0))))</f>
        <v/>
      </c>
      <c r="AF118" s="16" t="str">
        <f aca="false">IF(C118="","",IF(F118="Short",AND(T118&lt;&gt;"",N(T118)&lt;0),N(T118)&gt;0)+(N(S118)&gt;=1.5))</f>
        <v/>
      </c>
      <c r="AG118" s="16" t="str">
        <f aca="false">IF(C118="","",IF(AL118="",0,IF(AL118&gt;=3,4,IF(AL118&gt;=2,2,0))))</f>
        <v/>
      </c>
      <c r="AH118" s="16" t="str">
        <f aca="false">IF(C118="","",IF(AND(ISNUMBER(V118),ISNUMBER(A118),V118&gt;=A118,V118-A118&lt;=14),-2,0))</f>
        <v/>
      </c>
      <c r="AI118" s="16" t="str">
        <f aca="false">IF(C118="","",IF(AND(F118="Short",N(U118)&gt;=0.2),-1,0))</f>
        <v/>
      </c>
      <c r="AJ118" s="23" t="str">
        <f aca="false">IF(C118="","",SUM(AB118:AI118))</f>
        <v/>
      </c>
      <c r="AK118" s="24" t="str">
        <f aca="false">IF(C118="","",IF(AJ118&gt;=14,"A",IF(AJ118&gt;=10,"B","C")))</f>
        <v/>
      </c>
      <c r="AL118" s="39" t="str">
        <f aca="false">IFERROR(IF(OR(Y118="",Z118="",AA118=""),"",IF(F118="Short",IF(Z118&lt;=Y118,"",(Y118-AA118)/(Z118-Y118)),IF(Y118&lt;=Z118,"",(AA118-Y118)/(Y118-Z118)))),"")</f>
        <v/>
      </c>
      <c r="AM118" s="37" t="str">
        <f aca="false">IF(OR(Y118="",Z118="",N(Y118)=N(Z118)),"",IF(OR(AND(F118="Short",Z118&lt;Y118),AND(NOT(F118="Short"),Z118&gt;Y118)),"stop on wrong side",ABS(Y118-Z118)))</f>
        <v/>
      </c>
      <c r="AN118" s="40" t="str">
        <f aca="false">IFERROR(IF(OR(NOT(ISNUMBER(AM118)),$C$6=""),"",ROUNDDOWN($C$6*$C$7/AM118,2)),"")</f>
        <v/>
      </c>
      <c r="AO118" s="37" t="str">
        <f aca="false">IFERROR(IF(AN118="","",AN118*Y118),"")</f>
        <v/>
      </c>
      <c r="AP118" s="35"/>
      <c r="AQ118" s="19"/>
      <c r="AR118" s="26"/>
      <c r="AS118" s="41" t="str">
        <f aca="false">IFERROR(IF(OR(AR118="",Y118="",AQ118=""),"",IF(F118="Short",1-AR118/Y118,AR118/Y118-1)),"")</f>
        <v/>
      </c>
      <c r="AT118" s="42" t="str">
        <f aca="true">IF(AQ118="","",IF(ISNUMBER($C$4),$C$4,TODAY())-AQ118)</f>
        <v/>
      </c>
      <c r="AU118" s="14" t="str">
        <f aca="false">IF(C118="","",IF(AP118="Open position",IF(IF(F118="Short",AND(ISNUMBER(AR118),ISNUMBER(Z118),AR118&gt;=Z118),AND(ISNUMBER(AR118),ISNUMBER(Z118),AR118&lt;=Z118)),IF(F118="Short","COVER — stop hit (buy back)","SELL — stop hit"),IF(IF(F118="Short",AND(ISNUMBER(AR118),ISNUMBER(AA118),AR118&lt;=AA118),AND(ISNUMBER(AR118),ISNUMBER(AA118),AR118&gt;=AA118)),"TAKE PROFIT — target hit",IF(AND(ISNUMBER(AT118),AT118&gt;182),IF(F118="Short","COVER — 6-month time limit","SELL — 6-month time limit"),IF(AND(ISNUMBER(AT118),AT118&gt;42,ISNUMBER(AS118),AS118&lt;0.02),"REVIEW — no progress after 6 weeks",IF(IF(F118="Short",AND(L118&lt;&gt;"",N(L118)&gt;0),AND(L118&lt;&gt;"",N(L118)&lt;0)),IF(F118="Short","REVIEW — back above 50-day avg","REVIEW — below 50-day avg"),"HOLD"))))),IF(OR(AP118="Closed",AP118="Dropped"),"Closed",IF(AK118="A",IF(F118="Short","Run Technical Review — SHORT entry","Run Technical Review — LONG entry"),IF(AK118="B","Watch — wait for setup","Drop or re-check next week")))))</f>
        <v/>
      </c>
      <c r="AV118" s="35"/>
      <c r="AX118" s="43" t="str">
        <f aca="false">IF(AND(C118&lt;&gt;"",A118=$C$4,ISNUMBER(AJ118)),AJ118+ROW()/100000,"")</f>
        <v/>
      </c>
    </row>
    <row r="119" customFormat="false" ht="15" hidden="false" customHeight="false" outlineLevel="0" collapsed="false">
      <c r="A119" s="19"/>
      <c r="B119" s="35"/>
      <c r="C119" s="35"/>
      <c r="D119" s="35"/>
      <c r="E119" s="35"/>
      <c r="F119" s="35"/>
      <c r="G119" s="26"/>
      <c r="H119" s="26"/>
      <c r="I119" s="36"/>
      <c r="J119" s="37" t="str">
        <f aca="false">IF(OR(G119="",I119=""),"",G119*I119/1000000)</f>
        <v/>
      </c>
      <c r="K119" s="21"/>
      <c r="L119" s="21"/>
      <c r="M119" s="21"/>
      <c r="N119" s="25"/>
      <c r="O119" s="21"/>
      <c r="P119" s="21"/>
      <c r="Q119" s="21"/>
      <c r="R119" s="21"/>
      <c r="S119" s="38"/>
      <c r="T119" s="21"/>
      <c r="U119" s="21"/>
      <c r="V119" s="19"/>
      <c r="W119" s="26"/>
      <c r="X119" s="35"/>
      <c r="Y119" s="26"/>
      <c r="Z119" s="26"/>
      <c r="AA119" s="26"/>
      <c r="AB119" s="16" t="str">
        <f aca="false">IF(C119="","",IF(F119="Short",(AND(M119&lt;&gt;"",N(M119)&lt;0))+(AND(L119&lt;&gt;"",N(L119)&lt;0))+(AND(K119&lt;&gt;"",N(K119)&lt;0))+AND(L119&lt;&gt;"",M119&lt;&gt;"",N(M119)&lt;N(L119)),(N(M119)&gt;0)+(N(L119)&gt;0)+(N(K119)&gt;0)+AND(L119&lt;&gt;"",M119&lt;&gt;"",N(M119)&gt;N(L119))))</f>
        <v/>
      </c>
      <c r="AC119" s="16" t="str">
        <f aca="false">IF(C119="","",IF(F119="Short",IF(N119="",0,IF(AND(N119&gt;=30,N119&lt;=50),2,IF(OR(AND(N119&gt;=25,N119&lt;30),AND(N119&gt;50,N119&lt;=60)),1,0)))+IF(P119="",0,IF(AND(IF(B119="JSE",$L$5,$L$4)&lt;&gt;"",P119&lt;IF(B119="JSE",$L$5,$L$4)),2,IF(P119&lt;0,1,0))),IF(N119="",0,IF(AND(N119&gt;=50,N119&lt;=70),2,IF(OR(AND(N119&gt;=40,N119&lt;50),AND(N119&gt;70,N119&lt;=75)),1,0)))+IF(P119="",0,IF(AND(IF(B119="JSE",$L$5,$L$4)&lt;&gt;"",P119&gt;IF(B119="JSE",$L$5,$L$4)),2,IF(P119&gt;0,1,0)))))</f>
        <v/>
      </c>
      <c r="AD119" s="16" t="str">
        <f aca="false">IF(C119="","",IF(F119="Short",IF(R119="",0,IF(R119&lt;=0.1,2,IF(R119&lt;=0.25,1,0))),IF(Q119="",0,IF(Q119&gt;=-0.1,2,IF(Q119&gt;=-0.25,1,0)))))</f>
        <v/>
      </c>
      <c r="AE119" s="16" t="str">
        <f aca="false">IF(C119="","",IF(J119="",0,IF(J119&gt;=IF(B119="JSE",$L$7,$L$6),2,IF(J119&gt;=IF(B119="JSE",$L$7,$L$6)/4,1,0))))</f>
        <v/>
      </c>
      <c r="AF119" s="16" t="str">
        <f aca="false">IF(C119="","",IF(F119="Short",AND(T119&lt;&gt;"",N(T119)&lt;0),N(T119)&gt;0)+(N(S119)&gt;=1.5))</f>
        <v/>
      </c>
      <c r="AG119" s="16" t="str">
        <f aca="false">IF(C119="","",IF(AL119="",0,IF(AL119&gt;=3,4,IF(AL119&gt;=2,2,0))))</f>
        <v/>
      </c>
      <c r="AH119" s="16" t="str">
        <f aca="false">IF(C119="","",IF(AND(ISNUMBER(V119),ISNUMBER(A119),V119&gt;=A119,V119-A119&lt;=14),-2,0))</f>
        <v/>
      </c>
      <c r="AI119" s="16" t="str">
        <f aca="false">IF(C119="","",IF(AND(F119="Short",N(U119)&gt;=0.2),-1,0))</f>
        <v/>
      </c>
      <c r="AJ119" s="23" t="str">
        <f aca="false">IF(C119="","",SUM(AB119:AI119))</f>
        <v/>
      </c>
      <c r="AK119" s="24" t="str">
        <f aca="false">IF(C119="","",IF(AJ119&gt;=14,"A",IF(AJ119&gt;=10,"B","C")))</f>
        <v/>
      </c>
      <c r="AL119" s="39" t="str">
        <f aca="false">IFERROR(IF(OR(Y119="",Z119="",AA119=""),"",IF(F119="Short",IF(Z119&lt;=Y119,"",(Y119-AA119)/(Z119-Y119)),IF(Y119&lt;=Z119,"",(AA119-Y119)/(Y119-Z119)))),"")</f>
        <v/>
      </c>
      <c r="AM119" s="37" t="str">
        <f aca="false">IF(OR(Y119="",Z119="",N(Y119)=N(Z119)),"",IF(OR(AND(F119="Short",Z119&lt;Y119),AND(NOT(F119="Short"),Z119&gt;Y119)),"stop on wrong side",ABS(Y119-Z119)))</f>
        <v/>
      </c>
      <c r="AN119" s="40" t="str">
        <f aca="false">IFERROR(IF(OR(NOT(ISNUMBER(AM119)),$C$6=""),"",ROUNDDOWN($C$6*$C$7/AM119,2)),"")</f>
        <v/>
      </c>
      <c r="AO119" s="37" t="str">
        <f aca="false">IFERROR(IF(AN119="","",AN119*Y119),"")</f>
        <v/>
      </c>
      <c r="AP119" s="35"/>
      <c r="AQ119" s="19"/>
      <c r="AR119" s="26"/>
      <c r="AS119" s="41" t="str">
        <f aca="false">IFERROR(IF(OR(AR119="",Y119="",AQ119=""),"",IF(F119="Short",1-AR119/Y119,AR119/Y119-1)),"")</f>
        <v/>
      </c>
      <c r="AT119" s="42" t="str">
        <f aca="true">IF(AQ119="","",IF(ISNUMBER($C$4),$C$4,TODAY())-AQ119)</f>
        <v/>
      </c>
      <c r="AU119" s="14" t="str">
        <f aca="false">IF(C119="","",IF(AP119="Open position",IF(IF(F119="Short",AND(ISNUMBER(AR119),ISNUMBER(Z119),AR119&gt;=Z119),AND(ISNUMBER(AR119),ISNUMBER(Z119),AR119&lt;=Z119)),IF(F119="Short","COVER — stop hit (buy back)","SELL — stop hit"),IF(IF(F119="Short",AND(ISNUMBER(AR119),ISNUMBER(AA119),AR119&lt;=AA119),AND(ISNUMBER(AR119),ISNUMBER(AA119),AR119&gt;=AA119)),"TAKE PROFIT — target hit",IF(AND(ISNUMBER(AT119),AT119&gt;182),IF(F119="Short","COVER — 6-month time limit","SELL — 6-month time limit"),IF(AND(ISNUMBER(AT119),AT119&gt;42,ISNUMBER(AS119),AS119&lt;0.02),"REVIEW — no progress after 6 weeks",IF(IF(F119="Short",AND(L119&lt;&gt;"",N(L119)&gt;0),AND(L119&lt;&gt;"",N(L119)&lt;0)),IF(F119="Short","REVIEW — back above 50-day avg","REVIEW — below 50-day avg"),"HOLD"))))),IF(OR(AP119="Closed",AP119="Dropped"),"Closed",IF(AK119="A",IF(F119="Short","Run Technical Review — SHORT entry","Run Technical Review — LONG entry"),IF(AK119="B","Watch — wait for setup","Drop or re-check next week")))))</f>
        <v/>
      </c>
      <c r="AV119" s="35"/>
      <c r="AX119" s="43" t="str">
        <f aca="false">IF(AND(C119&lt;&gt;"",A119=$C$4,ISNUMBER(AJ119)),AJ119+ROW()/100000,"")</f>
        <v/>
      </c>
    </row>
    <row r="120" customFormat="false" ht="15" hidden="false" customHeight="false" outlineLevel="0" collapsed="false">
      <c r="A120" s="19"/>
      <c r="B120" s="35"/>
      <c r="C120" s="35"/>
      <c r="D120" s="35"/>
      <c r="E120" s="35"/>
      <c r="F120" s="35"/>
      <c r="G120" s="26"/>
      <c r="H120" s="26"/>
      <c r="I120" s="36"/>
      <c r="J120" s="37" t="str">
        <f aca="false">IF(OR(G120="",I120=""),"",G120*I120/1000000)</f>
        <v/>
      </c>
      <c r="K120" s="21"/>
      <c r="L120" s="21"/>
      <c r="M120" s="21"/>
      <c r="N120" s="25"/>
      <c r="O120" s="21"/>
      <c r="P120" s="21"/>
      <c r="Q120" s="21"/>
      <c r="R120" s="21"/>
      <c r="S120" s="38"/>
      <c r="T120" s="21"/>
      <c r="U120" s="21"/>
      <c r="V120" s="19"/>
      <c r="W120" s="26"/>
      <c r="X120" s="35"/>
      <c r="Y120" s="26"/>
      <c r="Z120" s="26"/>
      <c r="AA120" s="26"/>
      <c r="AB120" s="16" t="str">
        <f aca="false">IF(C120="","",IF(F120="Short",(AND(M120&lt;&gt;"",N(M120)&lt;0))+(AND(L120&lt;&gt;"",N(L120)&lt;0))+(AND(K120&lt;&gt;"",N(K120)&lt;0))+AND(L120&lt;&gt;"",M120&lt;&gt;"",N(M120)&lt;N(L120)),(N(M120)&gt;0)+(N(L120)&gt;0)+(N(K120)&gt;0)+AND(L120&lt;&gt;"",M120&lt;&gt;"",N(M120)&gt;N(L120))))</f>
        <v/>
      </c>
      <c r="AC120" s="16" t="str">
        <f aca="false">IF(C120="","",IF(F120="Short",IF(N120="",0,IF(AND(N120&gt;=30,N120&lt;=50),2,IF(OR(AND(N120&gt;=25,N120&lt;30),AND(N120&gt;50,N120&lt;=60)),1,0)))+IF(P120="",0,IF(AND(IF(B120="JSE",$L$5,$L$4)&lt;&gt;"",P120&lt;IF(B120="JSE",$L$5,$L$4)),2,IF(P120&lt;0,1,0))),IF(N120="",0,IF(AND(N120&gt;=50,N120&lt;=70),2,IF(OR(AND(N120&gt;=40,N120&lt;50),AND(N120&gt;70,N120&lt;=75)),1,0)))+IF(P120="",0,IF(AND(IF(B120="JSE",$L$5,$L$4)&lt;&gt;"",P120&gt;IF(B120="JSE",$L$5,$L$4)),2,IF(P120&gt;0,1,0)))))</f>
        <v/>
      </c>
      <c r="AD120" s="16" t="str">
        <f aca="false">IF(C120="","",IF(F120="Short",IF(R120="",0,IF(R120&lt;=0.1,2,IF(R120&lt;=0.25,1,0))),IF(Q120="",0,IF(Q120&gt;=-0.1,2,IF(Q120&gt;=-0.25,1,0)))))</f>
        <v/>
      </c>
      <c r="AE120" s="16" t="str">
        <f aca="false">IF(C120="","",IF(J120="",0,IF(J120&gt;=IF(B120="JSE",$L$7,$L$6),2,IF(J120&gt;=IF(B120="JSE",$L$7,$L$6)/4,1,0))))</f>
        <v/>
      </c>
      <c r="AF120" s="16" t="str">
        <f aca="false">IF(C120="","",IF(F120="Short",AND(T120&lt;&gt;"",N(T120)&lt;0),N(T120)&gt;0)+(N(S120)&gt;=1.5))</f>
        <v/>
      </c>
      <c r="AG120" s="16" t="str">
        <f aca="false">IF(C120="","",IF(AL120="",0,IF(AL120&gt;=3,4,IF(AL120&gt;=2,2,0))))</f>
        <v/>
      </c>
      <c r="AH120" s="16" t="str">
        <f aca="false">IF(C120="","",IF(AND(ISNUMBER(V120),ISNUMBER(A120),V120&gt;=A120,V120-A120&lt;=14),-2,0))</f>
        <v/>
      </c>
      <c r="AI120" s="16" t="str">
        <f aca="false">IF(C120="","",IF(AND(F120="Short",N(U120)&gt;=0.2),-1,0))</f>
        <v/>
      </c>
      <c r="AJ120" s="23" t="str">
        <f aca="false">IF(C120="","",SUM(AB120:AI120))</f>
        <v/>
      </c>
      <c r="AK120" s="24" t="str">
        <f aca="false">IF(C120="","",IF(AJ120&gt;=14,"A",IF(AJ120&gt;=10,"B","C")))</f>
        <v/>
      </c>
      <c r="AL120" s="39" t="str">
        <f aca="false">IFERROR(IF(OR(Y120="",Z120="",AA120=""),"",IF(F120="Short",IF(Z120&lt;=Y120,"",(Y120-AA120)/(Z120-Y120)),IF(Y120&lt;=Z120,"",(AA120-Y120)/(Y120-Z120)))),"")</f>
        <v/>
      </c>
      <c r="AM120" s="37" t="str">
        <f aca="false">IF(OR(Y120="",Z120="",N(Y120)=N(Z120)),"",IF(OR(AND(F120="Short",Z120&lt;Y120),AND(NOT(F120="Short"),Z120&gt;Y120)),"stop on wrong side",ABS(Y120-Z120)))</f>
        <v/>
      </c>
      <c r="AN120" s="40" t="str">
        <f aca="false">IFERROR(IF(OR(NOT(ISNUMBER(AM120)),$C$6=""),"",ROUNDDOWN($C$6*$C$7/AM120,2)),"")</f>
        <v/>
      </c>
      <c r="AO120" s="37" t="str">
        <f aca="false">IFERROR(IF(AN120="","",AN120*Y120),"")</f>
        <v/>
      </c>
      <c r="AP120" s="35"/>
      <c r="AQ120" s="19"/>
      <c r="AR120" s="26"/>
      <c r="AS120" s="41" t="str">
        <f aca="false">IFERROR(IF(OR(AR120="",Y120="",AQ120=""),"",IF(F120="Short",1-AR120/Y120,AR120/Y120-1)),"")</f>
        <v/>
      </c>
      <c r="AT120" s="42" t="str">
        <f aca="true">IF(AQ120="","",IF(ISNUMBER($C$4),$C$4,TODAY())-AQ120)</f>
        <v/>
      </c>
      <c r="AU120" s="14" t="str">
        <f aca="false">IF(C120="","",IF(AP120="Open position",IF(IF(F120="Short",AND(ISNUMBER(AR120),ISNUMBER(Z120),AR120&gt;=Z120),AND(ISNUMBER(AR120),ISNUMBER(Z120),AR120&lt;=Z120)),IF(F120="Short","COVER — stop hit (buy back)","SELL — stop hit"),IF(IF(F120="Short",AND(ISNUMBER(AR120),ISNUMBER(AA120),AR120&lt;=AA120),AND(ISNUMBER(AR120),ISNUMBER(AA120),AR120&gt;=AA120)),"TAKE PROFIT — target hit",IF(AND(ISNUMBER(AT120),AT120&gt;182),IF(F120="Short","COVER — 6-month time limit","SELL — 6-month time limit"),IF(AND(ISNUMBER(AT120),AT120&gt;42,ISNUMBER(AS120),AS120&lt;0.02),"REVIEW — no progress after 6 weeks",IF(IF(F120="Short",AND(L120&lt;&gt;"",N(L120)&gt;0),AND(L120&lt;&gt;"",N(L120)&lt;0)),IF(F120="Short","REVIEW — back above 50-day avg","REVIEW — below 50-day avg"),"HOLD"))))),IF(OR(AP120="Closed",AP120="Dropped"),"Closed",IF(AK120="A",IF(F120="Short","Run Technical Review — SHORT entry","Run Technical Review — LONG entry"),IF(AK120="B","Watch — wait for setup","Drop or re-check next week")))))</f>
        <v/>
      </c>
      <c r="AV120" s="35"/>
      <c r="AX120" s="43" t="str">
        <f aca="false">IF(AND(C120&lt;&gt;"",A120=$C$4,ISNUMBER(AJ120)),AJ120+ROW()/100000,"")</f>
        <v/>
      </c>
    </row>
    <row r="121" customFormat="false" ht="15" hidden="false" customHeight="false" outlineLevel="0" collapsed="false">
      <c r="A121" s="19"/>
      <c r="B121" s="35"/>
      <c r="C121" s="35"/>
      <c r="D121" s="35"/>
      <c r="E121" s="35"/>
      <c r="F121" s="35"/>
      <c r="G121" s="26"/>
      <c r="H121" s="26"/>
      <c r="I121" s="36"/>
      <c r="J121" s="37" t="str">
        <f aca="false">IF(OR(G121="",I121=""),"",G121*I121/1000000)</f>
        <v/>
      </c>
      <c r="K121" s="21"/>
      <c r="L121" s="21"/>
      <c r="M121" s="21"/>
      <c r="N121" s="25"/>
      <c r="O121" s="21"/>
      <c r="P121" s="21"/>
      <c r="Q121" s="21"/>
      <c r="R121" s="21"/>
      <c r="S121" s="38"/>
      <c r="T121" s="21"/>
      <c r="U121" s="21"/>
      <c r="V121" s="19"/>
      <c r="W121" s="26"/>
      <c r="X121" s="35"/>
      <c r="Y121" s="26"/>
      <c r="Z121" s="26"/>
      <c r="AA121" s="26"/>
      <c r="AB121" s="16" t="str">
        <f aca="false">IF(C121="","",IF(F121="Short",(AND(M121&lt;&gt;"",N(M121)&lt;0))+(AND(L121&lt;&gt;"",N(L121)&lt;0))+(AND(K121&lt;&gt;"",N(K121)&lt;0))+AND(L121&lt;&gt;"",M121&lt;&gt;"",N(M121)&lt;N(L121)),(N(M121)&gt;0)+(N(L121)&gt;0)+(N(K121)&gt;0)+AND(L121&lt;&gt;"",M121&lt;&gt;"",N(M121)&gt;N(L121))))</f>
        <v/>
      </c>
      <c r="AC121" s="16" t="str">
        <f aca="false">IF(C121="","",IF(F121="Short",IF(N121="",0,IF(AND(N121&gt;=30,N121&lt;=50),2,IF(OR(AND(N121&gt;=25,N121&lt;30),AND(N121&gt;50,N121&lt;=60)),1,0)))+IF(P121="",0,IF(AND(IF(B121="JSE",$L$5,$L$4)&lt;&gt;"",P121&lt;IF(B121="JSE",$L$5,$L$4)),2,IF(P121&lt;0,1,0))),IF(N121="",0,IF(AND(N121&gt;=50,N121&lt;=70),2,IF(OR(AND(N121&gt;=40,N121&lt;50),AND(N121&gt;70,N121&lt;=75)),1,0)))+IF(P121="",0,IF(AND(IF(B121="JSE",$L$5,$L$4)&lt;&gt;"",P121&gt;IF(B121="JSE",$L$5,$L$4)),2,IF(P121&gt;0,1,0)))))</f>
        <v/>
      </c>
      <c r="AD121" s="16" t="str">
        <f aca="false">IF(C121="","",IF(F121="Short",IF(R121="",0,IF(R121&lt;=0.1,2,IF(R121&lt;=0.25,1,0))),IF(Q121="",0,IF(Q121&gt;=-0.1,2,IF(Q121&gt;=-0.25,1,0)))))</f>
        <v/>
      </c>
      <c r="AE121" s="16" t="str">
        <f aca="false">IF(C121="","",IF(J121="",0,IF(J121&gt;=IF(B121="JSE",$L$7,$L$6),2,IF(J121&gt;=IF(B121="JSE",$L$7,$L$6)/4,1,0))))</f>
        <v/>
      </c>
      <c r="AF121" s="16" t="str">
        <f aca="false">IF(C121="","",IF(F121="Short",AND(T121&lt;&gt;"",N(T121)&lt;0),N(T121)&gt;0)+(N(S121)&gt;=1.5))</f>
        <v/>
      </c>
      <c r="AG121" s="16" t="str">
        <f aca="false">IF(C121="","",IF(AL121="",0,IF(AL121&gt;=3,4,IF(AL121&gt;=2,2,0))))</f>
        <v/>
      </c>
      <c r="AH121" s="16" t="str">
        <f aca="false">IF(C121="","",IF(AND(ISNUMBER(V121),ISNUMBER(A121),V121&gt;=A121,V121-A121&lt;=14),-2,0))</f>
        <v/>
      </c>
      <c r="AI121" s="16" t="str">
        <f aca="false">IF(C121="","",IF(AND(F121="Short",N(U121)&gt;=0.2),-1,0))</f>
        <v/>
      </c>
      <c r="AJ121" s="23" t="str">
        <f aca="false">IF(C121="","",SUM(AB121:AI121))</f>
        <v/>
      </c>
      <c r="AK121" s="24" t="str">
        <f aca="false">IF(C121="","",IF(AJ121&gt;=14,"A",IF(AJ121&gt;=10,"B","C")))</f>
        <v/>
      </c>
      <c r="AL121" s="39" t="str">
        <f aca="false">IFERROR(IF(OR(Y121="",Z121="",AA121=""),"",IF(F121="Short",IF(Z121&lt;=Y121,"",(Y121-AA121)/(Z121-Y121)),IF(Y121&lt;=Z121,"",(AA121-Y121)/(Y121-Z121)))),"")</f>
        <v/>
      </c>
      <c r="AM121" s="37" t="str">
        <f aca="false">IF(OR(Y121="",Z121="",N(Y121)=N(Z121)),"",IF(OR(AND(F121="Short",Z121&lt;Y121),AND(NOT(F121="Short"),Z121&gt;Y121)),"stop on wrong side",ABS(Y121-Z121)))</f>
        <v/>
      </c>
      <c r="AN121" s="40" t="str">
        <f aca="false">IFERROR(IF(OR(NOT(ISNUMBER(AM121)),$C$6=""),"",ROUNDDOWN($C$6*$C$7/AM121,2)),"")</f>
        <v/>
      </c>
      <c r="AO121" s="37" t="str">
        <f aca="false">IFERROR(IF(AN121="","",AN121*Y121),"")</f>
        <v/>
      </c>
      <c r="AP121" s="35"/>
      <c r="AQ121" s="19"/>
      <c r="AR121" s="26"/>
      <c r="AS121" s="41" t="str">
        <f aca="false">IFERROR(IF(OR(AR121="",Y121="",AQ121=""),"",IF(F121="Short",1-AR121/Y121,AR121/Y121-1)),"")</f>
        <v/>
      </c>
      <c r="AT121" s="42" t="str">
        <f aca="true">IF(AQ121="","",IF(ISNUMBER($C$4),$C$4,TODAY())-AQ121)</f>
        <v/>
      </c>
      <c r="AU121" s="14" t="str">
        <f aca="false">IF(C121="","",IF(AP121="Open position",IF(IF(F121="Short",AND(ISNUMBER(AR121),ISNUMBER(Z121),AR121&gt;=Z121),AND(ISNUMBER(AR121),ISNUMBER(Z121),AR121&lt;=Z121)),IF(F121="Short","COVER — stop hit (buy back)","SELL — stop hit"),IF(IF(F121="Short",AND(ISNUMBER(AR121),ISNUMBER(AA121),AR121&lt;=AA121),AND(ISNUMBER(AR121),ISNUMBER(AA121),AR121&gt;=AA121)),"TAKE PROFIT — target hit",IF(AND(ISNUMBER(AT121),AT121&gt;182),IF(F121="Short","COVER — 6-month time limit","SELL — 6-month time limit"),IF(AND(ISNUMBER(AT121),AT121&gt;42,ISNUMBER(AS121),AS121&lt;0.02),"REVIEW — no progress after 6 weeks",IF(IF(F121="Short",AND(L121&lt;&gt;"",N(L121)&gt;0),AND(L121&lt;&gt;"",N(L121)&lt;0)),IF(F121="Short","REVIEW — back above 50-day avg","REVIEW — below 50-day avg"),"HOLD"))))),IF(OR(AP121="Closed",AP121="Dropped"),"Closed",IF(AK121="A",IF(F121="Short","Run Technical Review — SHORT entry","Run Technical Review — LONG entry"),IF(AK121="B","Watch — wait for setup","Drop or re-check next week")))))</f>
        <v/>
      </c>
      <c r="AV121" s="35"/>
      <c r="AX121" s="43" t="str">
        <f aca="false">IF(AND(C121&lt;&gt;"",A121=$C$4,ISNUMBER(AJ121)),AJ121+ROW()/100000,"")</f>
        <v/>
      </c>
    </row>
    <row r="122" customFormat="false" ht="15" hidden="false" customHeight="false" outlineLevel="0" collapsed="false">
      <c r="A122" s="19"/>
      <c r="B122" s="35"/>
      <c r="C122" s="35"/>
      <c r="D122" s="35"/>
      <c r="E122" s="35"/>
      <c r="F122" s="35"/>
      <c r="G122" s="26"/>
      <c r="H122" s="26"/>
      <c r="I122" s="36"/>
      <c r="J122" s="37" t="str">
        <f aca="false">IF(OR(G122="",I122=""),"",G122*I122/1000000)</f>
        <v/>
      </c>
      <c r="K122" s="21"/>
      <c r="L122" s="21"/>
      <c r="M122" s="21"/>
      <c r="N122" s="25"/>
      <c r="O122" s="21"/>
      <c r="P122" s="21"/>
      <c r="Q122" s="21"/>
      <c r="R122" s="21"/>
      <c r="S122" s="38"/>
      <c r="T122" s="21"/>
      <c r="U122" s="21"/>
      <c r="V122" s="19"/>
      <c r="W122" s="26"/>
      <c r="X122" s="35"/>
      <c r="Y122" s="26"/>
      <c r="Z122" s="26"/>
      <c r="AA122" s="26"/>
      <c r="AB122" s="16" t="str">
        <f aca="false">IF(C122="","",IF(F122="Short",(AND(M122&lt;&gt;"",N(M122)&lt;0))+(AND(L122&lt;&gt;"",N(L122)&lt;0))+(AND(K122&lt;&gt;"",N(K122)&lt;0))+AND(L122&lt;&gt;"",M122&lt;&gt;"",N(M122)&lt;N(L122)),(N(M122)&gt;0)+(N(L122)&gt;0)+(N(K122)&gt;0)+AND(L122&lt;&gt;"",M122&lt;&gt;"",N(M122)&gt;N(L122))))</f>
        <v/>
      </c>
      <c r="AC122" s="16" t="str">
        <f aca="false">IF(C122="","",IF(F122="Short",IF(N122="",0,IF(AND(N122&gt;=30,N122&lt;=50),2,IF(OR(AND(N122&gt;=25,N122&lt;30),AND(N122&gt;50,N122&lt;=60)),1,0)))+IF(P122="",0,IF(AND(IF(B122="JSE",$L$5,$L$4)&lt;&gt;"",P122&lt;IF(B122="JSE",$L$5,$L$4)),2,IF(P122&lt;0,1,0))),IF(N122="",0,IF(AND(N122&gt;=50,N122&lt;=70),2,IF(OR(AND(N122&gt;=40,N122&lt;50),AND(N122&gt;70,N122&lt;=75)),1,0)))+IF(P122="",0,IF(AND(IF(B122="JSE",$L$5,$L$4)&lt;&gt;"",P122&gt;IF(B122="JSE",$L$5,$L$4)),2,IF(P122&gt;0,1,0)))))</f>
        <v/>
      </c>
      <c r="AD122" s="16" t="str">
        <f aca="false">IF(C122="","",IF(F122="Short",IF(R122="",0,IF(R122&lt;=0.1,2,IF(R122&lt;=0.25,1,0))),IF(Q122="",0,IF(Q122&gt;=-0.1,2,IF(Q122&gt;=-0.25,1,0)))))</f>
        <v/>
      </c>
      <c r="AE122" s="16" t="str">
        <f aca="false">IF(C122="","",IF(J122="",0,IF(J122&gt;=IF(B122="JSE",$L$7,$L$6),2,IF(J122&gt;=IF(B122="JSE",$L$7,$L$6)/4,1,0))))</f>
        <v/>
      </c>
      <c r="AF122" s="16" t="str">
        <f aca="false">IF(C122="","",IF(F122="Short",AND(T122&lt;&gt;"",N(T122)&lt;0),N(T122)&gt;0)+(N(S122)&gt;=1.5))</f>
        <v/>
      </c>
      <c r="AG122" s="16" t="str">
        <f aca="false">IF(C122="","",IF(AL122="",0,IF(AL122&gt;=3,4,IF(AL122&gt;=2,2,0))))</f>
        <v/>
      </c>
      <c r="AH122" s="16" t="str">
        <f aca="false">IF(C122="","",IF(AND(ISNUMBER(V122),ISNUMBER(A122),V122&gt;=A122,V122-A122&lt;=14),-2,0))</f>
        <v/>
      </c>
      <c r="AI122" s="16" t="str">
        <f aca="false">IF(C122="","",IF(AND(F122="Short",N(U122)&gt;=0.2),-1,0))</f>
        <v/>
      </c>
      <c r="AJ122" s="23" t="str">
        <f aca="false">IF(C122="","",SUM(AB122:AI122))</f>
        <v/>
      </c>
      <c r="AK122" s="24" t="str">
        <f aca="false">IF(C122="","",IF(AJ122&gt;=14,"A",IF(AJ122&gt;=10,"B","C")))</f>
        <v/>
      </c>
      <c r="AL122" s="39" t="str">
        <f aca="false">IFERROR(IF(OR(Y122="",Z122="",AA122=""),"",IF(F122="Short",IF(Z122&lt;=Y122,"",(Y122-AA122)/(Z122-Y122)),IF(Y122&lt;=Z122,"",(AA122-Y122)/(Y122-Z122)))),"")</f>
        <v/>
      </c>
      <c r="AM122" s="37" t="str">
        <f aca="false">IF(OR(Y122="",Z122="",N(Y122)=N(Z122)),"",IF(OR(AND(F122="Short",Z122&lt;Y122),AND(NOT(F122="Short"),Z122&gt;Y122)),"stop on wrong side",ABS(Y122-Z122)))</f>
        <v/>
      </c>
      <c r="AN122" s="40" t="str">
        <f aca="false">IFERROR(IF(OR(NOT(ISNUMBER(AM122)),$C$6=""),"",ROUNDDOWN($C$6*$C$7/AM122,2)),"")</f>
        <v/>
      </c>
      <c r="AO122" s="37" t="str">
        <f aca="false">IFERROR(IF(AN122="","",AN122*Y122),"")</f>
        <v/>
      </c>
      <c r="AP122" s="35"/>
      <c r="AQ122" s="19"/>
      <c r="AR122" s="26"/>
      <c r="AS122" s="41" t="str">
        <f aca="false">IFERROR(IF(OR(AR122="",Y122="",AQ122=""),"",IF(F122="Short",1-AR122/Y122,AR122/Y122-1)),"")</f>
        <v/>
      </c>
      <c r="AT122" s="42" t="str">
        <f aca="true">IF(AQ122="","",IF(ISNUMBER($C$4),$C$4,TODAY())-AQ122)</f>
        <v/>
      </c>
      <c r="AU122" s="14" t="str">
        <f aca="false">IF(C122="","",IF(AP122="Open position",IF(IF(F122="Short",AND(ISNUMBER(AR122),ISNUMBER(Z122),AR122&gt;=Z122),AND(ISNUMBER(AR122),ISNUMBER(Z122),AR122&lt;=Z122)),IF(F122="Short","COVER — stop hit (buy back)","SELL — stop hit"),IF(IF(F122="Short",AND(ISNUMBER(AR122),ISNUMBER(AA122),AR122&lt;=AA122),AND(ISNUMBER(AR122),ISNUMBER(AA122),AR122&gt;=AA122)),"TAKE PROFIT — target hit",IF(AND(ISNUMBER(AT122),AT122&gt;182),IF(F122="Short","COVER — 6-month time limit","SELL — 6-month time limit"),IF(AND(ISNUMBER(AT122),AT122&gt;42,ISNUMBER(AS122),AS122&lt;0.02),"REVIEW — no progress after 6 weeks",IF(IF(F122="Short",AND(L122&lt;&gt;"",N(L122)&gt;0),AND(L122&lt;&gt;"",N(L122)&lt;0)),IF(F122="Short","REVIEW — back above 50-day avg","REVIEW — below 50-day avg"),"HOLD"))))),IF(OR(AP122="Closed",AP122="Dropped"),"Closed",IF(AK122="A",IF(F122="Short","Run Technical Review — SHORT entry","Run Technical Review — LONG entry"),IF(AK122="B","Watch — wait for setup","Drop or re-check next week")))))</f>
        <v/>
      </c>
      <c r="AV122" s="35"/>
      <c r="AX122" s="43" t="str">
        <f aca="false">IF(AND(C122&lt;&gt;"",A122=$C$4,ISNUMBER(AJ122)),AJ122+ROW()/100000,"")</f>
        <v/>
      </c>
    </row>
    <row r="123" customFormat="false" ht="15" hidden="false" customHeight="false" outlineLevel="0" collapsed="false">
      <c r="A123" s="19"/>
      <c r="B123" s="35"/>
      <c r="C123" s="35"/>
      <c r="D123" s="35"/>
      <c r="E123" s="35"/>
      <c r="F123" s="35"/>
      <c r="G123" s="26"/>
      <c r="H123" s="26"/>
      <c r="I123" s="36"/>
      <c r="J123" s="37" t="str">
        <f aca="false">IF(OR(G123="",I123=""),"",G123*I123/1000000)</f>
        <v/>
      </c>
      <c r="K123" s="21"/>
      <c r="L123" s="21"/>
      <c r="M123" s="21"/>
      <c r="N123" s="25"/>
      <c r="O123" s="21"/>
      <c r="P123" s="21"/>
      <c r="Q123" s="21"/>
      <c r="R123" s="21"/>
      <c r="S123" s="38"/>
      <c r="T123" s="21"/>
      <c r="U123" s="21"/>
      <c r="V123" s="19"/>
      <c r="W123" s="26"/>
      <c r="X123" s="35"/>
      <c r="Y123" s="26"/>
      <c r="Z123" s="26"/>
      <c r="AA123" s="26"/>
      <c r="AB123" s="16" t="str">
        <f aca="false">IF(C123="","",IF(F123="Short",(AND(M123&lt;&gt;"",N(M123)&lt;0))+(AND(L123&lt;&gt;"",N(L123)&lt;0))+(AND(K123&lt;&gt;"",N(K123)&lt;0))+AND(L123&lt;&gt;"",M123&lt;&gt;"",N(M123)&lt;N(L123)),(N(M123)&gt;0)+(N(L123)&gt;0)+(N(K123)&gt;0)+AND(L123&lt;&gt;"",M123&lt;&gt;"",N(M123)&gt;N(L123))))</f>
        <v/>
      </c>
      <c r="AC123" s="16" t="str">
        <f aca="false">IF(C123="","",IF(F123="Short",IF(N123="",0,IF(AND(N123&gt;=30,N123&lt;=50),2,IF(OR(AND(N123&gt;=25,N123&lt;30),AND(N123&gt;50,N123&lt;=60)),1,0)))+IF(P123="",0,IF(AND(IF(B123="JSE",$L$5,$L$4)&lt;&gt;"",P123&lt;IF(B123="JSE",$L$5,$L$4)),2,IF(P123&lt;0,1,0))),IF(N123="",0,IF(AND(N123&gt;=50,N123&lt;=70),2,IF(OR(AND(N123&gt;=40,N123&lt;50),AND(N123&gt;70,N123&lt;=75)),1,0)))+IF(P123="",0,IF(AND(IF(B123="JSE",$L$5,$L$4)&lt;&gt;"",P123&gt;IF(B123="JSE",$L$5,$L$4)),2,IF(P123&gt;0,1,0)))))</f>
        <v/>
      </c>
      <c r="AD123" s="16" t="str">
        <f aca="false">IF(C123="","",IF(F123="Short",IF(R123="",0,IF(R123&lt;=0.1,2,IF(R123&lt;=0.25,1,0))),IF(Q123="",0,IF(Q123&gt;=-0.1,2,IF(Q123&gt;=-0.25,1,0)))))</f>
        <v/>
      </c>
      <c r="AE123" s="16" t="str">
        <f aca="false">IF(C123="","",IF(J123="",0,IF(J123&gt;=IF(B123="JSE",$L$7,$L$6),2,IF(J123&gt;=IF(B123="JSE",$L$7,$L$6)/4,1,0))))</f>
        <v/>
      </c>
      <c r="AF123" s="16" t="str">
        <f aca="false">IF(C123="","",IF(F123="Short",AND(T123&lt;&gt;"",N(T123)&lt;0),N(T123)&gt;0)+(N(S123)&gt;=1.5))</f>
        <v/>
      </c>
      <c r="AG123" s="16" t="str">
        <f aca="false">IF(C123="","",IF(AL123="",0,IF(AL123&gt;=3,4,IF(AL123&gt;=2,2,0))))</f>
        <v/>
      </c>
      <c r="AH123" s="16" t="str">
        <f aca="false">IF(C123="","",IF(AND(ISNUMBER(V123),ISNUMBER(A123),V123&gt;=A123,V123-A123&lt;=14),-2,0))</f>
        <v/>
      </c>
      <c r="AI123" s="16" t="str">
        <f aca="false">IF(C123="","",IF(AND(F123="Short",N(U123)&gt;=0.2),-1,0))</f>
        <v/>
      </c>
      <c r="AJ123" s="23" t="str">
        <f aca="false">IF(C123="","",SUM(AB123:AI123))</f>
        <v/>
      </c>
      <c r="AK123" s="24" t="str">
        <f aca="false">IF(C123="","",IF(AJ123&gt;=14,"A",IF(AJ123&gt;=10,"B","C")))</f>
        <v/>
      </c>
      <c r="AL123" s="39" t="str">
        <f aca="false">IFERROR(IF(OR(Y123="",Z123="",AA123=""),"",IF(F123="Short",IF(Z123&lt;=Y123,"",(Y123-AA123)/(Z123-Y123)),IF(Y123&lt;=Z123,"",(AA123-Y123)/(Y123-Z123)))),"")</f>
        <v/>
      </c>
      <c r="AM123" s="37" t="str">
        <f aca="false">IF(OR(Y123="",Z123="",N(Y123)=N(Z123)),"",IF(OR(AND(F123="Short",Z123&lt;Y123),AND(NOT(F123="Short"),Z123&gt;Y123)),"stop on wrong side",ABS(Y123-Z123)))</f>
        <v/>
      </c>
      <c r="AN123" s="40" t="str">
        <f aca="false">IFERROR(IF(OR(NOT(ISNUMBER(AM123)),$C$6=""),"",ROUNDDOWN($C$6*$C$7/AM123,2)),"")</f>
        <v/>
      </c>
      <c r="AO123" s="37" t="str">
        <f aca="false">IFERROR(IF(AN123="","",AN123*Y123),"")</f>
        <v/>
      </c>
      <c r="AP123" s="35"/>
      <c r="AQ123" s="19"/>
      <c r="AR123" s="26"/>
      <c r="AS123" s="41" t="str">
        <f aca="false">IFERROR(IF(OR(AR123="",Y123="",AQ123=""),"",IF(F123="Short",1-AR123/Y123,AR123/Y123-1)),"")</f>
        <v/>
      </c>
      <c r="AT123" s="42" t="str">
        <f aca="true">IF(AQ123="","",IF(ISNUMBER($C$4),$C$4,TODAY())-AQ123)</f>
        <v/>
      </c>
      <c r="AU123" s="14" t="str">
        <f aca="false">IF(C123="","",IF(AP123="Open position",IF(IF(F123="Short",AND(ISNUMBER(AR123),ISNUMBER(Z123),AR123&gt;=Z123),AND(ISNUMBER(AR123),ISNUMBER(Z123),AR123&lt;=Z123)),IF(F123="Short","COVER — stop hit (buy back)","SELL — stop hit"),IF(IF(F123="Short",AND(ISNUMBER(AR123),ISNUMBER(AA123),AR123&lt;=AA123),AND(ISNUMBER(AR123),ISNUMBER(AA123),AR123&gt;=AA123)),"TAKE PROFIT — target hit",IF(AND(ISNUMBER(AT123),AT123&gt;182),IF(F123="Short","COVER — 6-month time limit","SELL — 6-month time limit"),IF(AND(ISNUMBER(AT123),AT123&gt;42,ISNUMBER(AS123),AS123&lt;0.02),"REVIEW — no progress after 6 weeks",IF(IF(F123="Short",AND(L123&lt;&gt;"",N(L123)&gt;0),AND(L123&lt;&gt;"",N(L123)&lt;0)),IF(F123="Short","REVIEW — back above 50-day avg","REVIEW — below 50-day avg"),"HOLD"))))),IF(OR(AP123="Closed",AP123="Dropped"),"Closed",IF(AK123="A",IF(F123="Short","Run Technical Review — SHORT entry","Run Technical Review — LONG entry"),IF(AK123="B","Watch — wait for setup","Drop or re-check next week")))))</f>
        <v/>
      </c>
      <c r="AV123" s="35"/>
      <c r="AX123" s="43" t="str">
        <f aca="false">IF(AND(C123&lt;&gt;"",A123=$C$4,ISNUMBER(AJ123)),AJ123+ROW()/100000,"")</f>
        <v/>
      </c>
    </row>
    <row r="124" customFormat="false" ht="15" hidden="false" customHeight="false" outlineLevel="0" collapsed="false">
      <c r="A124" s="19"/>
      <c r="B124" s="35"/>
      <c r="C124" s="35"/>
      <c r="D124" s="35"/>
      <c r="E124" s="35"/>
      <c r="F124" s="35"/>
      <c r="G124" s="26"/>
      <c r="H124" s="26"/>
      <c r="I124" s="36"/>
      <c r="J124" s="37" t="str">
        <f aca="false">IF(OR(G124="",I124=""),"",G124*I124/1000000)</f>
        <v/>
      </c>
      <c r="K124" s="21"/>
      <c r="L124" s="21"/>
      <c r="M124" s="21"/>
      <c r="N124" s="25"/>
      <c r="O124" s="21"/>
      <c r="P124" s="21"/>
      <c r="Q124" s="21"/>
      <c r="R124" s="21"/>
      <c r="S124" s="38"/>
      <c r="T124" s="21"/>
      <c r="U124" s="21"/>
      <c r="V124" s="19"/>
      <c r="W124" s="26"/>
      <c r="X124" s="35"/>
      <c r="Y124" s="26"/>
      <c r="Z124" s="26"/>
      <c r="AA124" s="26"/>
      <c r="AB124" s="16" t="str">
        <f aca="false">IF(C124="","",IF(F124="Short",(AND(M124&lt;&gt;"",N(M124)&lt;0))+(AND(L124&lt;&gt;"",N(L124)&lt;0))+(AND(K124&lt;&gt;"",N(K124)&lt;0))+AND(L124&lt;&gt;"",M124&lt;&gt;"",N(M124)&lt;N(L124)),(N(M124)&gt;0)+(N(L124)&gt;0)+(N(K124)&gt;0)+AND(L124&lt;&gt;"",M124&lt;&gt;"",N(M124)&gt;N(L124))))</f>
        <v/>
      </c>
      <c r="AC124" s="16" t="str">
        <f aca="false">IF(C124="","",IF(F124="Short",IF(N124="",0,IF(AND(N124&gt;=30,N124&lt;=50),2,IF(OR(AND(N124&gt;=25,N124&lt;30),AND(N124&gt;50,N124&lt;=60)),1,0)))+IF(P124="",0,IF(AND(IF(B124="JSE",$L$5,$L$4)&lt;&gt;"",P124&lt;IF(B124="JSE",$L$5,$L$4)),2,IF(P124&lt;0,1,0))),IF(N124="",0,IF(AND(N124&gt;=50,N124&lt;=70),2,IF(OR(AND(N124&gt;=40,N124&lt;50),AND(N124&gt;70,N124&lt;=75)),1,0)))+IF(P124="",0,IF(AND(IF(B124="JSE",$L$5,$L$4)&lt;&gt;"",P124&gt;IF(B124="JSE",$L$5,$L$4)),2,IF(P124&gt;0,1,0)))))</f>
        <v/>
      </c>
      <c r="AD124" s="16" t="str">
        <f aca="false">IF(C124="","",IF(F124="Short",IF(R124="",0,IF(R124&lt;=0.1,2,IF(R124&lt;=0.25,1,0))),IF(Q124="",0,IF(Q124&gt;=-0.1,2,IF(Q124&gt;=-0.25,1,0)))))</f>
        <v/>
      </c>
      <c r="AE124" s="16" t="str">
        <f aca="false">IF(C124="","",IF(J124="",0,IF(J124&gt;=IF(B124="JSE",$L$7,$L$6),2,IF(J124&gt;=IF(B124="JSE",$L$7,$L$6)/4,1,0))))</f>
        <v/>
      </c>
      <c r="AF124" s="16" t="str">
        <f aca="false">IF(C124="","",IF(F124="Short",AND(T124&lt;&gt;"",N(T124)&lt;0),N(T124)&gt;0)+(N(S124)&gt;=1.5))</f>
        <v/>
      </c>
      <c r="AG124" s="16" t="str">
        <f aca="false">IF(C124="","",IF(AL124="",0,IF(AL124&gt;=3,4,IF(AL124&gt;=2,2,0))))</f>
        <v/>
      </c>
      <c r="AH124" s="16" t="str">
        <f aca="false">IF(C124="","",IF(AND(ISNUMBER(V124),ISNUMBER(A124),V124&gt;=A124,V124-A124&lt;=14),-2,0))</f>
        <v/>
      </c>
      <c r="AI124" s="16" t="str">
        <f aca="false">IF(C124="","",IF(AND(F124="Short",N(U124)&gt;=0.2),-1,0))</f>
        <v/>
      </c>
      <c r="AJ124" s="23" t="str">
        <f aca="false">IF(C124="","",SUM(AB124:AI124))</f>
        <v/>
      </c>
      <c r="AK124" s="24" t="str">
        <f aca="false">IF(C124="","",IF(AJ124&gt;=14,"A",IF(AJ124&gt;=10,"B","C")))</f>
        <v/>
      </c>
      <c r="AL124" s="39" t="str">
        <f aca="false">IFERROR(IF(OR(Y124="",Z124="",AA124=""),"",IF(F124="Short",IF(Z124&lt;=Y124,"",(Y124-AA124)/(Z124-Y124)),IF(Y124&lt;=Z124,"",(AA124-Y124)/(Y124-Z124)))),"")</f>
        <v/>
      </c>
      <c r="AM124" s="37" t="str">
        <f aca="false">IF(OR(Y124="",Z124="",N(Y124)=N(Z124)),"",IF(OR(AND(F124="Short",Z124&lt;Y124),AND(NOT(F124="Short"),Z124&gt;Y124)),"stop on wrong side",ABS(Y124-Z124)))</f>
        <v/>
      </c>
      <c r="AN124" s="40" t="str">
        <f aca="false">IFERROR(IF(OR(NOT(ISNUMBER(AM124)),$C$6=""),"",ROUNDDOWN($C$6*$C$7/AM124,2)),"")</f>
        <v/>
      </c>
      <c r="AO124" s="37" t="str">
        <f aca="false">IFERROR(IF(AN124="","",AN124*Y124),"")</f>
        <v/>
      </c>
      <c r="AP124" s="35"/>
      <c r="AQ124" s="19"/>
      <c r="AR124" s="26"/>
      <c r="AS124" s="41" t="str">
        <f aca="false">IFERROR(IF(OR(AR124="",Y124="",AQ124=""),"",IF(F124="Short",1-AR124/Y124,AR124/Y124-1)),"")</f>
        <v/>
      </c>
      <c r="AT124" s="42" t="str">
        <f aca="true">IF(AQ124="","",IF(ISNUMBER($C$4),$C$4,TODAY())-AQ124)</f>
        <v/>
      </c>
      <c r="AU124" s="14" t="str">
        <f aca="false">IF(C124="","",IF(AP124="Open position",IF(IF(F124="Short",AND(ISNUMBER(AR124),ISNUMBER(Z124),AR124&gt;=Z124),AND(ISNUMBER(AR124),ISNUMBER(Z124),AR124&lt;=Z124)),IF(F124="Short","COVER — stop hit (buy back)","SELL — stop hit"),IF(IF(F124="Short",AND(ISNUMBER(AR124),ISNUMBER(AA124),AR124&lt;=AA124),AND(ISNUMBER(AR124),ISNUMBER(AA124),AR124&gt;=AA124)),"TAKE PROFIT — target hit",IF(AND(ISNUMBER(AT124),AT124&gt;182),IF(F124="Short","COVER — 6-month time limit","SELL — 6-month time limit"),IF(AND(ISNUMBER(AT124),AT124&gt;42,ISNUMBER(AS124),AS124&lt;0.02),"REVIEW — no progress after 6 weeks",IF(IF(F124="Short",AND(L124&lt;&gt;"",N(L124)&gt;0),AND(L124&lt;&gt;"",N(L124)&lt;0)),IF(F124="Short","REVIEW — back above 50-day avg","REVIEW — below 50-day avg"),"HOLD"))))),IF(OR(AP124="Closed",AP124="Dropped"),"Closed",IF(AK124="A",IF(F124="Short","Run Technical Review — SHORT entry","Run Technical Review — LONG entry"),IF(AK124="B","Watch — wait for setup","Drop or re-check next week")))))</f>
        <v/>
      </c>
      <c r="AV124" s="35"/>
      <c r="AX124" s="43" t="str">
        <f aca="false">IF(AND(C124&lt;&gt;"",A124=$C$4,ISNUMBER(AJ124)),AJ124+ROW()/100000,"")</f>
        <v/>
      </c>
    </row>
    <row r="125" customFormat="false" ht="15" hidden="false" customHeight="false" outlineLevel="0" collapsed="false">
      <c r="A125" s="19"/>
      <c r="B125" s="35"/>
      <c r="C125" s="35"/>
      <c r="D125" s="35"/>
      <c r="E125" s="35"/>
      <c r="F125" s="35"/>
      <c r="G125" s="26"/>
      <c r="H125" s="26"/>
      <c r="I125" s="36"/>
      <c r="J125" s="37" t="str">
        <f aca="false">IF(OR(G125="",I125=""),"",G125*I125/1000000)</f>
        <v/>
      </c>
      <c r="K125" s="21"/>
      <c r="L125" s="21"/>
      <c r="M125" s="21"/>
      <c r="N125" s="25"/>
      <c r="O125" s="21"/>
      <c r="P125" s="21"/>
      <c r="Q125" s="21"/>
      <c r="R125" s="21"/>
      <c r="S125" s="38"/>
      <c r="T125" s="21"/>
      <c r="U125" s="21"/>
      <c r="V125" s="19"/>
      <c r="W125" s="26"/>
      <c r="X125" s="35"/>
      <c r="Y125" s="26"/>
      <c r="Z125" s="26"/>
      <c r="AA125" s="26"/>
      <c r="AB125" s="16" t="str">
        <f aca="false">IF(C125="","",IF(F125="Short",(AND(M125&lt;&gt;"",N(M125)&lt;0))+(AND(L125&lt;&gt;"",N(L125)&lt;0))+(AND(K125&lt;&gt;"",N(K125)&lt;0))+AND(L125&lt;&gt;"",M125&lt;&gt;"",N(M125)&lt;N(L125)),(N(M125)&gt;0)+(N(L125)&gt;0)+(N(K125)&gt;0)+AND(L125&lt;&gt;"",M125&lt;&gt;"",N(M125)&gt;N(L125))))</f>
        <v/>
      </c>
      <c r="AC125" s="16" t="str">
        <f aca="false">IF(C125="","",IF(F125="Short",IF(N125="",0,IF(AND(N125&gt;=30,N125&lt;=50),2,IF(OR(AND(N125&gt;=25,N125&lt;30),AND(N125&gt;50,N125&lt;=60)),1,0)))+IF(P125="",0,IF(AND(IF(B125="JSE",$L$5,$L$4)&lt;&gt;"",P125&lt;IF(B125="JSE",$L$5,$L$4)),2,IF(P125&lt;0,1,0))),IF(N125="",0,IF(AND(N125&gt;=50,N125&lt;=70),2,IF(OR(AND(N125&gt;=40,N125&lt;50),AND(N125&gt;70,N125&lt;=75)),1,0)))+IF(P125="",0,IF(AND(IF(B125="JSE",$L$5,$L$4)&lt;&gt;"",P125&gt;IF(B125="JSE",$L$5,$L$4)),2,IF(P125&gt;0,1,0)))))</f>
        <v/>
      </c>
      <c r="AD125" s="16" t="str">
        <f aca="false">IF(C125="","",IF(F125="Short",IF(R125="",0,IF(R125&lt;=0.1,2,IF(R125&lt;=0.25,1,0))),IF(Q125="",0,IF(Q125&gt;=-0.1,2,IF(Q125&gt;=-0.25,1,0)))))</f>
        <v/>
      </c>
      <c r="AE125" s="16" t="str">
        <f aca="false">IF(C125="","",IF(J125="",0,IF(J125&gt;=IF(B125="JSE",$L$7,$L$6),2,IF(J125&gt;=IF(B125="JSE",$L$7,$L$6)/4,1,0))))</f>
        <v/>
      </c>
      <c r="AF125" s="16" t="str">
        <f aca="false">IF(C125="","",IF(F125="Short",AND(T125&lt;&gt;"",N(T125)&lt;0),N(T125)&gt;0)+(N(S125)&gt;=1.5))</f>
        <v/>
      </c>
      <c r="AG125" s="16" t="str">
        <f aca="false">IF(C125="","",IF(AL125="",0,IF(AL125&gt;=3,4,IF(AL125&gt;=2,2,0))))</f>
        <v/>
      </c>
      <c r="AH125" s="16" t="str">
        <f aca="false">IF(C125="","",IF(AND(ISNUMBER(V125),ISNUMBER(A125),V125&gt;=A125,V125-A125&lt;=14),-2,0))</f>
        <v/>
      </c>
      <c r="AI125" s="16" t="str">
        <f aca="false">IF(C125="","",IF(AND(F125="Short",N(U125)&gt;=0.2),-1,0))</f>
        <v/>
      </c>
      <c r="AJ125" s="23" t="str">
        <f aca="false">IF(C125="","",SUM(AB125:AI125))</f>
        <v/>
      </c>
      <c r="AK125" s="24" t="str">
        <f aca="false">IF(C125="","",IF(AJ125&gt;=14,"A",IF(AJ125&gt;=10,"B","C")))</f>
        <v/>
      </c>
      <c r="AL125" s="39" t="str">
        <f aca="false">IFERROR(IF(OR(Y125="",Z125="",AA125=""),"",IF(F125="Short",IF(Z125&lt;=Y125,"",(Y125-AA125)/(Z125-Y125)),IF(Y125&lt;=Z125,"",(AA125-Y125)/(Y125-Z125)))),"")</f>
        <v/>
      </c>
      <c r="AM125" s="37" t="str">
        <f aca="false">IF(OR(Y125="",Z125="",N(Y125)=N(Z125)),"",IF(OR(AND(F125="Short",Z125&lt;Y125),AND(NOT(F125="Short"),Z125&gt;Y125)),"stop on wrong side",ABS(Y125-Z125)))</f>
        <v/>
      </c>
      <c r="AN125" s="40" t="str">
        <f aca="false">IFERROR(IF(OR(NOT(ISNUMBER(AM125)),$C$6=""),"",ROUNDDOWN($C$6*$C$7/AM125,2)),"")</f>
        <v/>
      </c>
      <c r="AO125" s="37" t="str">
        <f aca="false">IFERROR(IF(AN125="","",AN125*Y125),"")</f>
        <v/>
      </c>
      <c r="AP125" s="35"/>
      <c r="AQ125" s="19"/>
      <c r="AR125" s="26"/>
      <c r="AS125" s="41" t="str">
        <f aca="false">IFERROR(IF(OR(AR125="",Y125="",AQ125=""),"",IF(F125="Short",1-AR125/Y125,AR125/Y125-1)),"")</f>
        <v/>
      </c>
      <c r="AT125" s="42" t="str">
        <f aca="true">IF(AQ125="","",IF(ISNUMBER($C$4),$C$4,TODAY())-AQ125)</f>
        <v/>
      </c>
      <c r="AU125" s="14" t="str">
        <f aca="false">IF(C125="","",IF(AP125="Open position",IF(IF(F125="Short",AND(ISNUMBER(AR125),ISNUMBER(Z125),AR125&gt;=Z125),AND(ISNUMBER(AR125),ISNUMBER(Z125),AR125&lt;=Z125)),IF(F125="Short","COVER — stop hit (buy back)","SELL — stop hit"),IF(IF(F125="Short",AND(ISNUMBER(AR125),ISNUMBER(AA125),AR125&lt;=AA125),AND(ISNUMBER(AR125),ISNUMBER(AA125),AR125&gt;=AA125)),"TAKE PROFIT — target hit",IF(AND(ISNUMBER(AT125),AT125&gt;182),IF(F125="Short","COVER — 6-month time limit","SELL — 6-month time limit"),IF(AND(ISNUMBER(AT125),AT125&gt;42,ISNUMBER(AS125),AS125&lt;0.02),"REVIEW — no progress after 6 weeks",IF(IF(F125="Short",AND(L125&lt;&gt;"",N(L125)&gt;0),AND(L125&lt;&gt;"",N(L125)&lt;0)),IF(F125="Short","REVIEW — back above 50-day avg","REVIEW — below 50-day avg"),"HOLD"))))),IF(OR(AP125="Closed",AP125="Dropped"),"Closed",IF(AK125="A",IF(F125="Short","Run Technical Review — SHORT entry","Run Technical Review — LONG entry"),IF(AK125="B","Watch — wait for setup","Drop or re-check next week")))))</f>
        <v/>
      </c>
      <c r="AV125" s="35"/>
      <c r="AX125" s="43" t="str">
        <f aca="false">IF(AND(C125&lt;&gt;"",A125=$C$4,ISNUMBER(AJ125)),AJ125+ROW()/100000,"")</f>
        <v/>
      </c>
    </row>
    <row r="126" customFormat="false" ht="15" hidden="false" customHeight="false" outlineLevel="0" collapsed="false">
      <c r="A126" s="19"/>
      <c r="B126" s="35"/>
      <c r="C126" s="35"/>
      <c r="D126" s="35"/>
      <c r="E126" s="35"/>
      <c r="F126" s="35"/>
      <c r="G126" s="26"/>
      <c r="H126" s="26"/>
      <c r="I126" s="36"/>
      <c r="J126" s="37" t="str">
        <f aca="false">IF(OR(G126="",I126=""),"",G126*I126/1000000)</f>
        <v/>
      </c>
      <c r="K126" s="21"/>
      <c r="L126" s="21"/>
      <c r="M126" s="21"/>
      <c r="N126" s="25"/>
      <c r="O126" s="21"/>
      <c r="P126" s="21"/>
      <c r="Q126" s="21"/>
      <c r="R126" s="21"/>
      <c r="S126" s="38"/>
      <c r="T126" s="21"/>
      <c r="U126" s="21"/>
      <c r="V126" s="19"/>
      <c r="W126" s="26"/>
      <c r="X126" s="35"/>
      <c r="Y126" s="26"/>
      <c r="Z126" s="26"/>
      <c r="AA126" s="26"/>
      <c r="AB126" s="16" t="str">
        <f aca="false">IF(C126="","",IF(F126="Short",(AND(M126&lt;&gt;"",N(M126)&lt;0))+(AND(L126&lt;&gt;"",N(L126)&lt;0))+(AND(K126&lt;&gt;"",N(K126)&lt;0))+AND(L126&lt;&gt;"",M126&lt;&gt;"",N(M126)&lt;N(L126)),(N(M126)&gt;0)+(N(L126)&gt;0)+(N(K126)&gt;0)+AND(L126&lt;&gt;"",M126&lt;&gt;"",N(M126)&gt;N(L126))))</f>
        <v/>
      </c>
      <c r="AC126" s="16" t="str">
        <f aca="false">IF(C126="","",IF(F126="Short",IF(N126="",0,IF(AND(N126&gt;=30,N126&lt;=50),2,IF(OR(AND(N126&gt;=25,N126&lt;30),AND(N126&gt;50,N126&lt;=60)),1,0)))+IF(P126="",0,IF(AND(IF(B126="JSE",$L$5,$L$4)&lt;&gt;"",P126&lt;IF(B126="JSE",$L$5,$L$4)),2,IF(P126&lt;0,1,0))),IF(N126="",0,IF(AND(N126&gt;=50,N126&lt;=70),2,IF(OR(AND(N126&gt;=40,N126&lt;50),AND(N126&gt;70,N126&lt;=75)),1,0)))+IF(P126="",0,IF(AND(IF(B126="JSE",$L$5,$L$4)&lt;&gt;"",P126&gt;IF(B126="JSE",$L$5,$L$4)),2,IF(P126&gt;0,1,0)))))</f>
        <v/>
      </c>
      <c r="AD126" s="16" t="str">
        <f aca="false">IF(C126="","",IF(F126="Short",IF(R126="",0,IF(R126&lt;=0.1,2,IF(R126&lt;=0.25,1,0))),IF(Q126="",0,IF(Q126&gt;=-0.1,2,IF(Q126&gt;=-0.25,1,0)))))</f>
        <v/>
      </c>
      <c r="AE126" s="16" t="str">
        <f aca="false">IF(C126="","",IF(J126="",0,IF(J126&gt;=IF(B126="JSE",$L$7,$L$6),2,IF(J126&gt;=IF(B126="JSE",$L$7,$L$6)/4,1,0))))</f>
        <v/>
      </c>
      <c r="AF126" s="16" t="str">
        <f aca="false">IF(C126="","",IF(F126="Short",AND(T126&lt;&gt;"",N(T126)&lt;0),N(T126)&gt;0)+(N(S126)&gt;=1.5))</f>
        <v/>
      </c>
      <c r="AG126" s="16" t="str">
        <f aca="false">IF(C126="","",IF(AL126="",0,IF(AL126&gt;=3,4,IF(AL126&gt;=2,2,0))))</f>
        <v/>
      </c>
      <c r="AH126" s="16" t="str">
        <f aca="false">IF(C126="","",IF(AND(ISNUMBER(V126),ISNUMBER(A126),V126&gt;=A126,V126-A126&lt;=14),-2,0))</f>
        <v/>
      </c>
      <c r="AI126" s="16" t="str">
        <f aca="false">IF(C126="","",IF(AND(F126="Short",N(U126)&gt;=0.2),-1,0))</f>
        <v/>
      </c>
      <c r="AJ126" s="23" t="str">
        <f aca="false">IF(C126="","",SUM(AB126:AI126))</f>
        <v/>
      </c>
      <c r="AK126" s="24" t="str">
        <f aca="false">IF(C126="","",IF(AJ126&gt;=14,"A",IF(AJ126&gt;=10,"B","C")))</f>
        <v/>
      </c>
      <c r="AL126" s="39" t="str">
        <f aca="false">IFERROR(IF(OR(Y126="",Z126="",AA126=""),"",IF(F126="Short",IF(Z126&lt;=Y126,"",(Y126-AA126)/(Z126-Y126)),IF(Y126&lt;=Z126,"",(AA126-Y126)/(Y126-Z126)))),"")</f>
        <v/>
      </c>
      <c r="AM126" s="37" t="str">
        <f aca="false">IF(OR(Y126="",Z126="",N(Y126)=N(Z126)),"",IF(OR(AND(F126="Short",Z126&lt;Y126),AND(NOT(F126="Short"),Z126&gt;Y126)),"stop on wrong side",ABS(Y126-Z126)))</f>
        <v/>
      </c>
      <c r="AN126" s="40" t="str">
        <f aca="false">IFERROR(IF(OR(NOT(ISNUMBER(AM126)),$C$6=""),"",ROUNDDOWN($C$6*$C$7/AM126,2)),"")</f>
        <v/>
      </c>
      <c r="AO126" s="37" t="str">
        <f aca="false">IFERROR(IF(AN126="","",AN126*Y126),"")</f>
        <v/>
      </c>
      <c r="AP126" s="35"/>
      <c r="AQ126" s="19"/>
      <c r="AR126" s="26"/>
      <c r="AS126" s="41" t="str">
        <f aca="false">IFERROR(IF(OR(AR126="",Y126="",AQ126=""),"",IF(F126="Short",1-AR126/Y126,AR126/Y126-1)),"")</f>
        <v/>
      </c>
      <c r="AT126" s="42" t="str">
        <f aca="true">IF(AQ126="","",IF(ISNUMBER($C$4),$C$4,TODAY())-AQ126)</f>
        <v/>
      </c>
      <c r="AU126" s="14" t="str">
        <f aca="false">IF(C126="","",IF(AP126="Open position",IF(IF(F126="Short",AND(ISNUMBER(AR126),ISNUMBER(Z126),AR126&gt;=Z126),AND(ISNUMBER(AR126),ISNUMBER(Z126),AR126&lt;=Z126)),IF(F126="Short","COVER — stop hit (buy back)","SELL — stop hit"),IF(IF(F126="Short",AND(ISNUMBER(AR126),ISNUMBER(AA126),AR126&lt;=AA126),AND(ISNUMBER(AR126),ISNUMBER(AA126),AR126&gt;=AA126)),"TAKE PROFIT — target hit",IF(AND(ISNUMBER(AT126),AT126&gt;182),IF(F126="Short","COVER — 6-month time limit","SELL — 6-month time limit"),IF(AND(ISNUMBER(AT126),AT126&gt;42,ISNUMBER(AS126),AS126&lt;0.02),"REVIEW — no progress after 6 weeks",IF(IF(F126="Short",AND(L126&lt;&gt;"",N(L126)&gt;0),AND(L126&lt;&gt;"",N(L126)&lt;0)),IF(F126="Short","REVIEW — back above 50-day avg","REVIEW — below 50-day avg"),"HOLD"))))),IF(OR(AP126="Closed",AP126="Dropped"),"Closed",IF(AK126="A",IF(F126="Short","Run Technical Review — SHORT entry","Run Technical Review — LONG entry"),IF(AK126="B","Watch — wait for setup","Drop or re-check next week")))))</f>
        <v/>
      </c>
      <c r="AV126" s="35"/>
      <c r="AX126" s="43" t="str">
        <f aca="false">IF(AND(C126&lt;&gt;"",A126=$C$4,ISNUMBER(AJ126)),AJ126+ROW()/100000,"")</f>
        <v/>
      </c>
    </row>
    <row r="127" customFormat="false" ht="15" hidden="false" customHeight="false" outlineLevel="0" collapsed="false">
      <c r="A127" s="19"/>
      <c r="B127" s="35"/>
      <c r="C127" s="35"/>
      <c r="D127" s="35"/>
      <c r="E127" s="35"/>
      <c r="F127" s="35"/>
      <c r="G127" s="26"/>
      <c r="H127" s="26"/>
      <c r="I127" s="36"/>
      <c r="J127" s="37" t="str">
        <f aca="false">IF(OR(G127="",I127=""),"",G127*I127/1000000)</f>
        <v/>
      </c>
      <c r="K127" s="21"/>
      <c r="L127" s="21"/>
      <c r="M127" s="21"/>
      <c r="N127" s="25"/>
      <c r="O127" s="21"/>
      <c r="P127" s="21"/>
      <c r="Q127" s="21"/>
      <c r="R127" s="21"/>
      <c r="S127" s="38"/>
      <c r="T127" s="21"/>
      <c r="U127" s="21"/>
      <c r="V127" s="19"/>
      <c r="W127" s="26"/>
      <c r="X127" s="35"/>
      <c r="Y127" s="26"/>
      <c r="Z127" s="26"/>
      <c r="AA127" s="26"/>
      <c r="AB127" s="16" t="str">
        <f aca="false">IF(C127="","",IF(F127="Short",(AND(M127&lt;&gt;"",N(M127)&lt;0))+(AND(L127&lt;&gt;"",N(L127)&lt;0))+(AND(K127&lt;&gt;"",N(K127)&lt;0))+AND(L127&lt;&gt;"",M127&lt;&gt;"",N(M127)&lt;N(L127)),(N(M127)&gt;0)+(N(L127)&gt;0)+(N(K127)&gt;0)+AND(L127&lt;&gt;"",M127&lt;&gt;"",N(M127)&gt;N(L127))))</f>
        <v/>
      </c>
      <c r="AC127" s="16" t="str">
        <f aca="false">IF(C127="","",IF(F127="Short",IF(N127="",0,IF(AND(N127&gt;=30,N127&lt;=50),2,IF(OR(AND(N127&gt;=25,N127&lt;30),AND(N127&gt;50,N127&lt;=60)),1,0)))+IF(P127="",0,IF(AND(IF(B127="JSE",$L$5,$L$4)&lt;&gt;"",P127&lt;IF(B127="JSE",$L$5,$L$4)),2,IF(P127&lt;0,1,0))),IF(N127="",0,IF(AND(N127&gt;=50,N127&lt;=70),2,IF(OR(AND(N127&gt;=40,N127&lt;50),AND(N127&gt;70,N127&lt;=75)),1,0)))+IF(P127="",0,IF(AND(IF(B127="JSE",$L$5,$L$4)&lt;&gt;"",P127&gt;IF(B127="JSE",$L$5,$L$4)),2,IF(P127&gt;0,1,0)))))</f>
        <v/>
      </c>
      <c r="AD127" s="16" t="str">
        <f aca="false">IF(C127="","",IF(F127="Short",IF(R127="",0,IF(R127&lt;=0.1,2,IF(R127&lt;=0.25,1,0))),IF(Q127="",0,IF(Q127&gt;=-0.1,2,IF(Q127&gt;=-0.25,1,0)))))</f>
        <v/>
      </c>
      <c r="AE127" s="16" t="str">
        <f aca="false">IF(C127="","",IF(J127="",0,IF(J127&gt;=IF(B127="JSE",$L$7,$L$6),2,IF(J127&gt;=IF(B127="JSE",$L$7,$L$6)/4,1,0))))</f>
        <v/>
      </c>
      <c r="AF127" s="16" t="str">
        <f aca="false">IF(C127="","",IF(F127="Short",AND(T127&lt;&gt;"",N(T127)&lt;0),N(T127)&gt;0)+(N(S127)&gt;=1.5))</f>
        <v/>
      </c>
      <c r="AG127" s="16" t="str">
        <f aca="false">IF(C127="","",IF(AL127="",0,IF(AL127&gt;=3,4,IF(AL127&gt;=2,2,0))))</f>
        <v/>
      </c>
      <c r="AH127" s="16" t="str">
        <f aca="false">IF(C127="","",IF(AND(ISNUMBER(V127),ISNUMBER(A127),V127&gt;=A127,V127-A127&lt;=14),-2,0))</f>
        <v/>
      </c>
      <c r="AI127" s="16" t="str">
        <f aca="false">IF(C127="","",IF(AND(F127="Short",N(U127)&gt;=0.2),-1,0))</f>
        <v/>
      </c>
      <c r="AJ127" s="23" t="str">
        <f aca="false">IF(C127="","",SUM(AB127:AI127))</f>
        <v/>
      </c>
      <c r="AK127" s="24" t="str">
        <f aca="false">IF(C127="","",IF(AJ127&gt;=14,"A",IF(AJ127&gt;=10,"B","C")))</f>
        <v/>
      </c>
      <c r="AL127" s="39" t="str">
        <f aca="false">IFERROR(IF(OR(Y127="",Z127="",AA127=""),"",IF(F127="Short",IF(Z127&lt;=Y127,"",(Y127-AA127)/(Z127-Y127)),IF(Y127&lt;=Z127,"",(AA127-Y127)/(Y127-Z127)))),"")</f>
        <v/>
      </c>
      <c r="AM127" s="37" t="str">
        <f aca="false">IF(OR(Y127="",Z127="",N(Y127)=N(Z127)),"",IF(OR(AND(F127="Short",Z127&lt;Y127),AND(NOT(F127="Short"),Z127&gt;Y127)),"stop on wrong side",ABS(Y127-Z127)))</f>
        <v/>
      </c>
      <c r="AN127" s="40" t="str">
        <f aca="false">IFERROR(IF(OR(NOT(ISNUMBER(AM127)),$C$6=""),"",ROUNDDOWN($C$6*$C$7/AM127,2)),"")</f>
        <v/>
      </c>
      <c r="AO127" s="37" t="str">
        <f aca="false">IFERROR(IF(AN127="","",AN127*Y127),"")</f>
        <v/>
      </c>
      <c r="AP127" s="35"/>
      <c r="AQ127" s="19"/>
      <c r="AR127" s="26"/>
      <c r="AS127" s="41" t="str">
        <f aca="false">IFERROR(IF(OR(AR127="",Y127="",AQ127=""),"",IF(F127="Short",1-AR127/Y127,AR127/Y127-1)),"")</f>
        <v/>
      </c>
      <c r="AT127" s="42" t="str">
        <f aca="true">IF(AQ127="","",IF(ISNUMBER($C$4),$C$4,TODAY())-AQ127)</f>
        <v/>
      </c>
      <c r="AU127" s="14" t="str">
        <f aca="false">IF(C127="","",IF(AP127="Open position",IF(IF(F127="Short",AND(ISNUMBER(AR127),ISNUMBER(Z127),AR127&gt;=Z127),AND(ISNUMBER(AR127),ISNUMBER(Z127),AR127&lt;=Z127)),IF(F127="Short","COVER — stop hit (buy back)","SELL — stop hit"),IF(IF(F127="Short",AND(ISNUMBER(AR127),ISNUMBER(AA127),AR127&lt;=AA127),AND(ISNUMBER(AR127),ISNUMBER(AA127),AR127&gt;=AA127)),"TAKE PROFIT — target hit",IF(AND(ISNUMBER(AT127),AT127&gt;182),IF(F127="Short","COVER — 6-month time limit","SELL — 6-month time limit"),IF(AND(ISNUMBER(AT127),AT127&gt;42,ISNUMBER(AS127),AS127&lt;0.02),"REVIEW — no progress after 6 weeks",IF(IF(F127="Short",AND(L127&lt;&gt;"",N(L127)&gt;0),AND(L127&lt;&gt;"",N(L127)&lt;0)),IF(F127="Short","REVIEW — back above 50-day avg","REVIEW — below 50-day avg"),"HOLD"))))),IF(OR(AP127="Closed",AP127="Dropped"),"Closed",IF(AK127="A",IF(F127="Short","Run Technical Review — SHORT entry","Run Technical Review — LONG entry"),IF(AK127="B","Watch — wait for setup","Drop or re-check next week")))))</f>
        <v/>
      </c>
      <c r="AV127" s="35"/>
      <c r="AX127" s="43" t="str">
        <f aca="false">IF(AND(C127&lt;&gt;"",A127=$C$4,ISNUMBER(AJ127)),AJ127+ROW()/100000,"")</f>
        <v/>
      </c>
    </row>
    <row r="128" customFormat="false" ht="15" hidden="false" customHeight="false" outlineLevel="0" collapsed="false">
      <c r="A128" s="19"/>
      <c r="B128" s="35"/>
      <c r="C128" s="35"/>
      <c r="D128" s="35"/>
      <c r="E128" s="35"/>
      <c r="F128" s="35"/>
      <c r="G128" s="26"/>
      <c r="H128" s="26"/>
      <c r="I128" s="36"/>
      <c r="J128" s="37" t="str">
        <f aca="false">IF(OR(G128="",I128=""),"",G128*I128/1000000)</f>
        <v/>
      </c>
      <c r="K128" s="21"/>
      <c r="L128" s="21"/>
      <c r="M128" s="21"/>
      <c r="N128" s="25"/>
      <c r="O128" s="21"/>
      <c r="P128" s="21"/>
      <c r="Q128" s="21"/>
      <c r="R128" s="21"/>
      <c r="S128" s="38"/>
      <c r="T128" s="21"/>
      <c r="U128" s="21"/>
      <c r="V128" s="19"/>
      <c r="W128" s="26"/>
      <c r="X128" s="35"/>
      <c r="Y128" s="26"/>
      <c r="Z128" s="26"/>
      <c r="AA128" s="26"/>
      <c r="AB128" s="16" t="str">
        <f aca="false">IF(C128="","",IF(F128="Short",(AND(M128&lt;&gt;"",N(M128)&lt;0))+(AND(L128&lt;&gt;"",N(L128)&lt;0))+(AND(K128&lt;&gt;"",N(K128)&lt;0))+AND(L128&lt;&gt;"",M128&lt;&gt;"",N(M128)&lt;N(L128)),(N(M128)&gt;0)+(N(L128)&gt;0)+(N(K128)&gt;0)+AND(L128&lt;&gt;"",M128&lt;&gt;"",N(M128)&gt;N(L128))))</f>
        <v/>
      </c>
      <c r="AC128" s="16" t="str">
        <f aca="false">IF(C128="","",IF(F128="Short",IF(N128="",0,IF(AND(N128&gt;=30,N128&lt;=50),2,IF(OR(AND(N128&gt;=25,N128&lt;30),AND(N128&gt;50,N128&lt;=60)),1,0)))+IF(P128="",0,IF(AND(IF(B128="JSE",$L$5,$L$4)&lt;&gt;"",P128&lt;IF(B128="JSE",$L$5,$L$4)),2,IF(P128&lt;0,1,0))),IF(N128="",0,IF(AND(N128&gt;=50,N128&lt;=70),2,IF(OR(AND(N128&gt;=40,N128&lt;50),AND(N128&gt;70,N128&lt;=75)),1,0)))+IF(P128="",0,IF(AND(IF(B128="JSE",$L$5,$L$4)&lt;&gt;"",P128&gt;IF(B128="JSE",$L$5,$L$4)),2,IF(P128&gt;0,1,0)))))</f>
        <v/>
      </c>
      <c r="AD128" s="16" t="str">
        <f aca="false">IF(C128="","",IF(F128="Short",IF(R128="",0,IF(R128&lt;=0.1,2,IF(R128&lt;=0.25,1,0))),IF(Q128="",0,IF(Q128&gt;=-0.1,2,IF(Q128&gt;=-0.25,1,0)))))</f>
        <v/>
      </c>
      <c r="AE128" s="16" t="str">
        <f aca="false">IF(C128="","",IF(J128="",0,IF(J128&gt;=IF(B128="JSE",$L$7,$L$6),2,IF(J128&gt;=IF(B128="JSE",$L$7,$L$6)/4,1,0))))</f>
        <v/>
      </c>
      <c r="AF128" s="16" t="str">
        <f aca="false">IF(C128="","",IF(F128="Short",AND(T128&lt;&gt;"",N(T128)&lt;0),N(T128)&gt;0)+(N(S128)&gt;=1.5))</f>
        <v/>
      </c>
      <c r="AG128" s="16" t="str">
        <f aca="false">IF(C128="","",IF(AL128="",0,IF(AL128&gt;=3,4,IF(AL128&gt;=2,2,0))))</f>
        <v/>
      </c>
      <c r="AH128" s="16" t="str">
        <f aca="false">IF(C128="","",IF(AND(ISNUMBER(V128),ISNUMBER(A128),V128&gt;=A128,V128-A128&lt;=14),-2,0))</f>
        <v/>
      </c>
      <c r="AI128" s="16" t="str">
        <f aca="false">IF(C128="","",IF(AND(F128="Short",N(U128)&gt;=0.2),-1,0))</f>
        <v/>
      </c>
      <c r="AJ128" s="23" t="str">
        <f aca="false">IF(C128="","",SUM(AB128:AI128))</f>
        <v/>
      </c>
      <c r="AK128" s="24" t="str">
        <f aca="false">IF(C128="","",IF(AJ128&gt;=14,"A",IF(AJ128&gt;=10,"B","C")))</f>
        <v/>
      </c>
      <c r="AL128" s="39" t="str">
        <f aca="false">IFERROR(IF(OR(Y128="",Z128="",AA128=""),"",IF(F128="Short",IF(Z128&lt;=Y128,"",(Y128-AA128)/(Z128-Y128)),IF(Y128&lt;=Z128,"",(AA128-Y128)/(Y128-Z128)))),"")</f>
        <v/>
      </c>
      <c r="AM128" s="37" t="str">
        <f aca="false">IF(OR(Y128="",Z128="",N(Y128)=N(Z128)),"",IF(OR(AND(F128="Short",Z128&lt;Y128),AND(NOT(F128="Short"),Z128&gt;Y128)),"stop on wrong side",ABS(Y128-Z128)))</f>
        <v/>
      </c>
      <c r="AN128" s="40" t="str">
        <f aca="false">IFERROR(IF(OR(NOT(ISNUMBER(AM128)),$C$6=""),"",ROUNDDOWN($C$6*$C$7/AM128,2)),"")</f>
        <v/>
      </c>
      <c r="AO128" s="37" t="str">
        <f aca="false">IFERROR(IF(AN128="","",AN128*Y128),"")</f>
        <v/>
      </c>
      <c r="AP128" s="35"/>
      <c r="AQ128" s="19"/>
      <c r="AR128" s="26"/>
      <c r="AS128" s="41" t="str">
        <f aca="false">IFERROR(IF(OR(AR128="",Y128="",AQ128=""),"",IF(F128="Short",1-AR128/Y128,AR128/Y128-1)),"")</f>
        <v/>
      </c>
      <c r="AT128" s="42" t="str">
        <f aca="true">IF(AQ128="","",IF(ISNUMBER($C$4),$C$4,TODAY())-AQ128)</f>
        <v/>
      </c>
      <c r="AU128" s="14" t="str">
        <f aca="false">IF(C128="","",IF(AP128="Open position",IF(IF(F128="Short",AND(ISNUMBER(AR128),ISNUMBER(Z128),AR128&gt;=Z128),AND(ISNUMBER(AR128),ISNUMBER(Z128),AR128&lt;=Z128)),IF(F128="Short","COVER — stop hit (buy back)","SELL — stop hit"),IF(IF(F128="Short",AND(ISNUMBER(AR128),ISNUMBER(AA128),AR128&lt;=AA128),AND(ISNUMBER(AR128),ISNUMBER(AA128),AR128&gt;=AA128)),"TAKE PROFIT — target hit",IF(AND(ISNUMBER(AT128),AT128&gt;182),IF(F128="Short","COVER — 6-month time limit","SELL — 6-month time limit"),IF(AND(ISNUMBER(AT128),AT128&gt;42,ISNUMBER(AS128),AS128&lt;0.02),"REVIEW — no progress after 6 weeks",IF(IF(F128="Short",AND(L128&lt;&gt;"",N(L128)&gt;0),AND(L128&lt;&gt;"",N(L128)&lt;0)),IF(F128="Short","REVIEW — back above 50-day avg","REVIEW — below 50-day avg"),"HOLD"))))),IF(OR(AP128="Closed",AP128="Dropped"),"Closed",IF(AK128="A",IF(F128="Short","Run Technical Review — SHORT entry","Run Technical Review — LONG entry"),IF(AK128="B","Watch — wait for setup","Drop or re-check next week")))))</f>
        <v/>
      </c>
      <c r="AV128" s="35"/>
      <c r="AX128" s="43" t="str">
        <f aca="false">IF(AND(C128&lt;&gt;"",A128=$C$4,ISNUMBER(AJ128)),AJ128+ROW()/100000,"")</f>
        <v/>
      </c>
    </row>
    <row r="129" customFormat="false" ht="15" hidden="false" customHeight="false" outlineLevel="0" collapsed="false">
      <c r="A129" s="19"/>
      <c r="B129" s="35"/>
      <c r="C129" s="35"/>
      <c r="D129" s="35"/>
      <c r="E129" s="35"/>
      <c r="F129" s="35"/>
      <c r="G129" s="26"/>
      <c r="H129" s="26"/>
      <c r="I129" s="36"/>
      <c r="J129" s="37" t="str">
        <f aca="false">IF(OR(G129="",I129=""),"",G129*I129/1000000)</f>
        <v/>
      </c>
      <c r="K129" s="21"/>
      <c r="L129" s="21"/>
      <c r="M129" s="21"/>
      <c r="N129" s="25"/>
      <c r="O129" s="21"/>
      <c r="P129" s="21"/>
      <c r="Q129" s="21"/>
      <c r="R129" s="21"/>
      <c r="S129" s="38"/>
      <c r="T129" s="21"/>
      <c r="U129" s="21"/>
      <c r="V129" s="19"/>
      <c r="W129" s="26"/>
      <c r="X129" s="35"/>
      <c r="Y129" s="26"/>
      <c r="Z129" s="26"/>
      <c r="AA129" s="26"/>
      <c r="AB129" s="16" t="str">
        <f aca="false">IF(C129="","",IF(F129="Short",(AND(M129&lt;&gt;"",N(M129)&lt;0))+(AND(L129&lt;&gt;"",N(L129)&lt;0))+(AND(K129&lt;&gt;"",N(K129)&lt;0))+AND(L129&lt;&gt;"",M129&lt;&gt;"",N(M129)&lt;N(L129)),(N(M129)&gt;0)+(N(L129)&gt;0)+(N(K129)&gt;0)+AND(L129&lt;&gt;"",M129&lt;&gt;"",N(M129)&gt;N(L129))))</f>
        <v/>
      </c>
      <c r="AC129" s="16" t="str">
        <f aca="false">IF(C129="","",IF(F129="Short",IF(N129="",0,IF(AND(N129&gt;=30,N129&lt;=50),2,IF(OR(AND(N129&gt;=25,N129&lt;30),AND(N129&gt;50,N129&lt;=60)),1,0)))+IF(P129="",0,IF(AND(IF(B129="JSE",$L$5,$L$4)&lt;&gt;"",P129&lt;IF(B129="JSE",$L$5,$L$4)),2,IF(P129&lt;0,1,0))),IF(N129="",0,IF(AND(N129&gt;=50,N129&lt;=70),2,IF(OR(AND(N129&gt;=40,N129&lt;50),AND(N129&gt;70,N129&lt;=75)),1,0)))+IF(P129="",0,IF(AND(IF(B129="JSE",$L$5,$L$4)&lt;&gt;"",P129&gt;IF(B129="JSE",$L$5,$L$4)),2,IF(P129&gt;0,1,0)))))</f>
        <v/>
      </c>
      <c r="AD129" s="16" t="str">
        <f aca="false">IF(C129="","",IF(F129="Short",IF(R129="",0,IF(R129&lt;=0.1,2,IF(R129&lt;=0.25,1,0))),IF(Q129="",0,IF(Q129&gt;=-0.1,2,IF(Q129&gt;=-0.25,1,0)))))</f>
        <v/>
      </c>
      <c r="AE129" s="16" t="str">
        <f aca="false">IF(C129="","",IF(J129="",0,IF(J129&gt;=IF(B129="JSE",$L$7,$L$6),2,IF(J129&gt;=IF(B129="JSE",$L$7,$L$6)/4,1,0))))</f>
        <v/>
      </c>
      <c r="AF129" s="16" t="str">
        <f aca="false">IF(C129="","",IF(F129="Short",AND(T129&lt;&gt;"",N(T129)&lt;0),N(T129)&gt;0)+(N(S129)&gt;=1.5))</f>
        <v/>
      </c>
      <c r="AG129" s="16" t="str">
        <f aca="false">IF(C129="","",IF(AL129="",0,IF(AL129&gt;=3,4,IF(AL129&gt;=2,2,0))))</f>
        <v/>
      </c>
      <c r="AH129" s="16" t="str">
        <f aca="false">IF(C129="","",IF(AND(ISNUMBER(V129),ISNUMBER(A129),V129&gt;=A129,V129-A129&lt;=14),-2,0))</f>
        <v/>
      </c>
      <c r="AI129" s="16" t="str">
        <f aca="false">IF(C129="","",IF(AND(F129="Short",N(U129)&gt;=0.2),-1,0))</f>
        <v/>
      </c>
      <c r="AJ129" s="23" t="str">
        <f aca="false">IF(C129="","",SUM(AB129:AI129))</f>
        <v/>
      </c>
      <c r="AK129" s="24" t="str">
        <f aca="false">IF(C129="","",IF(AJ129&gt;=14,"A",IF(AJ129&gt;=10,"B","C")))</f>
        <v/>
      </c>
      <c r="AL129" s="39" t="str">
        <f aca="false">IFERROR(IF(OR(Y129="",Z129="",AA129=""),"",IF(F129="Short",IF(Z129&lt;=Y129,"",(Y129-AA129)/(Z129-Y129)),IF(Y129&lt;=Z129,"",(AA129-Y129)/(Y129-Z129)))),"")</f>
        <v/>
      </c>
      <c r="AM129" s="37" t="str">
        <f aca="false">IF(OR(Y129="",Z129="",N(Y129)=N(Z129)),"",IF(OR(AND(F129="Short",Z129&lt;Y129),AND(NOT(F129="Short"),Z129&gt;Y129)),"stop on wrong side",ABS(Y129-Z129)))</f>
        <v/>
      </c>
      <c r="AN129" s="40" t="str">
        <f aca="false">IFERROR(IF(OR(NOT(ISNUMBER(AM129)),$C$6=""),"",ROUNDDOWN($C$6*$C$7/AM129,2)),"")</f>
        <v/>
      </c>
      <c r="AO129" s="37" t="str">
        <f aca="false">IFERROR(IF(AN129="","",AN129*Y129),"")</f>
        <v/>
      </c>
      <c r="AP129" s="35"/>
      <c r="AQ129" s="19"/>
      <c r="AR129" s="26"/>
      <c r="AS129" s="41" t="str">
        <f aca="false">IFERROR(IF(OR(AR129="",Y129="",AQ129=""),"",IF(F129="Short",1-AR129/Y129,AR129/Y129-1)),"")</f>
        <v/>
      </c>
      <c r="AT129" s="42" t="str">
        <f aca="true">IF(AQ129="","",IF(ISNUMBER($C$4),$C$4,TODAY())-AQ129)</f>
        <v/>
      </c>
      <c r="AU129" s="14" t="str">
        <f aca="false">IF(C129="","",IF(AP129="Open position",IF(IF(F129="Short",AND(ISNUMBER(AR129),ISNUMBER(Z129),AR129&gt;=Z129),AND(ISNUMBER(AR129),ISNUMBER(Z129),AR129&lt;=Z129)),IF(F129="Short","COVER — stop hit (buy back)","SELL — stop hit"),IF(IF(F129="Short",AND(ISNUMBER(AR129),ISNUMBER(AA129),AR129&lt;=AA129),AND(ISNUMBER(AR129),ISNUMBER(AA129),AR129&gt;=AA129)),"TAKE PROFIT — target hit",IF(AND(ISNUMBER(AT129),AT129&gt;182),IF(F129="Short","COVER — 6-month time limit","SELL — 6-month time limit"),IF(AND(ISNUMBER(AT129),AT129&gt;42,ISNUMBER(AS129),AS129&lt;0.02),"REVIEW — no progress after 6 weeks",IF(IF(F129="Short",AND(L129&lt;&gt;"",N(L129)&gt;0),AND(L129&lt;&gt;"",N(L129)&lt;0)),IF(F129="Short","REVIEW — back above 50-day avg","REVIEW — below 50-day avg"),"HOLD"))))),IF(OR(AP129="Closed",AP129="Dropped"),"Closed",IF(AK129="A",IF(F129="Short","Run Technical Review — SHORT entry","Run Technical Review — LONG entry"),IF(AK129="B","Watch — wait for setup","Drop or re-check next week")))))</f>
        <v/>
      </c>
      <c r="AV129" s="35"/>
      <c r="AX129" s="43" t="str">
        <f aca="false">IF(AND(C129&lt;&gt;"",A129=$C$4,ISNUMBER(AJ129)),AJ129+ROW()/100000,"")</f>
        <v/>
      </c>
    </row>
    <row r="130" customFormat="false" ht="15" hidden="false" customHeight="false" outlineLevel="0" collapsed="false">
      <c r="A130" s="19"/>
      <c r="B130" s="35"/>
      <c r="C130" s="35"/>
      <c r="D130" s="35"/>
      <c r="E130" s="35"/>
      <c r="F130" s="35"/>
      <c r="G130" s="26"/>
      <c r="H130" s="26"/>
      <c r="I130" s="36"/>
      <c r="J130" s="37" t="str">
        <f aca="false">IF(OR(G130="",I130=""),"",G130*I130/1000000)</f>
        <v/>
      </c>
      <c r="K130" s="21"/>
      <c r="L130" s="21"/>
      <c r="M130" s="21"/>
      <c r="N130" s="25"/>
      <c r="O130" s="21"/>
      <c r="P130" s="21"/>
      <c r="Q130" s="21"/>
      <c r="R130" s="21"/>
      <c r="S130" s="38"/>
      <c r="T130" s="21"/>
      <c r="U130" s="21"/>
      <c r="V130" s="19"/>
      <c r="W130" s="26"/>
      <c r="X130" s="35"/>
      <c r="Y130" s="26"/>
      <c r="Z130" s="26"/>
      <c r="AA130" s="26"/>
      <c r="AB130" s="16" t="str">
        <f aca="false">IF(C130="","",IF(F130="Short",(AND(M130&lt;&gt;"",N(M130)&lt;0))+(AND(L130&lt;&gt;"",N(L130)&lt;0))+(AND(K130&lt;&gt;"",N(K130)&lt;0))+AND(L130&lt;&gt;"",M130&lt;&gt;"",N(M130)&lt;N(L130)),(N(M130)&gt;0)+(N(L130)&gt;0)+(N(K130)&gt;0)+AND(L130&lt;&gt;"",M130&lt;&gt;"",N(M130)&gt;N(L130))))</f>
        <v/>
      </c>
      <c r="AC130" s="16" t="str">
        <f aca="false">IF(C130="","",IF(F130="Short",IF(N130="",0,IF(AND(N130&gt;=30,N130&lt;=50),2,IF(OR(AND(N130&gt;=25,N130&lt;30),AND(N130&gt;50,N130&lt;=60)),1,0)))+IF(P130="",0,IF(AND(IF(B130="JSE",$L$5,$L$4)&lt;&gt;"",P130&lt;IF(B130="JSE",$L$5,$L$4)),2,IF(P130&lt;0,1,0))),IF(N130="",0,IF(AND(N130&gt;=50,N130&lt;=70),2,IF(OR(AND(N130&gt;=40,N130&lt;50),AND(N130&gt;70,N130&lt;=75)),1,0)))+IF(P130="",0,IF(AND(IF(B130="JSE",$L$5,$L$4)&lt;&gt;"",P130&gt;IF(B130="JSE",$L$5,$L$4)),2,IF(P130&gt;0,1,0)))))</f>
        <v/>
      </c>
      <c r="AD130" s="16" t="str">
        <f aca="false">IF(C130="","",IF(F130="Short",IF(R130="",0,IF(R130&lt;=0.1,2,IF(R130&lt;=0.25,1,0))),IF(Q130="",0,IF(Q130&gt;=-0.1,2,IF(Q130&gt;=-0.25,1,0)))))</f>
        <v/>
      </c>
      <c r="AE130" s="16" t="str">
        <f aca="false">IF(C130="","",IF(J130="",0,IF(J130&gt;=IF(B130="JSE",$L$7,$L$6),2,IF(J130&gt;=IF(B130="JSE",$L$7,$L$6)/4,1,0))))</f>
        <v/>
      </c>
      <c r="AF130" s="16" t="str">
        <f aca="false">IF(C130="","",IF(F130="Short",AND(T130&lt;&gt;"",N(T130)&lt;0),N(T130)&gt;0)+(N(S130)&gt;=1.5))</f>
        <v/>
      </c>
      <c r="AG130" s="16" t="str">
        <f aca="false">IF(C130="","",IF(AL130="",0,IF(AL130&gt;=3,4,IF(AL130&gt;=2,2,0))))</f>
        <v/>
      </c>
      <c r="AH130" s="16" t="str">
        <f aca="false">IF(C130="","",IF(AND(ISNUMBER(V130),ISNUMBER(A130),V130&gt;=A130,V130-A130&lt;=14),-2,0))</f>
        <v/>
      </c>
      <c r="AI130" s="16" t="str">
        <f aca="false">IF(C130="","",IF(AND(F130="Short",N(U130)&gt;=0.2),-1,0))</f>
        <v/>
      </c>
      <c r="AJ130" s="23" t="str">
        <f aca="false">IF(C130="","",SUM(AB130:AI130))</f>
        <v/>
      </c>
      <c r="AK130" s="24" t="str">
        <f aca="false">IF(C130="","",IF(AJ130&gt;=14,"A",IF(AJ130&gt;=10,"B","C")))</f>
        <v/>
      </c>
      <c r="AL130" s="39" t="str">
        <f aca="false">IFERROR(IF(OR(Y130="",Z130="",AA130=""),"",IF(F130="Short",IF(Z130&lt;=Y130,"",(Y130-AA130)/(Z130-Y130)),IF(Y130&lt;=Z130,"",(AA130-Y130)/(Y130-Z130)))),"")</f>
        <v/>
      </c>
      <c r="AM130" s="37" t="str">
        <f aca="false">IF(OR(Y130="",Z130="",N(Y130)=N(Z130)),"",IF(OR(AND(F130="Short",Z130&lt;Y130),AND(NOT(F130="Short"),Z130&gt;Y130)),"stop on wrong side",ABS(Y130-Z130)))</f>
        <v/>
      </c>
      <c r="AN130" s="40" t="str">
        <f aca="false">IFERROR(IF(OR(NOT(ISNUMBER(AM130)),$C$6=""),"",ROUNDDOWN($C$6*$C$7/AM130,2)),"")</f>
        <v/>
      </c>
      <c r="AO130" s="37" t="str">
        <f aca="false">IFERROR(IF(AN130="","",AN130*Y130),"")</f>
        <v/>
      </c>
      <c r="AP130" s="35"/>
      <c r="AQ130" s="19"/>
      <c r="AR130" s="26"/>
      <c r="AS130" s="41" t="str">
        <f aca="false">IFERROR(IF(OR(AR130="",Y130="",AQ130=""),"",IF(F130="Short",1-AR130/Y130,AR130/Y130-1)),"")</f>
        <v/>
      </c>
      <c r="AT130" s="42" t="str">
        <f aca="true">IF(AQ130="","",IF(ISNUMBER($C$4),$C$4,TODAY())-AQ130)</f>
        <v/>
      </c>
      <c r="AU130" s="14" t="str">
        <f aca="false">IF(C130="","",IF(AP130="Open position",IF(IF(F130="Short",AND(ISNUMBER(AR130),ISNUMBER(Z130),AR130&gt;=Z130),AND(ISNUMBER(AR130),ISNUMBER(Z130),AR130&lt;=Z130)),IF(F130="Short","COVER — stop hit (buy back)","SELL — stop hit"),IF(IF(F130="Short",AND(ISNUMBER(AR130),ISNUMBER(AA130),AR130&lt;=AA130),AND(ISNUMBER(AR130),ISNUMBER(AA130),AR130&gt;=AA130)),"TAKE PROFIT — target hit",IF(AND(ISNUMBER(AT130),AT130&gt;182),IF(F130="Short","COVER — 6-month time limit","SELL — 6-month time limit"),IF(AND(ISNUMBER(AT130),AT130&gt;42,ISNUMBER(AS130),AS130&lt;0.02),"REVIEW — no progress after 6 weeks",IF(IF(F130="Short",AND(L130&lt;&gt;"",N(L130)&gt;0),AND(L130&lt;&gt;"",N(L130)&lt;0)),IF(F130="Short","REVIEW — back above 50-day avg","REVIEW — below 50-day avg"),"HOLD"))))),IF(OR(AP130="Closed",AP130="Dropped"),"Closed",IF(AK130="A",IF(F130="Short","Run Technical Review — SHORT entry","Run Technical Review — LONG entry"),IF(AK130="B","Watch — wait for setup","Drop or re-check next week")))))</f>
        <v/>
      </c>
      <c r="AV130" s="35"/>
      <c r="AX130" s="43" t="str">
        <f aca="false">IF(AND(C130&lt;&gt;"",A130=$C$4,ISNUMBER(AJ130)),AJ130+ROW()/100000,"")</f>
        <v/>
      </c>
    </row>
    <row r="131" customFormat="false" ht="15" hidden="false" customHeight="false" outlineLevel="0" collapsed="false">
      <c r="A131" s="19"/>
      <c r="B131" s="35"/>
      <c r="C131" s="35"/>
      <c r="D131" s="35"/>
      <c r="E131" s="35"/>
      <c r="F131" s="35"/>
      <c r="G131" s="26"/>
      <c r="H131" s="26"/>
      <c r="I131" s="36"/>
      <c r="J131" s="37" t="str">
        <f aca="false">IF(OR(G131="",I131=""),"",G131*I131/1000000)</f>
        <v/>
      </c>
      <c r="K131" s="21"/>
      <c r="L131" s="21"/>
      <c r="M131" s="21"/>
      <c r="N131" s="25"/>
      <c r="O131" s="21"/>
      <c r="P131" s="21"/>
      <c r="Q131" s="21"/>
      <c r="R131" s="21"/>
      <c r="S131" s="38"/>
      <c r="T131" s="21"/>
      <c r="U131" s="21"/>
      <c r="V131" s="19"/>
      <c r="W131" s="26"/>
      <c r="X131" s="35"/>
      <c r="Y131" s="26"/>
      <c r="Z131" s="26"/>
      <c r="AA131" s="26"/>
      <c r="AB131" s="16" t="str">
        <f aca="false">IF(C131="","",IF(F131="Short",(AND(M131&lt;&gt;"",N(M131)&lt;0))+(AND(L131&lt;&gt;"",N(L131)&lt;0))+(AND(K131&lt;&gt;"",N(K131)&lt;0))+AND(L131&lt;&gt;"",M131&lt;&gt;"",N(M131)&lt;N(L131)),(N(M131)&gt;0)+(N(L131)&gt;0)+(N(K131)&gt;0)+AND(L131&lt;&gt;"",M131&lt;&gt;"",N(M131)&gt;N(L131))))</f>
        <v/>
      </c>
      <c r="AC131" s="16" t="str">
        <f aca="false">IF(C131="","",IF(F131="Short",IF(N131="",0,IF(AND(N131&gt;=30,N131&lt;=50),2,IF(OR(AND(N131&gt;=25,N131&lt;30),AND(N131&gt;50,N131&lt;=60)),1,0)))+IF(P131="",0,IF(AND(IF(B131="JSE",$L$5,$L$4)&lt;&gt;"",P131&lt;IF(B131="JSE",$L$5,$L$4)),2,IF(P131&lt;0,1,0))),IF(N131="",0,IF(AND(N131&gt;=50,N131&lt;=70),2,IF(OR(AND(N131&gt;=40,N131&lt;50),AND(N131&gt;70,N131&lt;=75)),1,0)))+IF(P131="",0,IF(AND(IF(B131="JSE",$L$5,$L$4)&lt;&gt;"",P131&gt;IF(B131="JSE",$L$5,$L$4)),2,IF(P131&gt;0,1,0)))))</f>
        <v/>
      </c>
      <c r="AD131" s="16" t="str">
        <f aca="false">IF(C131="","",IF(F131="Short",IF(R131="",0,IF(R131&lt;=0.1,2,IF(R131&lt;=0.25,1,0))),IF(Q131="",0,IF(Q131&gt;=-0.1,2,IF(Q131&gt;=-0.25,1,0)))))</f>
        <v/>
      </c>
      <c r="AE131" s="16" t="str">
        <f aca="false">IF(C131="","",IF(J131="",0,IF(J131&gt;=IF(B131="JSE",$L$7,$L$6),2,IF(J131&gt;=IF(B131="JSE",$L$7,$L$6)/4,1,0))))</f>
        <v/>
      </c>
      <c r="AF131" s="16" t="str">
        <f aca="false">IF(C131="","",IF(F131="Short",AND(T131&lt;&gt;"",N(T131)&lt;0),N(T131)&gt;0)+(N(S131)&gt;=1.5))</f>
        <v/>
      </c>
      <c r="AG131" s="16" t="str">
        <f aca="false">IF(C131="","",IF(AL131="",0,IF(AL131&gt;=3,4,IF(AL131&gt;=2,2,0))))</f>
        <v/>
      </c>
      <c r="AH131" s="16" t="str">
        <f aca="false">IF(C131="","",IF(AND(ISNUMBER(V131),ISNUMBER(A131),V131&gt;=A131,V131-A131&lt;=14),-2,0))</f>
        <v/>
      </c>
      <c r="AI131" s="16" t="str">
        <f aca="false">IF(C131="","",IF(AND(F131="Short",N(U131)&gt;=0.2),-1,0))</f>
        <v/>
      </c>
      <c r="AJ131" s="23" t="str">
        <f aca="false">IF(C131="","",SUM(AB131:AI131))</f>
        <v/>
      </c>
      <c r="AK131" s="24" t="str">
        <f aca="false">IF(C131="","",IF(AJ131&gt;=14,"A",IF(AJ131&gt;=10,"B","C")))</f>
        <v/>
      </c>
      <c r="AL131" s="39" t="str">
        <f aca="false">IFERROR(IF(OR(Y131="",Z131="",AA131=""),"",IF(F131="Short",IF(Z131&lt;=Y131,"",(Y131-AA131)/(Z131-Y131)),IF(Y131&lt;=Z131,"",(AA131-Y131)/(Y131-Z131)))),"")</f>
        <v/>
      </c>
      <c r="AM131" s="37" t="str">
        <f aca="false">IF(OR(Y131="",Z131="",N(Y131)=N(Z131)),"",IF(OR(AND(F131="Short",Z131&lt;Y131),AND(NOT(F131="Short"),Z131&gt;Y131)),"stop on wrong side",ABS(Y131-Z131)))</f>
        <v/>
      </c>
      <c r="AN131" s="40" t="str">
        <f aca="false">IFERROR(IF(OR(NOT(ISNUMBER(AM131)),$C$6=""),"",ROUNDDOWN($C$6*$C$7/AM131,2)),"")</f>
        <v/>
      </c>
      <c r="AO131" s="37" t="str">
        <f aca="false">IFERROR(IF(AN131="","",AN131*Y131),"")</f>
        <v/>
      </c>
      <c r="AP131" s="35"/>
      <c r="AQ131" s="19"/>
      <c r="AR131" s="26"/>
      <c r="AS131" s="41" t="str">
        <f aca="false">IFERROR(IF(OR(AR131="",Y131="",AQ131=""),"",IF(F131="Short",1-AR131/Y131,AR131/Y131-1)),"")</f>
        <v/>
      </c>
      <c r="AT131" s="42" t="str">
        <f aca="true">IF(AQ131="","",IF(ISNUMBER($C$4),$C$4,TODAY())-AQ131)</f>
        <v/>
      </c>
      <c r="AU131" s="14" t="str">
        <f aca="false">IF(C131="","",IF(AP131="Open position",IF(IF(F131="Short",AND(ISNUMBER(AR131),ISNUMBER(Z131),AR131&gt;=Z131),AND(ISNUMBER(AR131),ISNUMBER(Z131),AR131&lt;=Z131)),IF(F131="Short","COVER — stop hit (buy back)","SELL — stop hit"),IF(IF(F131="Short",AND(ISNUMBER(AR131),ISNUMBER(AA131),AR131&lt;=AA131),AND(ISNUMBER(AR131),ISNUMBER(AA131),AR131&gt;=AA131)),"TAKE PROFIT — target hit",IF(AND(ISNUMBER(AT131),AT131&gt;182),IF(F131="Short","COVER — 6-month time limit","SELL — 6-month time limit"),IF(AND(ISNUMBER(AT131),AT131&gt;42,ISNUMBER(AS131),AS131&lt;0.02),"REVIEW — no progress after 6 weeks",IF(IF(F131="Short",AND(L131&lt;&gt;"",N(L131)&gt;0),AND(L131&lt;&gt;"",N(L131)&lt;0)),IF(F131="Short","REVIEW — back above 50-day avg","REVIEW — below 50-day avg"),"HOLD"))))),IF(OR(AP131="Closed",AP131="Dropped"),"Closed",IF(AK131="A",IF(F131="Short","Run Technical Review — SHORT entry","Run Technical Review — LONG entry"),IF(AK131="B","Watch — wait for setup","Drop or re-check next week")))))</f>
        <v/>
      </c>
      <c r="AV131" s="35"/>
      <c r="AX131" s="43" t="str">
        <f aca="false">IF(AND(C131&lt;&gt;"",A131=$C$4,ISNUMBER(AJ131)),AJ131+ROW()/100000,"")</f>
        <v/>
      </c>
    </row>
    <row r="132" customFormat="false" ht="15" hidden="false" customHeight="false" outlineLevel="0" collapsed="false">
      <c r="A132" s="19"/>
      <c r="B132" s="35"/>
      <c r="C132" s="35"/>
      <c r="D132" s="35"/>
      <c r="E132" s="35"/>
      <c r="F132" s="35"/>
      <c r="G132" s="26"/>
      <c r="H132" s="26"/>
      <c r="I132" s="36"/>
      <c r="J132" s="37" t="str">
        <f aca="false">IF(OR(G132="",I132=""),"",G132*I132/1000000)</f>
        <v/>
      </c>
      <c r="K132" s="21"/>
      <c r="L132" s="21"/>
      <c r="M132" s="21"/>
      <c r="N132" s="25"/>
      <c r="O132" s="21"/>
      <c r="P132" s="21"/>
      <c r="Q132" s="21"/>
      <c r="R132" s="21"/>
      <c r="S132" s="38"/>
      <c r="T132" s="21"/>
      <c r="U132" s="21"/>
      <c r="V132" s="19"/>
      <c r="W132" s="26"/>
      <c r="X132" s="35"/>
      <c r="Y132" s="26"/>
      <c r="Z132" s="26"/>
      <c r="AA132" s="26"/>
      <c r="AB132" s="16" t="str">
        <f aca="false">IF(C132="","",IF(F132="Short",(AND(M132&lt;&gt;"",N(M132)&lt;0))+(AND(L132&lt;&gt;"",N(L132)&lt;0))+(AND(K132&lt;&gt;"",N(K132)&lt;0))+AND(L132&lt;&gt;"",M132&lt;&gt;"",N(M132)&lt;N(L132)),(N(M132)&gt;0)+(N(L132)&gt;0)+(N(K132)&gt;0)+AND(L132&lt;&gt;"",M132&lt;&gt;"",N(M132)&gt;N(L132))))</f>
        <v/>
      </c>
      <c r="AC132" s="16" t="str">
        <f aca="false">IF(C132="","",IF(F132="Short",IF(N132="",0,IF(AND(N132&gt;=30,N132&lt;=50),2,IF(OR(AND(N132&gt;=25,N132&lt;30),AND(N132&gt;50,N132&lt;=60)),1,0)))+IF(P132="",0,IF(AND(IF(B132="JSE",$L$5,$L$4)&lt;&gt;"",P132&lt;IF(B132="JSE",$L$5,$L$4)),2,IF(P132&lt;0,1,0))),IF(N132="",0,IF(AND(N132&gt;=50,N132&lt;=70),2,IF(OR(AND(N132&gt;=40,N132&lt;50),AND(N132&gt;70,N132&lt;=75)),1,0)))+IF(P132="",0,IF(AND(IF(B132="JSE",$L$5,$L$4)&lt;&gt;"",P132&gt;IF(B132="JSE",$L$5,$L$4)),2,IF(P132&gt;0,1,0)))))</f>
        <v/>
      </c>
      <c r="AD132" s="16" t="str">
        <f aca="false">IF(C132="","",IF(F132="Short",IF(R132="",0,IF(R132&lt;=0.1,2,IF(R132&lt;=0.25,1,0))),IF(Q132="",0,IF(Q132&gt;=-0.1,2,IF(Q132&gt;=-0.25,1,0)))))</f>
        <v/>
      </c>
      <c r="AE132" s="16" t="str">
        <f aca="false">IF(C132="","",IF(J132="",0,IF(J132&gt;=IF(B132="JSE",$L$7,$L$6),2,IF(J132&gt;=IF(B132="JSE",$L$7,$L$6)/4,1,0))))</f>
        <v/>
      </c>
      <c r="AF132" s="16" t="str">
        <f aca="false">IF(C132="","",IF(F132="Short",AND(T132&lt;&gt;"",N(T132)&lt;0),N(T132)&gt;0)+(N(S132)&gt;=1.5))</f>
        <v/>
      </c>
      <c r="AG132" s="16" t="str">
        <f aca="false">IF(C132="","",IF(AL132="",0,IF(AL132&gt;=3,4,IF(AL132&gt;=2,2,0))))</f>
        <v/>
      </c>
      <c r="AH132" s="16" t="str">
        <f aca="false">IF(C132="","",IF(AND(ISNUMBER(V132),ISNUMBER(A132),V132&gt;=A132,V132-A132&lt;=14),-2,0))</f>
        <v/>
      </c>
      <c r="AI132" s="16" t="str">
        <f aca="false">IF(C132="","",IF(AND(F132="Short",N(U132)&gt;=0.2),-1,0))</f>
        <v/>
      </c>
      <c r="AJ132" s="23" t="str">
        <f aca="false">IF(C132="","",SUM(AB132:AI132))</f>
        <v/>
      </c>
      <c r="AK132" s="24" t="str">
        <f aca="false">IF(C132="","",IF(AJ132&gt;=14,"A",IF(AJ132&gt;=10,"B","C")))</f>
        <v/>
      </c>
      <c r="AL132" s="39" t="str">
        <f aca="false">IFERROR(IF(OR(Y132="",Z132="",AA132=""),"",IF(F132="Short",IF(Z132&lt;=Y132,"",(Y132-AA132)/(Z132-Y132)),IF(Y132&lt;=Z132,"",(AA132-Y132)/(Y132-Z132)))),"")</f>
        <v/>
      </c>
      <c r="AM132" s="37" t="str">
        <f aca="false">IF(OR(Y132="",Z132="",N(Y132)=N(Z132)),"",IF(OR(AND(F132="Short",Z132&lt;Y132),AND(NOT(F132="Short"),Z132&gt;Y132)),"stop on wrong side",ABS(Y132-Z132)))</f>
        <v/>
      </c>
      <c r="AN132" s="40" t="str">
        <f aca="false">IFERROR(IF(OR(NOT(ISNUMBER(AM132)),$C$6=""),"",ROUNDDOWN($C$6*$C$7/AM132,2)),"")</f>
        <v/>
      </c>
      <c r="AO132" s="37" t="str">
        <f aca="false">IFERROR(IF(AN132="","",AN132*Y132),"")</f>
        <v/>
      </c>
      <c r="AP132" s="35"/>
      <c r="AQ132" s="19"/>
      <c r="AR132" s="26"/>
      <c r="AS132" s="41" t="str">
        <f aca="false">IFERROR(IF(OR(AR132="",Y132="",AQ132=""),"",IF(F132="Short",1-AR132/Y132,AR132/Y132-1)),"")</f>
        <v/>
      </c>
      <c r="AT132" s="42" t="str">
        <f aca="true">IF(AQ132="","",IF(ISNUMBER($C$4),$C$4,TODAY())-AQ132)</f>
        <v/>
      </c>
      <c r="AU132" s="14" t="str">
        <f aca="false">IF(C132="","",IF(AP132="Open position",IF(IF(F132="Short",AND(ISNUMBER(AR132),ISNUMBER(Z132),AR132&gt;=Z132),AND(ISNUMBER(AR132),ISNUMBER(Z132),AR132&lt;=Z132)),IF(F132="Short","COVER — stop hit (buy back)","SELL — stop hit"),IF(IF(F132="Short",AND(ISNUMBER(AR132),ISNUMBER(AA132),AR132&lt;=AA132),AND(ISNUMBER(AR132),ISNUMBER(AA132),AR132&gt;=AA132)),"TAKE PROFIT — target hit",IF(AND(ISNUMBER(AT132),AT132&gt;182),IF(F132="Short","COVER — 6-month time limit","SELL — 6-month time limit"),IF(AND(ISNUMBER(AT132),AT132&gt;42,ISNUMBER(AS132),AS132&lt;0.02),"REVIEW — no progress after 6 weeks",IF(IF(F132="Short",AND(L132&lt;&gt;"",N(L132)&gt;0),AND(L132&lt;&gt;"",N(L132)&lt;0)),IF(F132="Short","REVIEW — back above 50-day avg","REVIEW — below 50-day avg"),"HOLD"))))),IF(OR(AP132="Closed",AP132="Dropped"),"Closed",IF(AK132="A",IF(F132="Short","Run Technical Review — SHORT entry","Run Technical Review — LONG entry"),IF(AK132="B","Watch — wait for setup","Drop or re-check next week")))))</f>
        <v/>
      </c>
      <c r="AV132" s="35"/>
      <c r="AX132" s="43" t="str">
        <f aca="false">IF(AND(C132&lt;&gt;"",A132=$C$4,ISNUMBER(AJ132)),AJ132+ROW()/100000,"")</f>
        <v/>
      </c>
    </row>
    <row r="133" customFormat="false" ht="15" hidden="false" customHeight="false" outlineLevel="0" collapsed="false">
      <c r="A133" s="19"/>
      <c r="B133" s="35"/>
      <c r="C133" s="35"/>
      <c r="D133" s="35"/>
      <c r="E133" s="35"/>
      <c r="F133" s="35"/>
      <c r="G133" s="26"/>
      <c r="H133" s="26"/>
      <c r="I133" s="36"/>
      <c r="J133" s="37" t="str">
        <f aca="false">IF(OR(G133="",I133=""),"",G133*I133/1000000)</f>
        <v/>
      </c>
      <c r="K133" s="21"/>
      <c r="L133" s="21"/>
      <c r="M133" s="21"/>
      <c r="N133" s="25"/>
      <c r="O133" s="21"/>
      <c r="P133" s="21"/>
      <c r="Q133" s="21"/>
      <c r="R133" s="21"/>
      <c r="S133" s="38"/>
      <c r="T133" s="21"/>
      <c r="U133" s="21"/>
      <c r="V133" s="19"/>
      <c r="W133" s="26"/>
      <c r="X133" s="35"/>
      <c r="Y133" s="26"/>
      <c r="Z133" s="26"/>
      <c r="AA133" s="26"/>
      <c r="AB133" s="16" t="str">
        <f aca="false">IF(C133="","",IF(F133="Short",(AND(M133&lt;&gt;"",N(M133)&lt;0))+(AND(L133&lt;&gt;"",N(L133)&lt;0))+(AND(K133&lt;&gt;"",N(K133)&lt;0))+AND(L133&lt;&gt;"",M133&lt;&gt;"",N(M133)&lt;N(L133)),(N(M133)&gt;0)+(N(L133)&gt;0)+(N(K133)&gt;0)+AND(L133&lt;&gt;"",M133&lt;&gt;"",N(M133)&gt;N(L133))))</f>
        <v/>
      </c>
      <c r="AC133" s="16" t="str">
        <f aca="false">IF(C133="","",IF(F133="Short",IF(N133="",0,IF(AND(N133&gt;=30,N133&lt;=50),2,IF(OR(AND(N133&gt;=25,N133&lt;30),AND(N133&gt;50,N133&lt;=60)),1,0)))+IF(P133="",0,IF(AND(IF(B133="JSE",$L$5,$L$4)&lt;&gt;"",P133&lt;IF(B133="JSE",$L$5,$L$4)),2,IF(P133&lt;0,1,0))),IF(N133="",0,IF(AND(N133&gt;=50,N133&lt;=70),2,IF(OR(AND(N133&gt;=40,N133&lt;50),AND(N133&gt;70,N133&lt;=75)),1,0)))+IF(P133="",0,IF(AND(IF(B133="JSE",$L$5,$L$4)&lt;&gt;"",P133&gt;IF(B133="JSE",$L$5,$L$4)),2,IF(P133&gt;0,1,0)))))</f>
        <v/>
      </c>
      <c r="AD133" s="16" t="str">
        <f aca="false">IF(C133="","",IF(F133="Short",IF(R133="",0,IF(R133&lt;=0.1,2,IF(R133&lt;=0.25,1,0))),IF(Q133="",0,IF(Q133&gt;=-0.1,2,IF(Q133&gt;=-0.25,1,0)))))</f>
        <v/>
      </c>
      <c r="AE133" s="16" t="str">
        <f aca="false">IF(C133="","",IF(J133="",0,IF(J133&gt;=IF(B133="JSE",$L$7,$L$6),2,IF(J133&gt;=IF(B133="JSE",$L$7,$L$6)/4,1,0))))</f>
        <v/>
      </c>
      <c r="AF133" s="16" t="str">
        <f aca="false">IF(C133="","",IF(F133="Short",AND(T133&lt;&gt;"",N(T133)&lt;0),N(T133)&gt;0)+(N(S133)&gt;=1.5))</f>
        <v/>
      </c>
      <c r="AG133" s="16" t="str">
        <f aca="false">IF(C133="","",IF(AL133="",0,IF(AL133&gt;=3,4,IF(AL133&gt;=2,2,0))))</f>
        <v/>
      </c>
      <c r="AH133" s="16" t="str">
        <f aca="false">IF(C133="","",IF(AND(ISNUMBER(V133),ISNUMBER(A133),V133&gt;=A133,V133-A133&lt;=14),-2,0))</f>
        <v/>
      </c>
      <c r="AI133" s="16" t="str">
        <f aca="false">IF(C133="","",IF(AND(F133="Short",N(U133)&gt;=0.2),-1,0))</f>
        <v/>
      </c>
      <c r="AJ133" s="23" t="str">
        <f aca="false">IF(C133="","",SUM(AB133:AI133))</f>
        <v/>
      </c>
      <c r="AK133" s="24" t="str">
        <f aca="false">IF(C133="","",IF(AJ133&gt;=14,"A",IF(AJ133&gt;=10,"B","C")))</f>
        <v/>
      </c>
      <c r="AL133" s="39" t="str">
        <f aca="false">IFERROR(IF(OR(Y133="",Z133="",AA133=""),"",IF(F133="Short",IF(Z133&lt;=Y133,"",(Y133-AA133)/(Z133-Y133)),IF(Y133&lt;=Z133,"",(AA133-Y133)/(Y133-Z133)))),"")</f>
        <v/>
      </c>
      <c r="AM133" s="37" t="str">
        <f aca="false">IF(OR(Y133="",Z133="",N(Y133)=N(Z133)),"",IF(OR(AND(F133="Short",Z133&lt;Y133),AND(NOT(F133="Short"),Z133&gt;Y133)),"stop on wrong side",ABS(Y133-Z133)))</f>
        <v/>
      </c>
      <c r="AN133" s="40" t="str">
        <f aca="false">IFERROR(IF(OR(NOT(ISNUMBER(AM133)),$C$6=""),"",ROUNDDOWN($C$6*$C$7/AM133,2)),"")</f>
        <v/>
      </c>
      <c r="AO133" s="37" t="str">
        <f aca="false">IFERROR(IF(AN133="","",AN133*Y133),"")</f>
        <v/>
      </c>
      <c r="AP133" s="35"/>
      <c r="AQ133" s="19"/>
      <c r="AR133" s="26"/>
      <c r="AS133" s="41" t="str">
        <f aca="false">IFERROR(IF(OR(AR133="",Y133="",AQ133=""),"",IF(F133="Short",1-AR133/Y133,AR133/Y133-1)),"")</f>
        <v/>
      </c>
      <c r="AT133" s="42" t="str">
        <f aca="true">IF(AQ133="","",IF(ISNUMBER($C$4),$C$4,TODAY())-AQ133)</f>
        <v/>
      </c>
      <c r="AU133" s="14" t="str">
        <f aca="false">IF(C133="","",IF(AP133="Open position",IF(IF(F133="Short",AND(ISNUMBER(AR133),ISNUMBER(Z133),AR133&gt;=Z133),AND(ISNUMBER(AR133),ISNUMBER(Z133),AR133&lt;=Z133)),IF(F133="Short","COVER — stop hit (buy back)","SELL — stop hit"),IF(IF(F133="Short",AND(ISNUMBER(AR133),ISNUMBER(AA133),AR133&lt;=AA133),AND(ISNUMBER(AR133),ISNUMBER(AA133),AR133&gt;=AA133)),"TAKE PROFIT — target hit",IF(AND(ISNUMBER(AT133),AT133&gt;182),IF(F133="Short","COVER — 6-month time limit","SELL — 6-month time limit"),IF(AND(ISNUMBER(AT133),AT133&gt;42,ISNUMBER(AS133),AS133&lt;0.02),"REVIEW — no progress after 6 weeks",IF(IF(F133="Short",AND(L133&lt;&gt;"",N(L133)&gt;0),AND(L133&lt;&gt;"",N(L133)&lt;0)),IF(F133="Short","REVIEW — back above 50-day avg","REVIEW — below 50-day avg"),"HOLD"))))),IF(OR(AP133="Closed",AP133="Dropped"),"Closed",IF(AK133="A",IF(F133="Short","Run Technical Review — SHORT entry","Run Technical Review — LONG entry"),IF(AK133="B","Watch — wait for setup","Drop or re-check next week")))))</f>
        <v/>
      </c>
      <c r="AV133" s="35"/>
      <c r="AX133" s="43" t="str">
        <f aca="false">IF(AND(C133&lt;&gt;"",A133=$C$4,ISNUMBER(AJ133)),AJ133+ROW()/100000,"")</f>
        <v/>
      </c>
    </row>
    <row r="134" customFormat="false" ht="15" hidden="false" customHeight="false" outlineLevel="0" collapsed="false">
      <c r="A134" s="19"/>
      <c r="B134" s="35"/>
      <c r="C134" s="35"/>
      <c r="D134" s="35"/>
      <c r="E134" s="35"/>
      <c r="F134" s="35"/>
      <c r="G134" s="26"/>
      <c r="H134" s="26"/>
      <c r="I134" s="36"/>
      <c r="J134" s="37" t="str">
        <f aca="false">IF(OR(G134="",I134=""),"",G134*I134/1000000)</f>
        <v/>
      </c>
      <c r="K134" s="21"/>
      <c r="L134" s="21"/>
      <c r="M134" s="21"/>
      <c r="N134" s="25"/>
      <c r="O134" s="21"/>
      <c r="P134" s="21"/>
      <c r="Q134" s="21"/>
      <c r="R134" s="21"/>
      <c r="S134" s="38"/>
      <c r="T134" s="21"/>
      <c r="U134" s="21"/>
      <c r="V134" s="19"/>
      <c r="W134" s="26"/>
      <c r="X134" s="35"/>
      <c r="Y134" s="26"/>
      <c r="Z134" s="26"/>
      <c r="AA134" s="26"/>
      <c r="AB134" s="16" t="str">
        <f aca="false">IF(C134="","",IF(F134="Short",(AND(M134&lt;&gt;"",N(M134)&lt;0))+(AND(L134&lt;&gt;"",N(L134)&lt;0))+(AND(K134&lt;&gt;"",N(K134)&lt;0))+AND(L134&lt;&gt;"",M134&lt;&gt;"",N(M134)&lt;N(L134)),(N(M134)&gt;0)+(N(L134)&gt;0)+(N(K134)&gt;0)+AND(L134&lt;&gt;"",M134&lt;&gt;"",N(M134)&gt;N(L134))))</f>
        <v/>
      </c>
      <c r="AC134" s="16" t="str">
        <f aca="false">IF(C134="","",IF(F134="Short",IF(N134="",0,IF(AND(N134&gt;=30,N134&lt;=50),2,IF(OR(AND(N134&gt;=25,N134&lt;30),AND(N134&gt;50,N134&lt;=60)),1,0)))+IF(P134="",0,IF(AND(IF(B134="JSE",$L$5,$L$4)&lt;&gt;"",P134&lt;IF(B134="JSE",$L$5,$L$4)),2,IF(P134&lt;0,1,0))),IF(N134="",0,IF(AND(N134&gt;=50,N134&lt;=70),2,IF(OR(AND(N134&gt;=40,N134&lt;50),AND(N134&gt;70,N134&lt;=75)),1,0)))+IF(P134="",0,IF(AND(IF(B134="JSE",$L$5,$L$4)&lt;&gt;"",P134&gt;IF(B134="JSE",$L$5,$L$4)),2,IF(P134&gt;0,1,0)))))</f>
        <v/>
      </c>
      <c r="AD134" s="16" t="str">
        <f aca="false">IF(C134="","",IF(F134="Short",IF(R134="",0,IF(R134&lt;=0.1,2,IF(R134&lt;=0.25,1,0))),IF(Q134="",0,IF(Q134&gt;=-0.1,2,IF(Q134&gt;=-0.25,1,0)))))</f>
        <v/>
      </c>
      <c r="AE134" s="16" t="str">
        <f aca="false">IF(C134="","",IF(J134="",0,IF(J134&gt;=IF(B134="JSE",$L$7,$L$6),2,IF(J134&gt;=IF(B134="JSE",$L$7,$L$6)/4,1,0))))</f>
        <v/>
      </c>
      <c r="AF134" s="16" t="str">
        <f aca="false">IF(C134="","",IF(F134="Short",AND(T134&lt;&gt;"",N(T134)&lt;0),N(T134)&gt;0)+(N(S134)&gt;=1.5))</f>
        <v/>
      </c>
      <c r="AG134" s="16" t="str">
        <f aca="false">IF(C134="","",IF(AL134="",0,IF(AL134&gt;=3,4,IF(AL134&gt;=2,2,0))))</f>
        <v/>
      </c>
      <c r="AH134" s="16" t="str">
        <f aca="false">IF(C134="","",IF(AND(ISNUMBER(V134),ISNUMBER(A134),V134&gt;=A134,V134-A134&lt;=14),-2,0))</f>
        <v/>
      </c>
      <c r="AI134" s="16" t="str">
        <f aca="false">IF(C134="","",IF(AND(F134="Short",N(U134)&gt;=0.2),-1,0))</f>
        <v/>
      </c>
      <c r="AJ134" s="23" t="str">
        <f aca="false">IF(C134="","",SUM(AB134:AI134))</f>
        <v/>
      </c>
      <c r="AK134" s="24" t="str">
        <f aca="false">IF(C134="","",IF(AJ134&gt;=14,"A",IF(AJ134&gt;=10,"B","C")))</f>
        <v/>
      </c>
      <c r="AL134" s="39" t="str">
        <f aca="false">IFERROR(IF(OR(Y134="",Z134="",AA134=""),"",IF(F134="Short",IF(Z134&lt;=Y134,"",(Y134-AA134)/(Z134-Y134)),IF(Y134&lt;=Z134,"",(AA134-Y134)/(Y134-Z134)))),"")</f>
        <v/>
      </c>
      <c r="AM134" s="37" t="str">
        <f aca="false">IF(OR(Y134="",Z134="",N(Y134)=N(Z134)),"",IF(OR(AND(F134="Short",Z134&lt;Y134),AND(NOT(F134="Short"),Z134&gt;Y134)),"stop on wrong side",ABS(Y134-Z134)))</f>
        <v/>
      </c>
      <c r="AN134" s="40" t="str">
        <f aca="false">IFERROR(IF(OR(NOT(ISNUMBER(AM134)),$C$6=""),"",ROUNDDOWN($C$6*$C$7/AM134,2)),"")</f>
        <v/>
      </c>
      <c r="AO134" s="37" t="str">
        <f aca="false">IFERROR(IF(AN134="","",AN134*Y134),"")</f>
        <v/>
      </c>
      <c r="AP134" s="35"/>
      <c r="AQ134" s="19"/>
      <c r="AR134" s="26"/>
      <c r="AS134" s="41" t="str">
        <f aca="false">IFERROR(IF(OR(AR134="",Y134="",AQ134=""),"",IF(F134="Short",1-AR134/Y134,AR134/Y134-1)),"")</f>
        <v/>
      </c>
      <c r="AT134" s="42" t="str">
        <f aca="true">IF(AQ134="","",IF(ISNUMBER($C$4),$C$4,TODAY())-AQ134)</f>
        <v/>
      </c>
      <c r="AU134" s="14" t="str">
        <f aca="false">IF(C134="","",IF(AP134="Open position",IF(IF(F134="Short",AND(ISNUMBER(AR134),ISNUMBER(Z134),AR134&gt;=Z134),AND(ISNUMBER(AR134),ISNUMBER(Z134),AR134&lt;=Z134)),IF(F134="Short","COVER — stop hit (buy back)","SELL — stop hit"),IF(IF(F134="Short",AND(ISNUMBER(AR134),ISNUMBER(AA134),AR134&lt;=AA134),AND(ISNUMBER(AR134),ISNUMBER(AA134),AR134&gt;=AA134)),"TAKE PROFIT — target hit",IF(AND(ISNUMBER(AT134),AT134&gt;182),IF(F134="Short","COVER — 6-month time limit","SELL — 6-month time limit"),IF(AND(ISNUMBER(AT134),AT134&gt;42,ISNUMBER(AS134),AS134&lt;0.02),"REVIEW — no progress after 6 weeks",IF(IF(F134="Short",AND(L134&lt;&gt;"",N(L134)&gt;0),AND(L134&lt;&gt;"",N(L134)&lt;0)),IF(F134="Short","REVIEW — back above 50-day avg","REVIEW — below 50-day avg"),"HOLD"))))),IF(OR(AP134="Closed",AP134="Dropped"),"Closed",IF(AK134="A",IF(F134="Short","Run Technical Review — SHORT entry","Run Technical Review — LONG entry"),IF(AK134="B","Watch — wait for setup","Drop or re-check next week")))))</f>
        <v/>
      </c>
      <c r="AV134" s="35"/>
      <c r="AX134" s="43" t="str">
        <f aca="false">IF(AND(C134&lt;&gt;"",A134=$C$4,ISNUMBER(AJ134)),AJ134+ROW()/100000,"")</f>
        <v/>
      </c>
    </row>
    <row r="135" customFormat="false" ht="15" hidden="false" customHeight="false" outlineLevel="0" collapsed="false">
      <c r="A135" s="19"/>
      <c r="B135" s="35"/>
      <c r="C135" s="35"/>
      <c r="D135" s="35"/>
      <c r="E135" s="35"/>
      <c r="F135" s="35"/>
      <c r="G135" s="26"/>
      <c r="H135" s="26"/>
      <c r="I135" s="36"/>
      <c r="J135" s="37" t="str">
        <f aca="false">IF(OR(G135="",I135=""),"",G135*I135/1000000)</f>
        <v/>
      </c>
      <c r="K135" s="21"/>
      <c r="L135" s="21"/>
      <c r="M135" s="21"/>
      <c r="N135" s="25"/>
      <c r="O135" s="21"/>
      <c r="P135" s="21"/>
      <c r="Q135" s="21"/>
      <c r="R135" s="21"/>
      <c r="S135" s="38"/>
      <c r="T135" s="21"/>
      <c r="U135" s="21"/>
      <c r="V135" s="19"/>
      <c r="W135" s="26"/>
      <c r="X135" s="35"/>
      <c r="Y135" s="26"/>
      <c r="Z135" s="26"/>
      <c r="AA135" s="26"/>
      <c r="AB135" s="16" t="str">
        <f aca="false">IF(C135="","",IF(F135="Short",(AND(M135&lt;&gt;"",N(M135)&lt;0))+(AND(L135&lt;&gt;"",N(L135)&lt;0))+(AND(K135&lt;&gt;"",N(K135)&lt;0))+AND(L135&lt;&gt;"",M135&lt;&gt;"",N(M135)&lt;N(L135)),(N(M135)&gt;0)+(N(L135)&gt;0)+(N(K135)&gt;0)+AND(L135&lt;&gt;"",M135&lt;&gt;"",N(M135)&gt;N(L135))))</f>
        <v/>
      </c>
      <c r="AC135" s="16" t="str">
        <f aca="false">IF(C135="","",IF(F135="Short",IF(N135="",0,IF(AND(N135&gt;=30,N135&lt;=50),2,IF(OR(AND(N135&gt;=25,N135&lt;30),AND(N135&gt;50,N135&lt;=60)),1,0)))+IF(P135="",0,IF(AND(IF(B135="JSE",$L$5,$L$4)&lt;&gt;"",P135&lt;IF(B135="JSE",$L$5,$L$4)),2,IF(P135&lt;0,1,0))),IF(N135="",0,IF(AND(N135&gt;=50,N135&lt;=70),2,IF(OR(AND(N135&gt;=40,N135&lt;50),AND(N135&gt;70,N135&lt;=75)),1,0)))+IF(P135="",0,IF(AND(IF(B135="JSE",$L$5,$L$4)&lt;&gt;"",P135&gt;IF(B135="JSE",$L$5,$L$4)),2,IF(P135&gt;0,1,0)))))</f>
        <v/>
      </c>
      <c r="AD135" s="16" t="str">
        <f aca="false">IF(C135="","",IF(F135="Short",IF(R135="",0,IF(R135&lt;=0.1,2,IF(R135&lt;=0.25,1,0))),IF(Q135="",0,IF(Q135&gt;=-0.1,2,IF(Q135&gt;=-0.25,1,0)))))</f>
        <v/>
      </c>
      <c r="AE135" s="16" t="str">
        <f aca="false">IF(C135="","",IF(J135="",0,IF(J135&gt;=IF(B135="JSE",$L$7,$L$6),2,IF(J135&gt;=IF(B135="JSE",$L$7,$L$6)/4,1,0))))</f>
        <v/>
      </c>
      <c r="AF135" s="16" t="str">
        <f aca="false">IF(C135="","",IF(F135="Short",AND(T135&lt;&gt;"",N(T135)&lt;0),N(T135)&gt;0)+(N(S135)&gt;=1.5))</f>
        <v/>
      </c>
      <c r="AG135" s="16" t="str">
        <f aca="false">IF(C135="","",IF(AL135="",0,IF(AL135&gt;=3,4,IF(AL135&gt;=2,2,0))))</f>
        <v/>
      </c>
      <c r="AH135" s="16" t="str">
        <f aca="false">IF(C135="","",IF(AND(ISNUMBER(V135),ISNUMBER(A135),V135&gt;=A135,V135-A135&lt;=14),-2,0))</f>
        <v/>
      </c>
      <c r="AI135" s="16" t="str">
        <f aca="false">IF(C135="","",IF(AND(F135="Short",N(U135)&gt;=0.2),-1,0))</f>
        <v/>
      </c>
      <c r="AJ135" s="23" t="str">
        <f aca="false">IF(C135="","",SUM(AB135:AI135))</f>
        <v/>
      </c>
      <c r="AK135" s="24" t="str">
        <f aca="false">IF(C135="","",IF(AJ135&gt;=14,"A",IF(AJ135&gt;=10,"B","C")))</f>
        <v/>
      </c>
      <c r="AL135" s="39" t="str">
        <f aca="false">IFERROR(IF(OR(Y135="",Z135="",AA135=""),"",IF(F135="Short",IF(Z135&lt;=Y135,"",(Y135-AA135)/(Z135-Y135)),IF(Y135&lt;=Z135,"",(AA135-Y135)/(Y135-Z135)))),"")</f>
        <v/>
      </c>
      <c r="AM135" s="37" t="str">
        <f aca="false">IF(OR(Y135="",Z135="",N(Y135)=N(Z135)),"",IF(OR(AND(F135="Short",Z135&lt;Y135),AND(NOT(F135="Short"),Z135&gt;Y135)),"stop on wrong side",ABS(Y135-Z135)))</f>
        <v/>
      </c>
      <c r="AN135" s="40" t="str">
        <f aca="false">IFERROR(IF(OR(NOT(ISNUMBER(AM135)),$C$6=""),"",ROUNDDOWN($C$6*$C$7/AM135,2)),"")</f>
        <v/>
      </c>
      <c r="AO135" s="37" t="str">
        <f aca="false">IFERROR(IF(AN135="","",AN135*Y135),"")</f>
        <v/>
      </c>
      <c r="AP135" s="35"/>
      <c r="AQ135" s="19"/>
      <c r="AR135" s="26"/>
      <c r="AS135" s="41" t="str">
        <f aca="false">IFERROR(IF(OR(AR135="",Y135="",AQ135=""),"",IF(F135="Short",1-AR135/Y135,AR135/Y135-1)),"")</f>
        <v/>
      </c>
      <c r="AT135" s="42" t="str">
        <f aca="true">IF(AQ135="","",IF(ISNUMBER($C$4),$C$4,TODAY())-AQ135)</f>
        <v/>
      </c>
      <c r="AU135" s="14" t="str">
        <f aca="false">IF(C135="","",IF(AP135="Open position",IF(IF(F135="Short",AND(ISNUMBER(AR135),ISNUMBER(Z135),AR135&gt;=Z135),AND(ISNUMBER(AR135),ISNUMBER(Z135),AR135&lt;=Z135)),IF(F135="Short","COVER — stop hit (buy back)","SELL — stop hit"),IF(IF(F135="Short",AND(ISNUMBER(AR135),ISNUMBER(AA135),AR135&lt;=AA135),AND(ISNUMBER(AR135),ISNUMBER(AA135),AR135&gt;=AA135)),"TAKE PROFIT — target hit",IF(AND(ISNUMBER(AT135),AT135&gt;182),IF(F135="Short","COVER — 6-month time limit","SELL — 6-month time limit"),IF(AND(ISNUMBER(AT135),AT135&gt;42,ISNUMBER(AS135),AS135&lt;0.02),"REVIEW — no progress after 6 weeks",IF(IF(F135="Short",AND(L135&lt;&gt;"",N(L135)&gt;0),AND(L135&lt;&gt;"",N(L135)&lt;0)),IF(F135="Short","REVIEW — back above 50-day avg","REVIEW — below 50-day avg"),"HOLD"))))),IF(OR(AP135="Closed",AP135="Dropped"),"Closed",IF(AK135="A",IF(F135="Short","Run Technical Review — SHORT entry","Run Technical Review — LONG entry"),IF(AK135="B","Watch — wait for setup","Drop or re-check next week")))))</f>
        <v/>
      </c>
      <c r="AV135" s="35"/>
      <c r="AX135" s="43" t="str">
        <f aca="false">IF(AND(C135&lt;&gt;"",A135=$C$4,ISNUMBER(AJ135)),AJ135+ROW()/100000,"")</f>
        <v/>
      </c>
    </row>
    <row r="136" customFormat="false" ht="15" hidden="false" customHeight="false" outlineLevel="0" collapsed="false">
      <c r="A136" s="19"/>
      <c r="B136" s="35"/>
      <c r="C136" s="35"/>
      <c r="D136" s="35"/>
      <c r="E136" s="35"/>
      <c r="F136" s="35"/>
      <c r="G136" s="26"/>
      <c r="H136" s="26"/>
      <c r="I136" s="36"/>
      <c r="J136" s="37" t="str">
        <f aca="false">IF(OR(G136="",I136=""),"",G136*I136/1000000)</f>
        <v/>
      </c>
      <c r="K136" s="21"/>
      <c r="L136" s="21"/>
      <c r="M136" s="21"/>
      <c r="N136" s="25"/>
      <c r="O136" s="21"/>
      <c r="P136" s="21"/>
      <c r="Q136" s="21"/>
      <c r="R136" s="21"/>
      <c r="S136" s="38"/>
      <c r="T136" s="21"/>
      <c r="U136" s="21"/>
      <c r="V136" s="19"/>
      <c r="W136" s="26"/>
      <c r="X136" s="35"/>
      <c r="Y136" s="26"/>
      <c r="Z136" s="26"/>
      <c r="AA136" s="26"/>
      <c r="AB136" s="16" t="str">
        <f aca="false">IF(C136="","",IF(F136="Short",(AND(M136&lt;&gt;"",N(M136)&lt;0))+(AND(L136&lt;&gt;"",N(L136)&lt;0))+(AND(K136&lt;&gt;"",N(K136)&lt;0))+AND(L136&lt;&gt;"",M136&lt;&gt;"",N(M136)&lt;N(L136)),(N(M136)&gt;0)+(N(L136)&gt;0)+(N(K136)&gt;0)+AND(L136&lt;&gt;"",M136&lt;&gt;"",N(M136)&gt;N(L136))))</f>
        <v/>
      </c>
      <c r="AC136" s="16" t="str">
        <f aca="false">IF(C136="","",IF(F136="Short",IF(N136="",0,IF(AND(N136&gt;=30,N136&lt;=50),2,IF(OR(AND(N136&gt;=25,N136&lt;30),AND(N136&gt;50,N136&lt;=60)),1,0)))+IF(P136="",0,IF(AND(IF(B136="JSE",$L$5,$L$4)&lt;&gt;"",P136&lt;IF(B136="JSE",$L$5,$L$4)),2,IF(P136&lt;0,1,0))),IF(N136="",0,IF(AND(N136&gt;=50,N136&lt;=70),2,IF(OR(AND(N136&gt;=40,N136&lt;50),AND(N136&gt;70,N136&lt;=75)),1,0)))+IF(P136="",0,IF(AND(IF(B136="JSE",$L$5,$L$4)&lt;&gt;"",P136&gt;IF(B136="JSE",$L$5,$L$4)),2,IF(P136&gt;0,1,0)))))</f>
        <v/>
      </c>
      <c r="AD136" s="16" t="str">
        <f aca="false">IF(C136="","",IF(F136="Short",IF(R136="",0,IF(R136&lt;=0.1,2,IF(R136&lt;=0.25,1,0))),IF(Q136="",0,IF(Q136&gt;=-0.1,2,IF(Q136&gt;=-0.25,1,0)))))</f>
        <v/>
      </c>
      <c r="AE136" s="16" t="str">
        <f aca="false">IF(C136="","",IF(J136="",0,IF(J136&gt;=IF(B136="JSE",$L$7,$L$6),2,IF(J136&gt;=IF(B136="JSE",$L$7,$L$6)/4,1,0))))</f>
        <v/>
      </c>
      <c r="AF136" s="16" t="str">
        <f aca="false">IF(C136="","",IF(F136="Short",AND(T136&lt;&gt;"",N(T136)&lt;0),N(T136)&gt;0)+(N(S136)&gt;=1.5))</f>
        <v/>
      </c>
      <c r="AG136" s="16" t="str">
        <f aca="false">IF(C136="","",IF(AL136="",0,IF(AL136&gt;=3,4,IF(AL136&gt;=2,2,0))))</f>
        <v/>
      </c>
      <c r="AH136" s="16" t="str">
        <f aca="false">IF(C136="","",IF(AND(ISNUMBER(V136),ISNUMBER(A136),V136&gt;=A136,V136-A136&lt;=14),-2,0))</f>
        <v/>
      </c>
      <c r="AI136" s="16" t="str">
        <f aca="false">IF(C136="","",IF(AND(F136="Short",N(U136)&gt;=0.2),-1,0))</f>
        <v/>
      </c>
      <c r="AJ136" s="23" t="str">
        <f aca="false">IF(C136="","",SUM(AB136:AI136))</f>
        <v/>
      </c>
      <c r="AK136" s="24" t="str">
        <f aca="false">IF(C136="","",IF(AJ136&gt;=14,"A",IF(AJ136&gt;=10,"B","C")))</f>
        <v/>
      </c>
      <c r="AL136" s="39" t="str">
        <f aca="false">IFERROR(IF(OR(Y136="",Z136="",AA136=""),"",IF(F136="Short",IF(Z136&lt;=Y136,"",(Y136-AA136)/(Z136-Y136)),IF(Y136&lt;=Z136,"",(AA136-Y136)/(Y136-Z136)))),"")</f>
        <v/>
      </c>
      <c r="AM136" s="37" t="str">
        <f aca="false">IF(OR(Y136="",Z136="",N(Y136)=N(Z136)),"",IF(OR(AND(F136="Short",Z136&lt;Y136),AND(NOT(F136="Short"),Z136&gt;Y136)),"stop on wrong side",ABS(Y136-Z136)))</f>
        <v/>
      </c>
      <c r="AN136" s="40" t="str">
        <f aca="false">IFERROR(IF(OR(NOT(ISNUMBER(AM136)),$C$6=""),"",ROUNDDOWN($C$6*$C$7/AM136,2)),"")</f>
        <v/>
      </c>
      <c r="AO136" s="37" t="str">
        <f aca="false">IFERROR(IF(AN136="","",AN136*Y136),"")</f>
        <v/>
      </c>
      <c r="AP136" s="35"/>
      <c r="AQ136" s="19"/>
      <c r="AR136" s="26"/>
      <c r="AS136" s="41" t="str">
        <f aca="false">IFERROR(IF(OR(AR136="",Y136="",AQ136=""),"",IF(F136="Short",1-AR136/Y136,AR136/Y136-1)),"")</f>
        <v/>
      </c>
      <c r="AT136" s="42" t="str">
        <f aca="true">IF(AQ136="","",IF(ISNUMBER($C$4),$C$4,TODAY())-AQ136)</f>
        <v/>
      </c>
      <c r="AU136" s="14" t="str">
        <f aca="false">IF(C136="","",IF(AP136="Open position",IF(IF(F136="Short",AND(ISNUMBER(AR136),ISNUMBER(Z136),AR136&gt;=Z136),AND(ISNUMBER(AR136),ISNUMBER(Z136),AR136&lt;=Z136)),IF(F136="Short","COVER — stop hit (buy back)","SELL — stop hit"),IF(IF(F136="Short",AND(ISNUMBER(AR136),ISNUMBER(AA136),AR136&lt;=AA136),AND(ISNUMBER(AR136),ISNUMBER(AA136),AR136&gt;=AA136)),"TAKE PROFIT — target hit",IF(AND(ISNUMBER(AT136),AT136&gt;182),IF(F136="Short","COVER — 6-month time limit","SELL — 6-month time limit"),IF(AND(ISNUMBER(AT136),AT136&gt;42,ISNUMBER(AS136),AS136&lt;0.02),"REVIEW — no progress after 6 weeks",IF(IF(F136="Short",AND(L136&lt;&gt;"",N(L136)&gt;0),AND(L136&lt;&gt;"",N(L136)&lt;0)),IF(F136="Short","REVIEW — back above 50-day avg","REVIEW — below 50-day avg"),"HOLD"))))),IF(OR(AP136="Closed",AP136="Dropped"),"Closed",IF(AK136="A",IF(F136="Short","Run Technical Review — SHORT entry","Run Technical Review — LONG entry"),IF(AK136="B","Watch — wait for setup","Drop or re-check next week")))))</f>
        <v/>
      </c>
      <c r="AV136" s="35"/>
      <c r="AX136" s="43" t="str">
        <f aca="false">IF(AND(C136&lt;&gt;"",A136=$C$4,ISNUMBER(AJ136)),AJ136+ROW()/100000,"")</f>
        <v/>
      </c>
    </row>
    <row r="137" customFormat="false" ht="15" hidden="false" customHeight="false" outlineLevel="0" collapsed="false">
      <c r="A137" s="19"/>
      <c r="B137" s="35"/>
      <c r="C137" s="35"/>
      <c r="D137" s="35"/>
      <c r="E137" s="35"/>
      <c r="F137" s="35"/>
      <c r="G137" s="26"/>
      <c r="H137" s="26"/>
      <c r="I137" s="36"/>
      <c r="J137" s="37" t="str">
        <f aca="false">IF(OR(G137="",I137=""),"",G137*I137/1000000)</f>
        <v/>
      </c>
      <c r="K137" s="21"/>
      <c r="L137" s="21"/>
      <c r="M137" s="21"/>
      <c r="N137" s="25"/>
      <c r="O137" s="21"/>
      <c r="P137" s="21"/>
      <c r="Q137" s="21"/>
      <c r="R137" s="21"/>
      <c r="S137" s="38"/>
      <c r="T137" s="21"/>
      <c r="U137" s="21"/>
      <c r="V137" s="19"/>
      <c r="W137" s="26"/>
      <c r="X137" s="35"/>
      <c r="Y137" s="26"/>
      <c r="Z137" s="26"/>
      <c r="AA137" s="26"/>
      <c r="AB137" s="16" t="str">
        <f aca="false">IF(C137="","",IF(F137="Short",(AND(M137&lt;&gt;"",N(M137)&lt;0))+(AND(L137&lt;&gt;"",N(L137)&lt;0))+(AND(K137&lt;&gt;"",N(K137)&lt;0))+AND(L137&lt;&gt;"",M137&lt;&gt;"",N(M137)&lt;N(L137)),(N(M137)&gt;0)+(N(L137)&gt;0)+(N(K137)&gt;0)+AND(L137&lt;&gt;"",M137&lt;&gt;"",N(M137)&gt;N(L137))))</f>
        <v/>
      </c>
      <c r="AC137" s="16" t="str">
        <f aca="false">IF(C137="","",IF(F137="Short",IF(N137="",0,IF(AND(N137&gt;=30,N137&lt;=50),2,IF(OR(AND(N137&gt;=25,N137&lt;30),AND(N137&gt;50,N137&lt;=60)),1,0)))+IF(P137="",0,IF(AND(IF(B137="JSE",$L$5,$L$4)&lt;&gt;"",P137&lt;IF(B137="JSE",$L$5,$L$4)),2,IF(P137&lt;0,1,0))),IF(N137="",0,IF(AND(N137&gt;=50,N137&lt;=70),2,IF(OR(AND(N137&gt;=40,N137&lt;50),AND(N137&gt;70,N137&lt;=75)),1,0)))+IF(P137="",0,IF(AND(IF(B137="JSE",$L$5,$L$4)&lt;&gt;"",P137&gt;IF(B137="JSE",$L$5,$L$4)),2,IF(P137&gt;0,1,0)))))</f>
        <v/>
      </c>
      <c r="AD137" s="16" t="str">
        <f aca="false">IF(C137="","",IF(F137="Short",IF(R137="",0,IF(R137&lt;=0.1,2,IF(R137&lt;=0.25,1,0))),IF(Q137="",0,IF(Q137&gt;=-0.1,2,IF(Q137&gt;=-0.25,1,0)))))</f>
        <v/>
      </c>
      <c r="AE137" s="16" t="str">
        <f aca="false">IF(C137="","",IF(J137="",0,IF(J137&gt;=IF(B137="JSE",$L$7,$L$6),2,IF(J137&gt;=IF(B137="JSE",$L$7,$L$6)/4,1,0))))</f>
        <v/>
      </c>
      <c r="AF137" s="16" t="str">
        <f aca="false">IF(C137="","",IF(F137="Short",AND(T137&lt;&gt;"",N(T137)&lt;0),N(T137)&gt;0)+(N(S137)&gt;=1.5))</f>
        <v/>
      </c>
      <c r="AG137" s="16" t="str">
        <f aca="false">IF(C137="","",IF(AL137="",0,IF(AL137&gt;=3,4,IF(AL137&gt;=2,2,0))))</f>
        <v/>
      </c>
      <c r="AH137" s="16" t="str">
        <f aca="false">IF(C137="","",IF(AND(ISNUMBER(V137),ISNUMBER(A137),V137&gt;=A137,V137-A137&lt;=14),-2,0))</f>
        <v/>
      </c>
      <c r="AI137" s="16" t="str">
        <f aca="false">IF(C137="","",IF(AND(F137="Short",N(U137)&gt;=0.2),-1,0))</f>
        <v/>
      </c>
      <c r="AJ137" s="23" t="str">
        <f aca="false">IF(C137="","",SUM(AB137:AI137))</f>
        <v/>
      </c>
      <c r="AK137" s="24" t="str">
        <f aca="false">IF(C137="","",IF(AJ137&gt;=14,"A",IF(AJ137&gt;=10,"B","C")))</f>
        <v/>
      </c>
      <c r="AL137" s="39" t="str">
        <f aca="false">IFERROR(IF(OR(Y137="",Z137="",AA137=""),"",IF(F137="Short",IF(Z137&lt;=Y137,"",(Y137-AA137)/(Z137-Y137)),IF(Y137&lt;=Z137,"",(AA137-Y137)/(Y137-Z137)))),"")</f>
        <v/>
      </c>
      <c r="AM137" s="37" t="str">
        <f aca="false">IF(OR(Y137="",Z137="",N(Y137)=N(Z137)),"",IF(OR(AND(F137="Short",Z137&lt;Y137),AND(NOT(F137="Short"),Z137&gt;Y137)),"stop on wrong side",ABS(Y137-Z137)))</f>
        <v/>
      </c>
      <c r="AN137" s="40" t="str">
        <f aca="false">IFERROR(IF(OR(NOT(ISNUMBER(AM137)),$C$6=""),"",ROUNDDOWN($C$6*$C$7/AM137,2)),"")</f>
        <v/>
      </c>
      <c r="AO137" s="37" t="str">
        <f aca="false">IFERROR(IF(AN137="","",AN137*Y137),"")</f>
        <v/>
      </c>
      <c r="AP137" s="35"/>
      <c r="AQ137" s="19"/>
      <c r="AR137" s="26"/>
      <c r="AS137" s="41" t="str">
        <f aca="false">IFERROR(IF(OR(AR137="",Y137="",AQ137=""),"",IF(F137="Short",1-AR137/Y137,AR137/Y137-1)),"")</f>
        <v/>
      </c>
      <c r="AT137" s="42" t="str">
        <f aca="true">IF(AQ137="","",IF(ISNUMBER($C$4),$C$4,TODAY())-AQ137)</f>
        <v/>
      </c>
      <c r="AU137" s="14" t="str">
        <f aca="false">IF(C137="","",IF(AP137="Open position",IF(IF(F137="Short",AND(ISNUMBER(AR137),ISNUMBER(Z137),AR137&gt;=Z137),AND(ISNUMBER(AR137),ISNUMBER(Z137),AR137&lt;=Z137)),IF(F137="Short","COVER — stop hit (buy back)","SELL — stop hit"),IF(IF(F137="Short",AND(ISNUMBER(AR137),ISNUMBER(AA137),AR137&lt;=AA137),AND(ISNUMBER(AR137),ISNUMBER(AA137),AR137&gt;=AA137)),"TAKE PROFIT — target hit",IF(AND(ISNUMBER(AT137),AT137&gt;182),IF(F137="Short","COVER — 6-month time limit","SELL — 6-month time limit"),IF(AND(ISNUMBER(AT137),AT137&gt;42,ISNUMBER(AS137),AS137&lt;0.02),"REVIEW — no progress after 6 weeks",IF(IF(F137="Short",AND(L137&lt;&gt;"",N(L137)&gt;0),AND(L137&lt;&gt;"",N(L137)&lt;0)),IF(F137="Short","REVIEW — back above 50-day avg","REVIEW — below 50-day avg"),"HOLD"))))),IF(OR(AP137="Closed",AP137="Dropped"),"Closed",IF(AK137="A",IF(F137="Short","Run Technical Review — SHORT entry","Run Technical Review — LONG entry"),IF(AK137="B","Watch — wait for setup","Drop or re-check next week")))))</f>
        <v/>
      </c>
      <c r="AV137" s="35"/>
      <c r="AX137" s="43" t="str">
        <f aca="false">IF(AND(C137&lt;&gt;"",A137=$C$4,ISNUMBER(AJ137)),AJ137+ROW()/100000,"")</f>
        <v/>
      </c>
    </row>
    <row r="138" customFormat="false" ht="15" hidden="false" customHeight="false" outlineLevel="0" collapsed="false">
      <c r="A138" s="19"/>
      <c r="B138" s="35"/>
      <c r="C138" s="35"/>
      <c r="D138" s="35"/>
      <c r="E138" s="35"/>
      <c r="F138" s="35"/>
      <c r="G138" s="26"/>
      <c r="H138" s="26"/>
      <c r="I138" s="36"/>
      <c r="J138" s="37" t="str">
        <f aca="false">IF(OR(G138="",I138=""),"",G138*I138/1000000)</f>
        <v/>
      </c>
      <c r="K138" s="21"/>
      <c r="L138" s="21"/>
      <c r="M138" s="21"/>
      <c r="N138" s="25"/>
      <c r="O138" s="21"/>
      <c r="P138" s="21"/>
      <c r="Q138" s="21"/>
      <c r="R138" s="21"/>
      <c r="S138" s="38"/>
      <c r="T138" s="21"/>
      <c r="U138" s="21"/>
      <c r="V138" s="19"/>
      <c r="W138" s="26"/>
      <c r="X138" s="35"/>
      <c r="Y138" s="26"/>
      <c r="Z138" s="26"/>
      <c r="AA138" s="26"/>
      <c r="AB138" s="16" t="str">
        <f aca="false">IF(C138="","",IF(F138="Short",(AND(M138&lt;&gt;"",N(M138)&lt;0))+(AND(L138&lt;&gt;"",N(L138)&lt;0))+(AND(K138&lt;&gt;"",N(K138)&lt;0))+AND(L138&lt;&gt;"",M138&lt;&gt;"",N(M138)&lt;N(L138)),(N(M138)&gt;0)+(N(L138)&gt;0)+(N(K138)&gt;0)+AND(L138&lt;&gt;"",M138&lt;&gt;"",N(M138)&gt;N(L138))))</f>
        <v/>
      </c>
      <c r="AC138" s="16" t="str">
        <f aca="false">IF(C138="","",IF(F138="Short",IF(N138="",0,IF(AND(N138&gt;=30,N138&lt;=50),2,IF(OR(AND(N138&gt;=25,N138&lt;30),AND(N138&gt;50,N138&lt;=60)),1,0)))+IF(P138="",0,IF(AND(IF(B138="JSE",$L$5,$L$4)&lt;&gt;"",P138&lt;IF(B138="JSE",$L$5,$L$4)),2,IF(P138&lt;0,1,0))),IF(N138="",0,IF(AND(N138&gt;=50,N138&lt;=70),2,IF(OR(AND(N138&gt;=40,N138&lt;50),AND(N138&gt;70,N138&lt;=75)),1,0)))+IF(P138="",0,IF(AND(IF(B138="JSE",$L$5,$L$4)&lt;&gt;"",P138&gt;IF(B138="JSE",$L$5,$L$4)),2,IF(P138&gt;0,1,0)))))</f>
        <v/>
      </c>
      <c r="AD138" s="16" t="str">
        <f aca="false">IF(C138="","",IF(F138="Short",IF(R138="",0,IF(R138&lt;=0.1,2,IF(R138&lt;=0.25,1,0))),IF(Q138="",0,IF(Q138&gt;=-0.1,2,IF(Q138&gt;=-0.25,1,0)))))</f>
        <v/>
      </c>
      <c r="AE138" s="16" t="str">
        <f aca="false">IF(C138="","",IF(J138="",0,IF(J138&gt;=IF(B138="JSE",$L$7,$L$6),2,IF(J138&gt;=IF(B138="JSE",$L$7,$L$6)/4,1,0))))</f>
        <v/>
      </c>
      <c r="AF138" s="16" t="str">
        <f aca="false">IF(C138="","",IF(F138="Short",AND(T138&lt;&gt;"",N(T138)&lt;0),N(T138)&gt;0)+(N(S138)&gt;=1.5))</f>
        <v/>
      </c>
      <c r="AG138" s="16" t="str">
        <f aca="false">IF(C138="","",IF(AL138="",0,IF(AL138&gt;=3,4,IF(AL138&gt;=2,2,0))))</f>
        <v/>
      </c>
      <c r="AH138" s="16" t="str">
        <f aca="false">IF(C138="","",IF(AND(ISNUMBER(V138),ISNUMBER(A138),V138&gt;=A138,V138-A138&lt;=14),-2,0))</f>
        <v/>
      </c>
      <c r="AI138" s="16" t="str">
        <f aca="false">IF(C138="","",IF(AND(F138="Short",N(U138)&gt;=0.2),-1,0))</f>
        <v/>
      </c>
      <c r="AJ138" s="23" t="str">
        <f aca="false">IF(C138="","",SUM(AB138:AI138))</f>
        <v/>
      </c>
      <c r="AK138" s="24" t="str">
        <f aca="false">IF(C138="","",IF(AJ138&gt;=14,"A",IF(AJ138&gt;=10,"B","C")))</f>
        <v/>
      </c>
      <c r="AL138" s="39" t="str">
        <f aca="false">IFERROR(IF(OR(Y138="",Z138="",AA138=""),"",IF(F138="Short",IF(Z138&lt;=Y138,"",(Y138-AA138)/(Z138-Y138)),IF(Y138&lt;=Z138,"",(AA138-Y138)/(Y138-Z138)))),"")</f>
        <v/>
      </c>
      <c r="AM138" s="37" t="str">
        <f aca="false">IF(OR(Y138="",Z138="",N(Y138)=N(Z138)),"",IF(OR(AND(F138="Short",Z138&lt;Y138),AND(NOT(F138="Short"),Z138&gt;Y138)),"stop on wrong side",ABS(Y138-Z138)))</f>
        <v/>
      </c>
      <c r="AN138" s="40" t="str">
        <f aca="false">IFERROR(IF(OR(NOT(ISNUMBER(AM138)),$C$6=""),"",ROUNDDOWN($C$6*$C$7/AM138,2)),"")</f>
        <v/>
      </c>
      <c r="AO138" s="37" t="str">
        <f aca="false">IFERROR(IF(AN138="","",AN138*Y138),"")</f>
        <v/>
      </c>
      <c r="AP138" s="35"/>
      <c r="AQ138" s="19"/>
      <c r="AR138" s="26"/>
      <c r="AS138" s="41" t="str">
        <f aca="false">IFERROR(IF(OR(AR138="",Y138="",AQ138=""),"",IF(F138="Short",1-AR138/Y138,AR138/Y138-1)),"")</f>
        <v/>
      </c>
      <c r="AT138" s="42" t="str">
        <f aca="true">IF(AQ138="","",IF(ISNUMBER($C$4),$C$4,TODAY())-AQ138)</f>
        <v/>
      </c>
      <c r="AU138" s="14" t="str">
        <f aca="false">IF(C138="","",IF(AP138="Open position",IF(IF(F138="Short",AND(ISNUMBER(AR138),ISNUMBER(Z138),AR138&gt;=Z138),AND(ISNUMBER(AR138),ISNUMBER(Z138),AR138&lt;=Z138)),IF(F138="Short","COVER — stop hit (buy back)","SELL — stop hit"),IF(IF(F138="Short",AND(ISNUMBER(AR138),ISNUMBER(AA138),AR138&lt;=AA138),AND(ISNUMBER(AR138),ISNUMBER(AA138),AR138&gt;=AA138)),"TAKE PROFIT — target hit",IF(AND(ISNUMBER(AT138),AT138&gt;182),IF(F138="Short","COVER — 6-month time limit","SELL — 6-month time limit"),IF(AND(ISNUMBER(AT138),AT138&gt;42,ISNUMBER(AS138),AS138&lt;0.02),"REVIEW — no progress after 6 weeks",IF(IF(F138="Short",AND(L138&lt;&gt;"",N(L138)&gt;0),AND(L138&lt;&gt;"",N(L138)&lt;0)),IF(F138="Short","REVIEW — back above 50-day avg","REVIEW — below 50-day avg"),"HOLD"))))),IF(OR(AP138="Closed",AP138="Dropped"),"Closed",IF(AK138="A",IF(F138="Short","Run Technical Review — SHORT entry","Run Technical Review — LONG entry"),IF(AK138="B","Watch — wait for setup","Drop or re-check next week")))))</f>
        <v/>
      </c>
      <c r="AV138" s="35"/>
      <c r="AX138" s="43" t="str">
        <f aca="false">IF(AND(C138&lt;&gt;"",A138=$C$4,ISNUMBER(AJ138)),AJ138+ROW()/100000,"")</f>
        <v/>
      </c>
    </row>
    <row r="139" customFormat="false" ht="15" hidden="false" customHeight="false" outlineLevel="0" collapsed="false">
      <c r="A139" s="19"/>
      <c r="B139" s="35"/>
      <c r="C139" s="35"/>
      <c r="D139" s="35"/>
      <c r="E139" s="35"/>
      <c r="F139" s="35"/>
      <c r="G139" s="26"/>
      <c r="H139" s="26"/>
      <c r="I139" s="36"/>
      <c r="J139" s="37" t="str">
        <f aca="false">IF(OR(G139="",I139=""),"",G139*I139/1000000)</f>
        <v/>
      </c>
      <c r="K139" s="21"/>
      <c r="L139" s="21"/>
      <c r="M139" s="21"/>
      <c r="N139" s="25"/>
      <c r="O139" s="21"/>
      <c r="P139" s="21"/>
      <c r="Q139" s="21"/>
      <c r="R139" s="21"/>
      <c r="S139" s="38"/>
      <c r="T139" s="21"/>
      <c r="U139" s="21"/>
      <c r="V139" s="19"/>
      <c r="W139" s="26"/>
      <c r="X139" s="35"/>
      <c r="Y139" s="26"/>
      <c r="Z139" s="26"/>
      <c r="AA139" s="26"/>
      <c r="AB139" s="16" t="str">
        <f aca="false">IF(C139="","",IF(F139="Short",(AND(M139&lt;&gt;"",N(M139)&lt;0))+(AND(L139&lt;&gt;"",N(L139)&lt;0))+(AND(K139&lt;&gt;"",N(K139)&lt;0))+AND(L139&lt;&gt;"",M139&lt;&gt;"",N(M139)&lt;N(L139)),(N(M139)&gt;0)+(N(L139)&gt;0)+(N(K139)&gt;0)+AND(L139&lt;&gt;"",M139&lt;&gt;"",N(M139)&gt;N(L139))))</f>
        <v/>
      </c>
      <c r="AC139" s="16" t="str">
        <f aca="false">IF(C139="","",IF(F139="Short",IF(N139="",0,IF(AND(N139&gt;=30,N139&lt;=50),2,IF(OR(AND(N139&gt;=25,N139&lt;30),AND(N139&gt;50,N139&lt;=60)),1,0)))+IF(P139="",0,IF(AND(IF(B139="JSE",$L$5,$L$4)&lt;&gt;"",P139&lt;IF(B139="JSE",$L$5,$L$4)),2,IF(P139&lt;0,1,0))),IF(N139="",0,IF(AND(N139&gt;=50,N139&lt;=70),2,IF(OR(AND(N139&gt;=40,N139&lt;50),AND(N139&gt;70,N139&lt;=75)),1,0)))+IF(P139="",0,IF(AND(IF(B139="JSE",$L$5,$L$4)&lt;&gt;"",P139&gt;IF(B139="JSE",$L$5,$L$4)),2,IF(P139&gt;0,1,0)))))</f>
        <v/>
      </c>
      <c r="AD139" s="16" t="str">
        <f aca="false">IF(C139="","",IF(F139="Short",IF(R139="",0,IF(R139&lt;=0.1,2,IF(R139&lt;=0.25,1,0))),IF(Q139="",0,IF(Q139&gt;=-0.1,2,IF(Q139&gt;=-0.25,1,0)))))</f>
        <v/>
      </c>
      <c r="AE139" s="16" t="str">
        <f aca="false">IF(C139="","",IF(J139="",0,IF(J139&gt;=IF(B139="JSE",$L$7,$L$6),2,IF(J139&gt;=IF(B139="JSE",$L$7,$L$6)/4,1,0))))</f>
        <v/>
      </c>
      <c r="AF139" s="16" t="str">
        <f aca="false">IF(C139="","",IF(F139="Short",AND(T139&lt;&gt;"",N(T139)&lt;0),N(T139)&gt;0)+(N(S139)&gt;=1.5))</f>
        <v/>
      </c>
      <c r="AG139" s="16" t="str">
        <f aca="false">IF(C139="","",IF(AL139="",0,IF(AL139&gt;=3,4,IF(AL139&gt;=2,2,0))))</f>
        <v/>
      </c>
      <c r="AH139" s="16" t="str">
        <f aca="false">IF(C139="","",IF(AND(ISNUMBER(V139),ISNUMBER(A139),V139&gt;=A139,V139-A139&lt;=14),-2,0))</f>
        <v/>
      </c>
      <c r="AI139" s="16" t="str">
        <f aca="false">IF(C139="","",IF(AND(F139="Short",N(U139)&gt;=0.2),-1,0))</f>
        <v/>
      </c>
      <c r="AJ139" s="23" t="str">
        <f aca="false">IF(C139="","",SUM(AB139:AI139))</f>
        <v/>
      </c>
      <c r="AK139" s="24" t="str">
        <f aca="false">IF(C139="","",IF(AJ139&gt;=14,"A",IF(AJ139&gt;=10,"B","C")))</f>
        <v/>
      </c>
      <c r="AL139" s="39" t="str">
        <f aca="false">IFERROR(IF(OR(Y139="",Z139="",AA139=""),"",IF(F139="Short",IF(Z139&lt;=Y139,"",(Y139-AA139)/(Z139-Y139)),IF(Y139&lt;=Z139,"",(AA139-Y139)/(Y139-Z139)))),"")</f>
        <v/>
      </c>
      <c r="AM139" s="37" t="str">
        <f aca="false">IF(OR(Y139="",Z139="",N(Y139)=N(Z139)),"",IF(OR(AND(F139="Short",Z139&lt;Y139),AND(NOT(F139="Short"),Z139&gt;Y139)),"stop on wrong side",ABS(Y139-Z139)))</f>
        <v/>
      </c>
      <c r="AN139" s="40" t="str">
        <f aca="false">IFERROR(IF(OR(NOT(ISNUMBER(AM139)),$C$6=""),"",ROUNDDOWN($C$6*$C$7/AM139,2)),"")</f>
        <v/>
      </c>
      <c r="AO139" s="37" t="str">
        <f aca="false">IFERROR(IF(AN139="","",AN139*Y139),"")</f>
        <v/>
      </c>
      <c r="AP139" s="35"/>
      <c r="AQ139" s="19"/>
      <c r="AR139" s="26"/>
      <c r="AS139" s="41" t="str">
        <f aca="false">IFERROR(IF(OR(AR139="",Y139="",AQ139=""),"",IF(F139="Short",1-AR139/Y139,AR139/Y139-1)),"")</f>
        <v/>
      </c>
      <c r="AT139" s="42" t="str">
        <f aca="true">IF(AQ139="","",IF(ISNUMBER($C$4),$C$4,TODAY())-AQ139)</f>
        <v/>
      </c>
      <c r="AU139" s="14" t="str">
        <f aca="false">IF(C139="","",IF(AP139="Open position",IF(IF(F139="Short",AND(ISNUMBER(AR139),ISNUMBER(Z139),AR139&gt;=Z139),AND(ISNUMBER(AR139),ISNUMBER(Z139),AR139&lt;=Z139)),IF(F139="Short","COVER — stop hit (buy back)","SELL — stop hit"),IF(IF(F139="Short",AND(ISNUMBER(AR139),ISNUMBER(AA139),AR139&lt;=AA139),AND(ISNUMBER(AR139),ISNUMBER(AA139),AR139&gt;=AA139)),"TAKE PROFIT — target hit",IF(AND(ISNUMBER(AT139),AT139&gt;182),IF(F139="Short","COVER — 6-month time limit","SELL — 6-month time limit"),IF(AND(ISNUMBER(AT139),AT139&gt;42,ISNUMBER(AS139),AS139&lt;0.02),"REVIEW — no progress after 6 weeks",IF(IF(F139="Short",AND(L139&lt;&gt;"",N(L139)&gt;0),AND(L139&lt;&gt;"",N(L139)&lt;0)),IF(F139="Short","REVIEW — back above 50-day avg","REVIEW — below 50-day avg"),"HOLD"))))),IF(OR(AP139="Closed",AP139="Dropped"),"Closed",IF(AK139="A",IF(F139="Short","Run Technical Review — SHORT entry","Run Technical Review — LONG entry"),IF(AK139="B","Watch — wait for setup","Drop or re-check next week")))))</f>
        <v/>
      </c>
      <c r="AV139" s="35"/>
      <c r="AX139" s="43" t="str">
        <f aca="false">IF(AND(C139&lt;&gt;"",A139=$C$4,ISNUMBER(AJ139)),AJ139+ROW()/100000,"")</f>
        <v/>
      </c>
    </row>
    <row r="140" customFormat="false" ht="15" hidden="false" customHeight="false" outlineLevel="0" collapsed="false">
      <c r="A140" s="19"/>
      <c r="B140" s="35"/>
      <c r="C140" s="35"/>
      <c r="D140" s="35"/>
      <c r="E140" s="35"/>
      <c r="F140" s="35"/>
      <c r="G140" s="26"/>
      <c r="H140" s="26"/>
      <c r="I140" s="36"/>
      <c r="J140" s="37" t="str">
        <f aca="false">IF(OR(G140="",I140=""),"",G140*I140/1000000)</f>
        <v/>
      </c>
      <c r="K140" s="21"/>
      <c r="L140" s="21"/>
      <c r="M140" s="21"/>
      <c r="N140" s="25"/>
      <c r="O140" s="21"/>
      <c r="P140" s="21"/>
      <c r="Q140" s="21"/>
      <c r="R140" s="21"/>
      <c r="S140" s="38"/>
      <c r="T140" s="21"/>
      <c r="U140" s="21"/>
      <c r="V140" s="19"/>
      <c r="W140" s="26"/>
      <c r="X140" s="35"/>
      <c r="Y140" s="26"/>
      <c r="Z140" s="26"/>
      <c r="AA140" s="26"/>
      <c r="AB140" s="16" t="str">
        <f aca="false">IF(C140="","",IF(F140="Short",(AND(M140&lt;&gt;"",N(M140)&lt;0))+(AND(L140&lt;&gt;"",N(L140)&lt;0))+(AND(K140&lt;&gt;"",N(K140)&lt;0))+AND(L140&lt;&gt;"",M140&lt;&gt;"",N(M140)&lt;N(L140)),(N(M140)&gt;0)+(N(L140)&gt;0)+(N(K140)&gt;0)+AND(L140&lt;&gt;"",M140&lt;&gt;"",N(M140)&gt;N(L140))))</f>
        <v/>
      </c>
      <c r="AC140" s="16" t="str">
        <f aca="false">IF(C140="","",IF(F140="Short",IF(N140="",0,IF(AND(N140&gt;=30,N140&lt;=50),2,IF(OR(AND(N140&gt;=25,N140&lt;30),AND(N140&gt;50,N140&lt;=60)),1,0)))+IF(P140="",0,IF(AND(IF(B140="JSE",$L$5,$L$4)&lt;&gt;"",P140&lt;IF(B140="JSE",$L$5,$L$4)),2,IF(P140&lt;0,1,0))),IF(N140="",0,IF(AND(N140&gt;=50,N140&lt;=70),2,IF(OR(AND(N140&gt;=40,N140&lt;50),AND(N140&gt;70,N140&lt;=75)),1,0)))+IF(P140="",0,IF(AND(IF(B140="JSE",$L$5,$L$4)&lt;&gt;"",P140&gt;IF(B140="JSE",$L$5,$L$4)),2,IF(P140&gt;0,1,0)))))</f>
        <v/>
      </c>
      <c r="AD140" s="16" t="str">
        <f aca="false">IF(C140="","",IF(F140="Short",IF(R140="",0,IF(R140&lt;=0.1,2,IF(R140&lt;=0.25,1,0))),IF(Q140="",0,IF(Q140&gt;=-0.1,2,IF(Q140&gt;=-0.25,1,0)))))</f>
        <v/>
      </c>
      <c r="AE140" s="16" t="str">
        <f aca="false">IF(C140="","",IF(J140="",0,IF(J140&gt;=IF(B140="JSE",$L$7,$L$6),2,IF(J140&gt;=IF(B140="JSE",$L$7,$L$6)/4,1,0))))</f>
        <v/>
      </c>
      <c r="AF140" s="16" t="str">
        <f aca="false">IF(C140="","",IF(F140="Short",AND(T140&lt;&gt;"",N(T140)&lt;0),N(T140)&gt;0)+(N(S140)&gt;=1.5))</f>
        <v/>
      </c>
      <c r="AG140" s="16" t="str">
        <f aca="false">IF(C140="","",IF(AL140="",0,IF(AL140&gt;=3,4,IF(AL140&gt;=2,2,0))))</f>
        <v/>
      </c>
      <c r="AH140" s="16" t="str">
        <f aca="false">IF(C140="","",IF(AND(ISNUMBER(V140),ISNUMBER(A140),V140&gt;=A140,V140-A140&lt;=14),-2,0))</f>
        <v/>
      </c>
      <c r="AI140" s="16" t="str">
        <f aca="false">IF(C140="","",IF(AND(F140="Short",N(U140)&gt;=0.2),-1,0))</f>
        <v/>
      </c>
      <c r="AJ140" s="23" t="str">
        <f aca="false">IF(C140="","",SUM(AB140:AI140))</f>
        <v/>
      </c>
      <c r="AK140" s="24" t="str">
        <f aca="false">IF(C140="","",IF(AJ140&gt;=14,"A",IF(AJ140&gt;=10,"B","C")))</f>
        <v/>
      </c>
      <c r="AL140" s="39" t="str">
        <f aca="false">IFERROR(IF(OR(Y140="",Z140="",AA140=""),"",IF(F140="Short",IF(Z140&lt;=Y140,"",(Y140-AA140)/(Z140-Y140)),IF(Y140&lt;=Z140,"",(AA140-Y140)/(Y140-Z140)))),"")</f>
        <v/>
      </c>
      <c r="AM140" s="37" t="str">
        <f aca="false">IF(OR(Y140="",Z140="",N(Y140)=N(Z140)),"",IF(OR(AND(F140="Short",Z140&lt;Y140),AND(NOT(F140="Short"),Z140&gt;Y140)),"stop on wrong side",ABS(Y140-Z140)))</f>
        <v/>
      </c>
      <c r="AN140" s="40" t="str">
        <f aca="false">IFERROR(IF(OR(NOT(ISNUMBER(AM140)),$C$6=""),"",ROUNDDOWN($C$6*$C$7/AM140,2)),"")</f>
        <v/>
      </c>
      <c r="AO140" s="37" t="str">
        <f aca="false">IFERROR(IF(AN140="","",AN140*Y140),"")</f>
        <v/>
      </c>
      <c r="AP140" s="35"/>
      <c r="AQ140" s="19"/>
      <c r="AR140" s="26"/>
      <c r="AS140" s="41" t="str">
        <f aca="false">IFERROR(IF(OR(AR140="",Y140="",AQ140=""),"",IF(F140="Short",1-AR140/Y140,AR140/Y140-1)),"")</f>
        <v/>
      </c>
      <c r="AT140" s="42" t="str">
        <f aca="true">IF(AQ140="","",IF(ISNUMBER($C$4),$C$4,TODAY())-AQ140)</f>
        <v/>
      </c>
      <c r="AU140" s="14" t="str">
        <f aca="false">IF(C140="","",IF(AP140="Open position",IF(IF(F140="Short",AND(ISNUMBER(AR140),ISNUMBER(Z140),AR140&gt;=Z140),AND(ISNUMBER(AR140),ISNUMBER(Z140),AR140&lt;=Z140)),IF(F140="Short","COVER — stop hit (buy back)","SELL — stop hit"),IF(IF(F140="Short",AND(ISNUMBER(AR140),ISNUMBER(AA140),AR140&lt;=AA140),AND(ISNUMBER(AR140),ISNUMBER(AA140),AR140&gt;=AA140)),"TAKE PROFIT — target hit",IF(AND(ISNUMBER(AT140),AT140&gt;182),IF(F140="Short","COVER — 6-month time limit","SELL — 6-month time limit"),IF(AND(ISNUMBER(AT140),AT140&gt;42,ISNUMBER(AS140),AS140&lt;0.02),"REVIEW — no progress after 6 weeks",IF(IF(F140="Short",AND(L140&lt;&gt;"",N(L140)&gt;0),AND(L140&lt;&gt;"",N(L140)&lt;0)),IF(F140="Short","REVIEW — back above 50-day avg","REVIEW — below 50-day avg"),"HOLD"))))),IF(OR(AP140="Closed",AP140="Dropped"),"Closed",IF(AK140="A",IF(F140="Short","Run Technical Review — SHORT entry","Run Technical Review — LONG entry"),IF(AK140="B","Watch — wait for setup","Drop or re-check next week")))))</f>
        <v/>
      </c>
      <c r="AV140" s="35"/>
      <c r="AX140" s="43" t="str">
        <f aca="false">IF(AND(C140&lt;&gt;"",A140=$C$4,ISNUMBER(AJ140)),AJ140+ROW()/100000,"")</f>
        <v/>
      </c>
    </row>
    <row r="141" customFormat="false" ht="15" hidden="false" customHeight="false" outlineLevel="0" collapsed="false">
      <c r="A141" s="19"/>
      <c r="B141" s="35"/>
      <c r="C141" s="35"/>
      <c r="D141" s="35"/>
      <c r="E141" s="35"/>
      <c r="F141" s="35"/>
      <c r="G141" s="26"/>
      <c r="H141" s="26"/>
      <c r="I141" s="36"/>
      <c r="J141" s="37" t="str">
        <f aca="false">IF(OR(G141="",I141=""),"",G141*I141/1000000)</f>
        <v/>
      </c>
      <c r="K141" s="21"/>
      <c r="L141" s="21"/>
      <c r="M141" s="21"/>
      <c r="N141" s="25"/>
      <c r="O141" s="21"/>
      <c r="P141" s="21"/>
      <c r="Q141" s="21"/>
      <c r="R141" s="21"/>
      <c r="S141" s="38"/>
      <c r="T141" s="21"/>
      <c r="U141" s="21"/>
      <c r="V141" s="19"/>
      <c r="W141" s="26"/>
      <c r="X141" s="35"/>
      <c r="Y141" s="26"/>
      <c r="Z141" s="26"/>
      <c r="AA141" s="26"/>
      <c r="AB141" s="16" t="str">
        <f aca="false">IF(C141="","",IF(F141="Short",(AND(M141&lt;&gt;"",N(M141)&lt;0))+(AND(L141&lt;&gt;"",N(L141)&lt;0))+(AND(K141&lt;&gt;"",N(K141)&lt;0))+AND(L141&lt;&gt;"",M141&lt;&gt;"",N(M141)&lt;N(L141)),(N(M141)&gt;0)+(N(L141)&gt;0)+(N(K141)&gt;0)+AND(L141&lt;&gt;"",M141&lt;&gt;"",N(M141)&gt;N(L141))))</f>
        <v/>
      </c>
      <c r="AC141" s="16" t="str">
        <f aca="false">IF(C141="","",IF(F141="Short",IF(N141="",0,IF(AND(N141&gt;=30,N141&lt;=50),2,IF(OR(AND(N141&gt;=25,N141&lt;30),AND(N141&gt;50,N141&lt;=60)),1,0)))+IF(P141="",0,IF(AND(IF(B141="JSE",$L$5,$L$4)&lt;&gt;"",P141&lt;IF(B141="JSE",$L$5,$L$4)),2,IF(P141&lt;0,1,0))),IF(N141="",0,IF(AND(N141&gt;=50,N141&lt;=70),2,IF(OR(AND(N141&gt;=40,N141&lt;50),AND(N141&gt;70,N141&lt;=75)),1,0)))+IF(P141="",0,IF(AND(IF(B141="JSE",$L$5,$L$4)&lt;&gt;"",P141&gt;IF(B141="JSE",$L$5,$L$4)),2,IF(P141&gt;0,1,0)))))</f>
        <v/>
      </c>
      <c r="AD141" s="16" t="str">
        <f aca="false">IF(C141="","",IF(F141="Short",IF(R141="",0,IF(R141&lt;=0.1,2,IF(R141&lt;=0.25,1,0))),IF(Q141="",0,IF(Q141&gt;=-0.1,2,IF(Q141&gt;=-0.25,1,0)))))</f>
        <v/>
      </c>
      <c r="AE141" s="16" t="str">
        <f aca="false">IF(C141="","",IF(J141="",0,IF(J141&gt;=IF(B141="JSE",$L$7,$L$6),2,IF(J141&gt;=IF(B141="JSE",$L$7,$L$6)/4,1,0))))</f>
        <v/>
      </c>
      <c r="AF141" s="16" t="str">
        <f aca="false">IF(C141="","",IF(F141="Short",AND(T141&lt;&gt;"",N(T141)&lt;0),N(T141)&gt;0)+(N(S141)&gt;=1.5))</f>
        <v/>
      </c>
      <c r="AG141" s="16" t="str">
        <f aca="false">IF(C141="","",IF(AL141="",0,IF(AL141&gt;=3,4,IF(AL141&gt;=2,2,0))))</f>
        <v/>
      </c>
      <c r="AH141" s="16" t="str">
        <f aca="false">IF(C141="","",IF(AND(ISNUMBER(V141),ISNUMBER(A141),V141&gt;=A141,V141-A141&lt;=14),-2,0))</f>
        <v/>
      </c>
      <c r="AI141" s="16" t="str">
        <f aca="false">IF(C141="","",IF(AND(F141="Short",N(U141)&gt;=0.2),-1,0))</f>
        <v/>
      </c>
      <c r="AJ141" s="23" t="str">
        <f aca="false">IF(C141="","",SUM(AB141:AI141))</f>
        <v/>
      </c>
      <c r="AK141" s="24" t="str">
        <f aca="false">IF(C141="","",IF(AJ141&gt;=14,"A",IF(AJ141&gt;=10,"B","C")))</f>
        <v/>
      </c>
      <c r="AL141" s="39" t="str">
        <f aca="false">IFERROR(IF(OR(Y141="",Z141="",AA141=""),"",IF(F141="Short",IF(Z141&lt;=Y141,"",(Y141-AA141)/(Z141-Y141)),IF(Y141&lt;=Z141,"",(AA141-Y141)/(Y141-Z141)))),"")</f>
        <v/>
      </c>
      <c r="AM141" s="37" t="str">
        <f aca="false">IF(OR(Y141="",Z141="",N(Y141)=N(Z141)),"",IF(OR(AND(F141="Short",Z141&lt;Y141),AND(NOT(F141="Short"),Z141&gt;Y141)),"stop on wrong side",ABS(Y141-Z141)))</f>
        <v/>
      </c>
      <c r="AN141" s="40" t="str">
        <f aca="false">IFERROR(IF(OR(NOT(ISNUMBER(AM141)),$C$6=""),"",ROUNDDOWN($C$6*$C$7/AM141,2)),"")</f>
        <v/>
      </c>
      <c r="AO141" s="37" t="str">
        <f aca="false">IFERROR(IF(AN141="","",AN141*Y141),"")</f>
        <v/>
      </c>
      <c r="AP141" s="35"/>
      <c r="AQ141" s="19"/>
      <c r="AR141" s="26"/>
      <c r="AS141" s="41" t="str">
        <f aca="false">IFERROR(IF(OR(AR141="",Y141="",AQ141=""),"",IF(F141="Short",1-AR141/Y141,AR141/Y141-1)),"")</f>
        <v/>
      </c>
      <c r="AT141" s="42" t="str">
        <f aca="true">IF(AQ141="","",IF(ISNUMBER($C$4),$C$4,TODAY())-AQ141)</f>
        <v/>
      </c>
      <c r="AU141" s="14" t="str">
        <f aca="false">IF(C141="","",IF(AP141="Open position",IF(IF(F141="Short",AND(ISNUMBER(AR141),ISNUMBER(Z141),AR141&gt;=Z141),AND(ISNUMBER(AR141),ISNUMBER(Z141),AR141&lt;=Z141)),IF(F141="Short","COVER — stop hit (buy back)","SELL — stop hit"),IF(IF(F141="Short",AND(ISNUMBER(AR141),ISNUMBER(AA141),AR141&lt;=AA141),AND(ISNUMBER(AR141),ISNUMBER(AA141),AR141&gt;=AA141)),"TAKE PROFIT — target hit",IF(AND(ISNUMBER(AT141),AT141&gt;182),IF(F141="Short","COVER — 6-month time limit","SELL — 6-month time limit"),IF(AND(ISNUMBER(AT141),AT141&gt;42,ISNUMBER(AS141),AS141&lt;0.02),"REVIEW — no progress after 6 weeks",IF(IF(F141="Short",AND(L141&lt;&gt;"",N(L141)&gt;0),AND(L141&lt;&gt;"",N(L141)&lt;0)),IF(F141="Short","REVIEW — back above 50-day avg","REVIEW — below 50-day avg"),"HOLD"))))),IF(OR(AP141="Closed",AP141="Dropped"),"Closed",IF(AK141="A",IF(F141="Short","Run Technical Review — SHORT entry","Run Technical Review — LONG entry"),IF(AK141="B","Watch — wait for setup","Drop or re-check next week")))))</f>
        <v/>
      </c>
      <c r="AV141" s="35"/>
      <c r="AX141" s="43" t="str">
        <f aca="false">IF(AND(C141&lt;&gt;"",A141=$C$4,ISNUMBER(AJ141)),AJ141+ROW()/100000,"")</f>
        <v/>
      </c>
    </row>
    <row r="142" customFormat="false" ht="15" hidden="false" customHeight="false" outlineLevel="0" collapsed="false">
      <c r="A142" s="19"/>
      <c r="B142" s="35"/>
      <c r="C142" s="35"/>
      <c r="D142" s="35"/>
      <c r="E142" s="35"/>
      <c r="F142" s="35"/>
      <c r="G142" s="26"/>
      <c r="H142" s="26"/>
      <c r="I142" s="36"/>
      <c r="J142" s="37" t="str">
        <f aca="false">IF(OR(G142="",I142=""),"",G142*I142/1000000)</f>
        <v/>
      </c>
      <c r="K142" s="21"/>
      <c r="L142" s="21"/>
      <c r="M142" s="21"/>
      <c r="N142" s="25"/>
      <c r="O142" s="21"/>
      <c r="P142" s="21"/>
      <c r="Q142" s="21"/>
      <c r="R142" s="21"/>
      <c r="S142" s="38"/>
      <c r="T142" s="21"/>
      <c r="U142" s="21"/>
      <c r="V142" s="19"/>
      <c r="W142" s="26"/>
      <c r="X142" s="35"/>
      <c r="Y142" s="26"/>
      <c r="Z142" s="26"/>
      <c r="AA142" s="26"/>
      <c r="AB142" s="16" t="str">
        <f aca="false">IF(C142="","",IF(F142="Short",(AND(M142&lt;&gt;"",N(M142)&lt;0))+(AND(L142&lt;&gt;"",N(L142)&lt;0))+(AND(K142&lt;&gt;"",N(K142)&lt;0))+AND(L142&lt;&gt;"",M142&lt;&gt;"",N(M142)&lt;N(L142)),(N(M142)&gt;0)+(N(L142)&gt;0)+(N(K142)&gt;0)+AND(L142&lt;&gt;"",M142&lt;&gt;"",N(M142)&gt;N(L142))))</f>
        <v/>
      </c>
      <c r="AC142" s="16" t="str">
        <f aca="false">IF(C142="","",IF(F142="Short",IF(N142="",0,IF(AND(N142&gt;=30,N142&lt;=50),2,IF(OR(AND(N142&gt;=25,N142&lt;30),AND(N142&gt;50,N142&lt;=60)),1,0)))+IF(P142="",0,IF(AND(IF(B142="JSE",$L$5,$L$4)&lt;&gt;"",P142&lt;IF(B142="JSE",$L$5,$L$4)),2,IF(P142&lt;0,1,0))),IF(N142="",0,IF(AND(N142&gt;=50,N142&lt;=70),2,IF(OR(AND(N142&gt;=40,N142&lt;50),AND(N142&gt;70,N142&lt;=75)),1,0)))+IF(P142="",0,IF(AND(IF(B142="JSE",$L$5,$L$4)&lt;&gt;"",P142&gt;IF(B142="JSE",$L$5,$L$4)),2,IF(P142&gt;0,1,0)))))</f>
        <v/>
      </c>
      <c r="AD142" s="16" t="str">
        <f aca="false">IF(C142="","",IF(F142="Short",IF(R142="",0,IF(R142&lt;=0.1,2,IF(R142&lt;=0.25,1,0))),IF(Q142="",0,IF(Q142&gt;=-0.1,2,IF(Q142&gt;=-0.25,1,0)))))</f>
        <v/>
      </c>
      <c r="AE142" s="16" t="str">
        <f aca="false">IF(C142="","",IF(J142="",0,IF(J142&gt;=IF(B142="JSE",$L$7,$L$6),2,IF(J142&gt;=IF(B142="JSE",$L$7,$L$6)/4,1,0))))</f>
        <v/>
      </c>
      <c r="AF142" s="16" t="str">
        <f aca="false">IF(C142="","",IF(F142="Short",AND(T142&lt;&gt;"",N(T142)&lt;0),N(T142)&gt;0)+(N(S142)&gt;=1.5))</f>
        <v/>
      </c>
      <c r="AG142" s="16" t="str">
        <f aca="false">IF(C142="","",IF(AL142="",0,IF(AL142&gt;=3,4,IF(AL142&gt;=2,2,0))))</f>
        <v/>
      </c>
      <c r="AH142" s="16" t="str">
        <f aca="false">IF(C142="","",IF(AND(ISNUMBER(V142),ISNUMBER(A142),V142&gt;=A142,V142-A142&lt;=14),-2,0))</f>
        <v/>
      </c>
      <c r="AI142" s="16" t="str">
        <f aca="false">IF(C142="","",IF(AND(F142="Short",N(U142)&gt;=0.2),-1,0))</f>
        <v/>
      </c>
      <c r="AJ142" s="23" t="str">
        <f aca="false">IF(C142="","",SUM(AB142:AI142))</f>
        <v/>
      </c>
      <c r="AK142" s="24" t="str">
        <f aca="false">IF(C142="","",IF(AJ142&gt;=14,"A",IF(AJ142&gt;=10,"B","C")))</f>
        <v/>
      </c>
      <c r="AL142" s="39" t="str">
        <f aca="false">IFERROR(IF(OR(Y142="",Z142="",AA142=""),"",IF(F142="Short",IF(Z142&lt;=Y142,"",(Y142-AA142)/(Z142-Y142)),IF(Y142&lt;=Z142,"",(AA142-Y142)/(Y142-Z142)))),"")</f>
        <v/>
      </c>
      <c r="AM142" s="37" t="str">
        <f aca="false">IF(OR(Y142="",Z142="",N(Y142)=N(Z142)),"",IF(OR(AND(F142="Short",Z142&lt;Y142),AND(NOT(F142="Short"),Z142&gt;Y142)),"stop on wrong side",ABS(Y142-Z142)))</f>
        <v/>
      </c>
      <c r="AN142" s="40" t="str">
        <f aca="false">IFERROR(IF(OR(NOT(ISNUMBER(AM142)),$C$6=""),"",ROUNDDOWN($C$6*$C$7/AM142,2)),"")</f>
        <v/>
      </c>
      <c r="AO142" s="37" t="str">
        <f aca="false">IFERROR(IF(AN142="","",AN142*Y142),"")</f>
        <v/>
      </c>
      <c r="AP142" s="35"/>
      <c r="AQ142" s="19"/>
      <c r="AR142" s="26"/>
      <c r="AS142" s="41" t="str">
        <f aca="false">IFERROR(IF(OR(AR142="",Y142="",AQ142=""),"",IF(F142="Short",1-AR142/Y142,AR142/Y142-1)),"")</f>
        <v/>
      </c>
      <c r="AT142" s="42" t="str">
        <f aca="true">IF(AQ142="","",IF(ISNUMBER($C$4),$C$4,TODAY())-AQ142)</f>
        <v/>
      </c>
      <c r="AU142" s="14" t="str">
        <f aca="false">IF(C142="","",IF(AP142="Open position",IF(IF(F142="Short",AND(ISNUMBER(AR142),ISNUMBER(Z142),AR142&gt;=Z142),AND(ISNUMBER(AR142),ISNUMBER(Z142),AR142&lt;=Z142)),IF(F142="Short","COVER — stop hit (buy back)","SELL — stop hit"),IF(IF(F142="Short",AND(ISNUMBER(AR142),ISNUMBER(AA142),AR142&lt;=AA142),AND(ISNUMBER(AR142),ISNUMBER(AA142),AR142&gt;=AA142)),"TAKE PROFIT — target hit",IF(AND(ISNUMBER(AT142),AT142&gt;182),IF(F142="Short","COVER — 6-month time limit","SELL — 6-month time limit"),IF(AND(ISNUMBER(AT142),AT142&gt;42,ISNUMBER(AS142),AS142&lt;0.02),"REVIEW — no progress after 6 weeks",IF(IF(F142="Short",AND(L142&lt;&gt;"",N(L142)&gt;0),AND(L142&lt;&gt;"",N(L142)&lt;0)),IF(F142="Short","REVIEW — back above 50-day avg","REVIEW — below 50-day avg"),"HOLD"))))),IF(OR(AP142="Closed",AP142="Dropped"),"Closed",IF(AK142="A",IF(F142="Short","Run Technical Review — SHORT entry","Run Technical Review — LONG entry"),IF(AK142="B","Watch — wait for setup","Drop or re-check next week")))))</f>
        <v/>
      </c>
      <c r="AV142" s="35"/>
      <c r="AX142" s="43" t="str">
        <f aca="false">IF(AND(C142&lt;&gt;"",A142=$C$4,ISNUMBER(AJ142)),AJ142+ROW()/100000,"")</f>
        <v/>
      </c>
    </row>
    <row r="143" customFormat="false" ht="15" hidden="false" customHeight="false" outlineLevel="0" collapsed="false">
      <c r="A143" s="19"/>
      <c r="B143" s="35"/>
      <c r="C143" s="35"/>
      <c r="D143" s="35"/>
      <c r="E143" s="35"/>
      <c r="F143" s="35"/>
      <c r="G143" s="26"/>
      <c r="H143" s="26"/>
      <c r="I143" s="36"/>
      <c r="J143" s="37" t="str">
        <f aca="false">IF(OR(G143="",I143=""),"",G143*I143/1000000)</f>
        <v/>
      </c>
      <c r="K143" s="21"/>
      <c r="L143" s="21"/>
      <c r="M143" s="21"/>
      <c r="N143" s="25"/>
      <c r="O143" s="21"/>
      <c r="P143" s="21"/>
      <c r="Q143" s="21"/>
      <c r="R143" s="21"/>
      <c r="S143" s="38"/>
      <c r="T143" s="21"/>
      <c r="U143" s="21"/>
      <c r="V143" s="19"/>
      <c r="W143" s="26"/>
      <c r="X143" s="35"/>
      <c r="Y143" s="26"/>
      <c r="Z143" s="26"/>
      <c r="AA143" s="26"/>
      <c r="AB143" s="16" t="str">
        <f aca="false">IF(C143="","",IF(F143="Short",(AND(M143&lt;&gt;"",N(M143)&lt;0))+(AND(L143&lt;&gt;"",N(L143)&lt;0))+(AND(K143&lt;&gt;"",N(K143)&lt;0))+AND(L143&lt;&gt;"",M143&lt;&gt;"",N(M143)&lt;N(L143)),(N(M143)&gt;0)+(N(L143)&gt;0)+(N(K143)&gt;0)+AND(L143&lt;&gt;"",M143&lt;&gt;"",N(M143)&gt;N(L143))))</f>
        <v/>
      </c>
      <c r="AC143" s="16" t="str">
        <f aca="false">IF(C143="","",IF(F143="Short",IF(N143="",0,IF(AND(N143&gt;=30,N143&lt;=50),2,IF(OR(AND(N143&gt;=25,N143&lt;30),AND(N143&gt;50,N143&lt;=60)),1,0)))+IF(P143="",0,IF(AND(IF(B143="JSE",$L$5,$L$4)&lt;&gt;"",P143&lt;IF(B143="JSE",$L$5,$L$4)),2,IF(P143&lt;0,1,0))),IF(N143="",0,IF(AND(N143&gt;=50,N143&lt;=70),2,IF(OR(AND(N143&gt;=40,N143&lt;50),AND(N143&gt;70,N143&lt;=75)),1,0)))+IF(P143="",0,IF(AND(IF(B143="JSE",$L$5,$L$4)&lt;&gt;"",P143&gt;IF(B143="JSE",$L$5,$L$4)),2,IF(P143&gt;0,1,0)))))</f>
        <v/>
      </c>
      <c r="AD143" s="16" t="str">
        <f aca="false">IF(C143="","",IF(F143="Short",IF(R143="",0,IF(R143&lt;=0.1,2,IF(R143&lt;=0.25,1,0))),IF(Q143="",0,IF(Q143&gt;=-0.1,2,IF(Q143&gt;=-0.25,1,0)))))</f>
        <v/>
      </c>
      <c r="AE143" s="16" t="str">
        <f aca="false">IF(C143="","",IF(J143="",0,IF(J143&gt;=IF(B143="JSE",$L$7,$L$6),2,IF(J143&gt;=IF(B143="JSE",$L$7,$L$6)/4,1,0))))</f>
        <v/>
      </c>
      <c r="AF143" s="16" t="str">
        <f aca="false">IF(C143="","",IF(F143="Short",AND(T143&lt;&gt;"",N(T143)&lt;0),N(T143)&gt;0)+(N(S143)&gt;=1.5))</f>
        <v/>
      </c>
      <c r="AG143" s="16" t="str">
        <f aca="false">IF(C143="","",IF(AL143="",0,IF(AL143&gt;=3,4,IF(AL143&gt;=2,2,0))))</f>
        <v/>
      </c>
      <c r="AH143" s="16" t="str">
        <f aca="false">IF(C143="","",IF(AND(ISNUMBER(V143),ISNUMBER(A143),V143&gt;=A143,V143-A143&lt;=14),-2,0))</f>
        <v/>
      </c>
      <c r="AI143" s="16" t="str">
        <f aca="false">IF(C143="","",IF(AND(F143="Short",N(U143)&gt;=0.2),-1,0))</f>
        <v/>
      </c>
      <c r="AJ143" s="23" t="str">
        <f aca="false">IF(C143="","",SUM(AB143:AI143))</f>
        <v/>
      </c>
      <c r="AK143" s="24" t="str">
        <f aca="false">IF(C143="","",IF(AJ143&gt;=14,"A",IF(AJ143&gt;=10,"B","C")))</f>
        <v/>
      </c>
      <c r="AL143" s="39" t="str">
        <f aca="false">IFERROR(IF(OR(Y143="",Z143="",AA143=""),"",IF(F143="Short",IF(Z143&lt;=Y143,"",(Y143-AA143)/(Z143-Y143)),IF(Y143&lt;=Z143,"",(AA143-Y143)/(Y143-Z143)))),"")</f>
        <v/>
      </c>
      <c r="AM143" s="37" t="str">
        <f aca="false">IF(OR(Y143="",Z143="",N(Y143)=N(Z143)),"",IF(OR(AND(F143="Short",Z143&lt;Y143),AND(NOT(F143="Short"),Z143&gt;Y143)),"stop on wrong side",ABS(Y143-Z143)))</f>
        <v/>
      </c>
      <c r="AN143" s="40" t="str">
        <f aca="false">IFERROR(IF(OR(NOT(ISNUMBER(AM143)),$C$6=""),"",ROUNDDOWN($C$6*$C$7/AM143,2)),"")</f>
        <v/>
      </c>
      <c r="AO143" s="37" t="str">
        <f aca="false">IFERROR(IF(AN143="","",AN143*Y143),"")</f>
        <v/>
      </c>
      <c r="AP143" s="35"/>
      <c r="AQ143" s="19"/>
      <c r="AR143" s="26"/>
      <c r="AS143" s="41" t="str">
        <f aca="false">IFERROR(IF(OR(AR143="",Y143="",AQ143=""),"",IF(F143="Short",1-AR143/Y143,AR143/Y143-1)),"")</f>
        <v/>
      </c>
      <c r="AT143" s="42" t="str">
        <f aca="true">IF(AQ143="","",IF(ISNUMBER($C$4),$C$4,TODAY())-AQ143)</f>
        <v/>
      </c>
      <c r="AU143" s="14" t="str">
        <f aca="false">IF(C143="","",IF(AP143="Open position",IF(IF(F143="Short",AND(ISNUMBER(AR143),ISNUMBER(Z143),AR143&gt;=Z143),AND(ISNUMBER(AR143),ISNUMBER(Z143),AR143&lt;=Z143)),IF(F143="Short","COVER — stop hit (buy back)","SELL — stop hit"),IF(IF(F143="Short",AND(ISNUMBER(AR143),ISNUMBER(AA143),AR143&lt;=AA143),AND(ISNUMBER(AR143),ISNUMBER(AA143),AR143&gt;=AA143)),"TAKE PROFIT — target hit",IF(AND(ISNUMBER(AT143),AT143&gt;182),IF(F143="Short","COVER — 6-month time limit","SELL — 6-month time limit"),IF(AND(ISNUMBER(AT143),AT143&gt;42,ISNUMBER(AS143),AS143&lt;0.02),"REVIEW — no progress after 6 weeks",IF(IF(F143="Short",AND(L143&lt;&gt;"",N(L143)&gt;0),AND(L143&lt;&gt;"",N(L143)&lt;0)),IF(F143="Short","REVIEW — back above 50-day avg","REVIEW — below 50-day avg"),"HOLD"))))),IF(OR(AP143="Closed",AP143="Dropped"),"Closed",IF(AK143="A",IF(F143="Short","Run Technical Review — SHORT entry","Run Technical Review — LONG entry"),IF(AK143="B","Watch — wait for setup","Drop or re-check next week")))))</f>
        <v/>
      </c>
      <c r="AV143" s="35"/>
      <c r="AX143" s="43" t="str">
        <f aca="false">IF(AND(C143&lt;&gt;"",A143=$C$4,ISNUMBER(AJ143)),AJ143+ROW()/100000,"")</f>
        <v/>
      </c>
    </row>
    <row r="144" customFormat="false" ht="15" hidden="false" customHeight="false" outlineLevel="0" collapsed="false">
      <c r="A144" s="19"/>
      <c r="B144" s="35"/>
      <c r="C144" s="35"/>
      <c r="D144" s="35"/>
      <c r="E144" s="35"/>
      <c r="F144" s="35"/>
      <c r="G144" s="26"/>
      <c r="H144" s="26"/>
      <c r="I144" s="36"/>
      <c r="J144" s="37" t="str">
        <f aca="false">IF(OR(G144="",I144=""),"",G144*I144/1000000)</f>
        <v/>
      </c>
      <c r="K144" s="21"/>
      <c r="L144" s="21"/>
      <c r="M144" s="21"/>
      <c r="N144" s="25"/>
      <c r="O144" s="21"/>
      <c r="P144" s="21"/>
      <c r="Q144" s="21"/>
      <c r="R144" s="21"/>
      <c r="S144" s="38"/>
      <c r="T144" s="21"/>
      <c r="U144" s="21"/>
      <c r="V144" s="19"/>
      <c r="W144" s="26"/>
      <c r="X144" s="35"/>
      <c r="Y144" s="26"/>
      <c r="Z144" s="26"/>
      <c r="AA144" s="26"/>
      <c r="AB144" s="16" t="str">
        <f aca="false">IF(C144="","",IF(F144="Short",(AND(M144&lt;&gt;"",N(M144)&lt;0))+(AND(L144&lt;&gt;"",N(L144)&lt;0))+(AND(K144&lt;&gt;"",N(K144)&lt;0))+AND(L144&lt;&gt;"",M144&lt;&gt;"",N(M144)&lt;N(L144)),(N(M144)&gt;0)+(N(L144)&gt;0)+(N(K144)&gt;0)+AND(L144&lt;&gt;"",M144&lt;&gt;"",N(M144)&gt;N(L144))))</f>
        <v/>
      </c>
      <c r="AC144" s="16" t="str">
        <f aca="false">IF(C144="","",IF(F144="Short",IF(N144="",0,IF(AND(N144&gt;=30,N144&lt;=50),2,IF(OR(AND(N144&gt;=25,N144&lt;30),AND(N144&gt;50,N144&lt;=60)),1,0)))+IF(P144="",0,IF(AND(IF(B144="JSE",$L$5,$L$4)&lt;&gt;"",P144&lt;IF(B144="JSE",$L$5,$L$4)),2,IF(P144&lt;0,1,0))),IF(N144="",0,IF(AND(N144&gt;=50,N144&lt;=70),2,IF(OR(AND(N144&gt;=40,N144&lt;50),AND(N144&gt;70,N144&lt;=75)),1,0)))+IF(P144="",0,IF(AND(IF(B144="JSE",$L$5,$L$4)&lt;&gt;"",P144&gt;IF(B144="JSE",$L$5,$L$4)),2,IF(P144&gt;0,1,0)))))</f>
        <v/>
      </c>
      <c r="AD144" s="16" t="str">
        <f aca="false">IF(C144="","",IF(F144="Short",IF(R144="",0,IF(R144&lt;=0.1,2,IF(R144&lt;=0.25,1,0))),IF(Q144="",0,IF(Q144&gt;=-0.1,2,IF(Q144&gt;=-0.25,1,0)))))</f>
        <v/>
      </c>
      <c r="AE144" s="16" t="str">
        <f aca="false">IF(C144="","",IF(J144="",0,IF(J144&gt;=IF(B144="JSE",$L$7,$L$6),2,IF(J144&gt;=IF(B144="JSE",$L$7,$L$6)/4,1,0))))</f>
        <v/>
      </c>
      <c r="AF144" s="16" t="str">
        <f aca="false">IF(C144="","",IF(F144="Short",AND(T144&lt;&gt;"",N(T144)&lt;0),N(T144)&gt;0)+(N(S144)&gt;=1.5))</f>
        <v/>
      </c>
      <c r="AG144" s="16" t="str">
        <f aca="false">IF(C144="","",IF(AL144="",0,IF(AL144&gt;=3,4,IF(AL144&gt;=2,2,0))))</f>
        <v/>
      </c>
      <c r="AH144" s="16" t="str">
        <f aca="false">IF(C144="","",IF(AND(ISNUMBER(V144),ISNUMBER(A144),V144&gt;=A144,V144-A144&lt;=14),-2,0))</f>
        <v/>
      </c>
      <c r="AI144" s="16" t="str">
        <f aca="false">IF(C144="","",IF(AND(F144="Short",N(U144)&gt;=0.2),-1,0))</f>
        <v/>
      </c>
      <c r="AJ144" s="23" t="str">
        <f aca="false">IF(C144="","",SUM(AB144:AI144))</f>
        <v/>
      </c>
      <c r="AK144" s="24" t="str">
        <f aca="false">IF(C144="","",IF(AJ144&gt;=14,"A",IF(AJ144&gt;=10,"B","C")))</f>
        <v/>
      </c>
      <c r="AL144" s="39" t="str">
        <f aca="false">IFERROR(IF(OR(Y144="",Z144="",AA144=""),"",IF(F144="Short",IF(Z144&lt;=Y144,"",(Y144-AA144)/(Z144-Y144)),IF(Y144&lt;=Z144,"",(AA144-Y144)/(Y144-Z144)))),"")</f>
        <v/>
      </c>
      <c r="AM144" s="37" t="str">
        <f aca="false">IF(OR(Y144="",Z144="",N(Y144)=N(Z144)),"",IF(OR(AND(F144="Short",Z144&lt;Y144),AND(NOT(F144="Short"),Z144&gt;Y144)),"stop on wrong side",ABS(Y144-Z144)))</f>
        <v/>
      </c>
      <c r="AN144" s="40" t="str">
        <f aca="false">IFERROR(IF(OR(NOT(ISNUMBER(AM144)),$C$6=""),"",ROUNDDOWN($C$6*$C$7/AM144,2)),"")</f>
        <v/>
      </c>
      <c r="AO144" s="37" t="str">
        <f aca="false">IFERROR(IF(AN144="","",AN144*Y144),"")</f>
        <v/>
      </c>
      <c r="AP144" s="35"/>
      <c r="AQ144" s="19"/>
      <c r="AR144" s="26"/>
      <c r="AS144" s="41" t="str">
        <f aca="false">IFERROR(IF(OR(AR144="",Y144="",AQ144=""),"",IF(F144="Short",1-AR144/Y144,AR144/Y144-1)),"")</f>
        <v/>
      </c>
      <c r="AT144" s="42" t="str">
        <f aca="true">IF(AQ144="","",IF(ISNUMBER($C$4),$C$4,TODAY())-AQ144)</f>
        <v/>
      </c>
      <c r="AU144" s="14" t="str">
        <f aca="false">IF(C144="","",IF(AP144="Open position",IF(IF(F144="Short",AND(ISNUMBER(AR144),ISNUMBER(Z144),AR144&gt;=Z144),AND(ISNUMBER(AR144),ISNUMBER(Z144),AR144&lt;=Z144)),IF(F144="Short","COVER — stop hit (buy back)","SELL — stop hit"),IF(IF(F144="Short",AND(ISNUMBER(AR144),ISNUMBER(AA144),AR144&lt;=AA144),AND(ISNUMBER(AR144),ISNUMBER(AA144),AR144&gt;=AA144)),"TAKE PROFIT — target hit",IF(AND(ISNUMBER(AT144),AT144&gt;182),IF(F144="Short","COVER — 6-month time limit","SELL — 6-month time limit"),IF(AND(ISNUMBER(AT144),AT144&gt;42,ISNUMBER(AS144),AS144&lt;0.02),"REVIEW — no progress after 6 weeks",IF(IF(F144="Short",AND(L144&lt;&gt;"",N(L144)&gt;0),AND(L144&lt;&gt;"",N(L144)&lt;0)),IF(F144="Short","REVIEW — back above 50-day avg","REVIEW — below 50-day avg"),"HOLD"))))),IF(OR(AP144="Closed",AP144="Dropped"),"Closed",IF(AK144="A",IF(F144="Short","Run Technical Review — SHORT entry","Run Technical Review — LONG entry"),IF(AK144="B","Watch — wait for setup","Drop or re-check next week")))))</f>
        <v/>
      </c>
      <c r="AV144" s="35"/>
      <c r="AX144" s="43" t="str">
        <f aca="false">IF(AND(C144&lt;&gt;"",A144=$C$4,ISNUMBER(AJ144)),AJ144+ROW()/100000,"")</f>
        <v/>
      </c>
    </row>
    <row r="145" customFormat="false" ht="15" hidden="false" customHeight="false" outlineLevel="0" collapsed="false">
      <c r="A145" s="19"/>
      <c r="B145" s="35"/>
      <c r="C145" s="35"/>
      <c r="D145" s="35"/>
      <c r="E145" s="35"/>
      <c r="F145" s="35"/>
      <c r="G145" s="26"/>
      <c r="H145" s="26"/>
      <c r="I145" s="36"/>
      <c r="J145" s="37" t="str">
        <f aca="false">IF(OR(G145="",I145=""),"",G145*I145/1000000)</f>
        <v/>
      </c>
      <c r="K145" s="21"/>
      <c r="L145" s="21"/>
      <c r="M145" s="21"/>
      <c r="N145" s="25"/>
      <c r="O145" s="21"/>
      <c r="P145" s="21"/>
      <c r="Q145" s="21"/>
      <c r="R145" s="21"/>
      <c r="S145" s="38"/>
      <c r="T145" s="21"/>
      <c r="U145" s="21"/>
      <c r="V145" s="19"/>
      <c r="W145" s="26"/>
      <c r="X145" s="35"/>
      <c r="Y145" s="26"/>
      <c r="Z145" s="26"/>
      <c r="AA145" s="26"/>
      <c r="AB145" s="16" t="str">
        <f aca="false">IF(C145="","",IF(F145="Short",(AND(M145&lt;&gt;"",N(M145)&lt;0))+(AND(L145&lt;&gt;"",N(L145)&lt;0))+(AND(K145&lt;&gt;"",N(K145)&lt;0))+AND(L145&lt;&gt;"",M145&lt;&gt;"",N(M145)&lt;N(L145)),(N(M145)&gt;0)+(N(L145)&gt;0)+(N(K145)&gt;0)+AND(L145&lt;&gt;"",M145&lt;&gt;"",N(M145)&gt;N(L145))))</f>
        <v/>
      </c>
      <c r="AC145" s="16" t="str">
        <f aca="false">IF(C145="","",IF(F145="Short",IF(N145="",0,IF(AND(N145&gt;=30,N145&lt;=50),2,IF(OR(AND(N145&gt;=25,N145&lt;30),AND(N145&gt;50,N145&lt;=60)),1,0)))+IF(P145="",0,IF(AND(IF(B145="JSE",$L$5,$L$4)&lt;&gt;"",P145&lt;IF(B145="JSE",$L$5,$L$4)),2,IF(P145&lt;0,1,0))),IF(N145="",0,IF(AND(N145&gt;=50,N145&lt;=70),2,IF(OR(AND(N145&gt;=40,N145&lt;50),AND(N145&gt;70,N145&lt;=75)),1,0)))+IF(P145="",0,IF(AND(IF(B145="JSE",$L$5,$L$4)&lt;&gt;"",P145&gt;IF(B145="JSE",$L$5,$L$4)),2,IF(P145&gt;0,1,0)))))</f>
        <v/>
      </c>
      <c r="AD145" s="16" t="str">
        <f aca="false">IF(C145="","",IF(F145="Short",IF(R145="",0,IF(R145&lt;=0.1,2,IF(R145&lt;=0.25,1,0))),IF(Q145="",0,IF(Q145&gt;=-0.1,2,IF(Q145&gt;=-0.25,1,0)))))</f>
        <v/>
      </c>
      <c r="AE145" s="16" t="str">
        <f aca="false">IF(C145="","",IF(J145="",0,IF(J145&gt;=IF(B145="JSE",$L$7,$L$6),2,IF(J145&gt;=IF(B145="JSE",$L$7,$L$6)/4,1,0))))</f>
        <v/>
      </c>
      <c r="AF145" s="16" t="str">
        <f aca="false">IF(C145="","",IF(F145="Short",AND(T145&lt;&gt;"",N(T145)&lt;0),N(T145)&gt;0)+(N(S145)&gt;=1.5))</f>
        <v/>
      </c>
      <c r="AG145" s="16" t="str">
        <f aca="false">IF(C145="","",IF(AL145="",0,IF(AL145&gt;=3,4,IF(AL145&gt;=2,2,0))))</f>
        <v/>
      </c>
      <c r="AH145" s="16" t="str">
        <f aca="false">IF(C145="","",IF(AND(ISNUMBER(V145),ISNUMBER(A145),V145&gt;=A145,V145-A145&lt;=14),-2,0))</f>
        <v/>
      </c>
      <c r="AI145" s="16" t="str">
        <f aca="false">IF(C145="","",IF(AND(F145="Short",N(U145)&gt;=0.2),-1,0))</f>
        <v/>
      </c>
      <c r="AJ145" s="23" t="str">
        <f aca="false">IF(C145="","",SUM(AB145:AI145))</f>
        <v/>
      </c>
      <c r="AK145" s="24" t="str">
        <f aca="false">IF(C145="","",IF(AJ145&gt;=14,"A",IF(AJ145&gt;=10,"B","C")))</f>
        <v/>
      </c>
      <c r="AL145" s="39" t="str">
        <f aca="false">IFERROR(IF(OR(Y145="",Z145="",AA145=""),"",IF(F145="Short",IF(Z145&lt;=Y145,"",(Y145-AA145)/(Z145-Y145)),IF(Y145&lt;=Z145,"",(AA145-Y145)/(Y145-Z145)))),"")</f>
        <v/>
      </c>
      <c r="AM145" s="37" t="str">
        <f aca="false">IF(OR(Y145="",Z145="",N(Y145)=N(Z145)),"",IF(OR(AND(F145="Short",Z145&lt;Y145),AND(NOT(F145="Short"),Z145&gt;Y145)),"stop on wrong side",ABS(Y145-Z145)))</f>
        <v/>
      </c>
      <c r="AN145" s="40" t="str">
        <f aca="false">IFERROR(IF(OR(NOT(ISNUMBER(AM145)),$C$6=""),"",ROUNDDOWN($C$6*$C$7/AM145,2)),"")</f>
        <v/>
      </c>
      <c r="AO145" s="37" t="str">
        <f aca="false">IFERROR(IF(AN145="","",AN145*Y145),"")</f>
        <v/>
      </c>
      <c r="AP145" s="35"/>
      <c r="AQ145" s="19"/>
      <c r="AR145" s="26"/>
      <c r="AS145" s="41" t="str">
        <f aca="false">IFERROR(IF(OR(AR145="",Y145="",AQ145=""),"",IF(F145="Short",1-AR145/Y145,AR145/Y145-1)),"")</f>
        <v/>
      </c>
      <c r="AT145" s="42" t="str">
        <f aca="true">IF(AQ145="","",IF(ISNUMBER($C$4),$C$4,TODAY())-AQ145)</f>
        <v/>
      </c>
      <c r="AU145" s="14" t="str">
        <f aca="false">IF(C145="","",IF(AP145="Open position",IF(IF(F145="Short",AND(ISNUMBER(AR145),ISNUMBER(Z145),AR145&gt;=Z145),AND(ISNUMBER(AR145),ISNUMBER(Z145),AR145&lt;=Z145)),IF(F145="Short","COVER — stop hit (buy back)","SELL — stop hit"),IF(IF(F145="Short",AND(ISNUMBER(AR145),ISNUMBER(AA145),AR145&lt;=AA145),AND(ISNUMBER(AR145),ISNUMBER(AA145),AR145&gt;=AA145)),"TAKE PROFIT — target hit",IF(AND(ISNUMBER(AT145),AT145&gt;182),IF(F145="Short","COVER — 6-month time limit","SELL — 6-month time limit"),IF(AND(ISNUMBER(AT145),AT145&gt;42,ISNUMBER(AS145),AS145&lt;0.02),"REVIEW — no progress after 6 weeks",IF(IF(F145="Short",AND(L145&lt;&gt;"",N(L145)&gt;0),AND(L145&lt;&gt;"",N(L145)&lt;0)),IF(F145="Short","REVIEW — back above 50-day avg","REVIEW — below 50-day avg"),"HOLD"))))),IF(OR(AP145="Closed",AP145="Dropped"),"Closed",IF(AK145="A",IF(F145="Short","Run Technical Review — SHORT entry","Run Technical Review — LONG entry"),IF(AK145="B","Watch — wait for setup","Drop or re-check next week")))))</f>
        <v/>
      </c>
      <c r="AV145" s="35"/>
      <c r="AX145" s="43" t="str">
        <f aca="false">IF(AND(C145&lt;&gt;"",A145=$C$4,ISNUMBER(AJ145)),AJ145+ROW()/100000,"")</f>
        <v/>
      </c>
    </row>
    <row r="146" customFormat="false" ht="15" hidden="false" customHeight="false" outlineLevel="0" collapsed="false">
      <c r="A146" s="19"/>
      <c r="B146" s="35"/>
      <c r="C146" s="35"/>
      <c r="D146" s="35"/>
      <c r="E146" s="35"/>
      <c r="F146" s="35"/>
      <c r="G146" s="26"/>
      <c r="H146" s="26"/>
      <c r="I146" s="36"/>
      <c r="J146" s="37" t="str">
        <f aca="false">IF(OR(G146="",I146=""),"",G146*I146/1000000)</f>
        <v/>
      </c>
      <c r="K146" s="21"/>
      <c r="L146" s="21"/>
      <c r="M146" s="21"/>
      <c r="N146" s="25"/>
      <c r="O146" s="21"/>
      <c r="P146" s="21"/>
      <c r="Q146" s="21"/>
      <c r="R146" s="21"/>
      <c r="S146" s="38"/>
      <c r="T146" s="21"/>
      <c r="U146" s="21"/>
      <c r="V146" s="19"/>
      <c r="W146" s="26"/>
      <c r="X146" s="35"/>
      <c r="Y146" s="26"/>
      <c r="Z146" s="26"/>
      <c r="AA146" s="26"/>
      <c r="AB146" s="16" t="str">
        <f aca="false">IF(C146="","",IF(F146="Short",(AND(M146&lt;&gt;"",N(M146)&lt;0))+(AND(L146&lt;&gt;"",N(L146)&lt;0))+(AND(K146&lt;&gt;"",N(K146)&lt;0))+AND(L146&lt;&gt;"",M146&lt;&gt;"",N(M146)&lt;N(L146)),(N(M146)&gt;0)+(N(L146)&gt;0)+(N(K146)&gt;0)+AND(L146&lt;&gt;"",M146&lt;&gt;"",N(M146)&gt;N(L146))))</f>
        <v/>
      </c>
      <c r="AC146" s="16" t="str">
        <f aca="false">IF(C146="","",IF(F146="Short",IF(N146="",0,IF(AND(N146&gt;=30,N146&lt;=50),2,IF(OR(AND(N146&gt;=25,N146&lt;30),AND(N146&gt;50,N146&lt;=60)),1,0)))+IF(P146="",0,IF(AND(IF(B146="JSE",$L$5,$L$4)&lt;&gt;"",P146&lt;IF(B146="JSE",$L$5,$L$4)),2,IF(P146&lt;0,1,0))),IF(N146="",0,IF(AND(N146&gt;=50,N146&lt;=70),2,IF(OR(AND(N146&gt;=40,N146&lt;50),AND(N146&gt;70,N146&lt;=75)),1,0)))+IF(P146="",0,IF(AND(IF(B146="JSE",$L$5,$L$4)&lt;&gt;"",P146&gt;IF(B146="JSE",$L$5,$L$4)),2,IF(P146&gt;0,1,0)))))</f>
        <v/>
      </c>
      <c r="AD146" s="16" t="str">
        <f aca="false">IF(C146="","",IF(F146="Short",IF(R146="",0,IF(R146&lt;=0.1,2,IF(R146&lt;=0.25,1,0))),IF(Q146="",0,IF(Q146&gt;=-0.1,2,IF(Q146&gt;=-0.25,1,0)))))</f>
        <v/>
      </c>
      <c r="AE146" s="16" t="str">
        <f aca="false">IF(C146="","",IF(J146="",0,IF(J146&gt;=IF(B146="JSE",$L$7,$L$6),2,IF(J146&gt;=IF(B146="JSE",$L$7,$L$6)/4,1,0))))</f>
        <v/>
      </c>
      <c r="AF146" s="16" t="str">
        <f aca="false">IF(C146="","",IF(F146="Short",AND(T146&lt;&gt;"",N(T146)&lt;0),N(T146)&gt;0)+(N(S146)&gt;=1.5))</f>
        <v/>
      </c>
      <c r="AG146" s="16" t="str">
        <f aca="false">IF(C146="","",IF(AL146="",0,IF(AL146&gt;=3,4,IF(AL146&gt;=2,2,0))))</f>
        <v/>
      </c>
      <c r="AH146" s="16" t="str">
        <f aca="false">IF(C146="","",IF(AND(ISNUMBER(V146),ISNUMBER(A146),V146&gt;=A146,V146-A146&lt;=14),-2,0))</f>
        <v/>
      </c>
      <c r="AI146" s="16" t="str">
        <f aca="false">IF(C146="","",IF(AND(F146="Short",N(U146)&gt;=0.2),-1,0))</f>
        <v/>
      </c>
      <c r="AJ146" s="23" t="str">
        <f aca="false">IF(C146="","",SUM(AB146:AI146))</f>
        <v/>
      </c>
      <c r="AK146" s="24" t="str">
        <f aca="false">IF(C146="","",IF(AJ146&gt;=14,"A",IF(AJ146&gt;=10,"B","C")))</f>
        <v/>
      </c>
      <c r="AL146" s="39" t="str">
        <f aca="false">IFERROR(IF(OR(Y146="",Z146="",AA146=""),"",IF(F146="Short",IF(Z146&lt;=Y146,"",(Y146-AA146)/(Z146-Y146)),IF(Y146&lt;=Z146,"",(AA146-Y146)/(Y146-Z146)))),"")</f>
        <v/>
      </c>
      <c r="AM146" s="37" t="str">
        <f aca="false">IF(OR(Y146="",Z146="",N(Y146)=N(Z146)),"",IF(OR(AND(F146="Short",Z146&lt;Y146),AND(NOT(F146="Short"),Z146&gt;Y146)),"stop on wrong side",ABS(Y146-Z146)))</f>
        <v/>
      </c>
      <c r="AN146" s="40" t="str">
        <f aca="false">IFERROR(IF(OR(NOT(ISNUMBER(AM146)),$C$6=""),"",ROUNDDOWN($C$6*$C$7/AM146,2)),"")</f>
        <v/>
      </c>
      <c r="AO146" s="37" t="str">
        <f aca="false">IFERROR(IF(AN146="","",AN146*Y146),"")</f>
        <v/>
      </c>
      <c r="AP146" s="35"/>
      <c r="AQ146" s="19"/>
      <c r="AR146" s="26"/>
      <c r="AS146" s="41" t="str">
        <f aca="false">IFERROR(IF(OR(AR146="",Y146="",AQ146=""),"",IF(F146="Short",1-AR146/Y146,AR146/Y146-1)),"")</f>
        <v/>
      </c>
      <c r="AT146" s="42" t="str">
        <f aca="true">IF(AQ146="","",IF(ISNUMBER($C$4),$C$4,TODAY())-AQ146)</f>
        <v/>
      </c>
      <c r="AU146" s="14" t="str">
        <f aca="false">IF(C146="","",IF(AP146="Open position",IF(IF(F146="Short",AND(ISNUMBER(AR146),ISNUMBER(Z146),AR146&gt;=Z146),AND(ISNUMBER(AR146),ISNUMBER(Z146),AR146&lt;=Z146)),IF(F146="Short","COVER — stop hit (buy back)","SELL — stop hit"),IF(IF(F146="Short",AND(ISNUMBER(AR146),ISNUMBER(AA146),AR146&lt;=AA146),AND(ISNUMBER(AR146),ISNUMBER(AA146),AR146&gt;=AA146)),"TAKE PROFIT — target hit",IF(AND(ISNUMBER(AT146),AT146&gt;182),IF(F146="Short","COVER — 6-month time limit","SELL — 6-month time limit"),IF(AND(ISNUMBER(AT146),AT146&gt;42,ISNUMBER(AS146),AS146&lt;0.02),"REVIEW — no progress after 6 weeks",IF(IF(F146="Short",AND(L146&lt;&gt;"",N(L146)&gt;0),AND(L146&lt;&gt;"",N(L146)&lt;0)),IF(F146="Short","REVIEW — back above 50-day avg","REVIEW — below 50-day avg"),"HOLD"))))),IF(OR(AP146="Closed",AP146="Dropped"),"Closed",IF(AK146="A",IF(F146="Short","Run Technical Review — SHORT entry","Run Technical Review — LONG entry"),IF(AK146="B","Watch — wait for setup","Drop or re-check next week")))))</f>
        <v/>
      </c>
      <c r="AV146" s="35"/>
      <c r="AX146" s="43" t="str">
        <f aca="false">IF(AND(C146&lt;&gt;"",A146=$C$4,ISNUMBER(AJ146)),AJ146+ROW()/100000,"")</f>
        <v/>
      </c>
    </row>
    <row r="147" customFormat="false" ht="15" hidden="false" customHeight="false" outlineLevel="0" collapsed="false">
      <c r="A147" s="19"/>
      <c r="B147" s="35"/>
      <c r="C147" s="35"/>
      <c r="D147" s="35"/>
      <c r="E147" s="35"/>
      <c r="F147" s="35"/>
      <c r="G147" s="26"/>
      <c r="H147" s="26"/>
      <c r="I147" s="36"/>
      <c r="J147" s="37" t="str">
        <f aca="false">IF(OR(G147="",I147=""),"",G147*I147/1000000)</f>
        <v/>
      </c>
      <c r="K147" s="21"/>
      <c r="L147" s="21"/>
      <c r="M147" s="21"/>
      <c r="N147" s="25"/>
      <c r="O147" s="21"/>
      <c r="P147" s="21"/>
      <c r="Q147" s="21"/>
      <c r="R147" s="21"/>
      <c r="S147" s="38"/>
      <c r="T147" s="21"/>
      <c r="U147" s="21"/>
      <c r="V147" s="19"/>
      <c r="W147" s="26"/>
      <c r="X147" s="35"/>
      <c r="Y147" s="26"/>
      <c r="Z147" s="26"/>
      <c r="AA147" s="26"/>
      <c r="AB147" s="16" t="str">
        <f aca="false">IF(C147="","",IF(F147="Short",(AND(M147&lt;&gt;"",N(M147)&lt;0))+(AND(L147&lt;&gt;"",N(L147)&lt;0))+(AND(K147&lt;&gt;"",N(K147)&lt;0))+AND(L147&lt;&gt;"",M147&lt;&gt;"",N(M147)&lt;N(L147)),(N(M147)&gt;0)+(N(L147)&gt;0)+(N(K147)&gt;0)+AND(L147&lt;&gt;"",M147&lt;&gt;"",N(M147)&gt;N(L147))))</f>
        <v/>
      </c>
      <c r="AC147" s="16" t="str">
        <f aca="false">IF(C147="","",IF(F147="Short",IF(N147="",0,IF(AND(N147&gt;=30,N147&lt;=50),2,IF(OR(AND(N147&gt;=25,N147&lt;30),AND(N147&gt;50,N147&lt;=60)),1,0)))+IF(P147="",0,IF(AND(IF(B147="JSE",$L$5,$L$4)&lt;&gt;"",P147&lt;IF(B147="JSE",$L$5,$L$4)),2,IF(P147&lt;0,1,0))),IF(N147="",0,IF(AND(N147&gt;=50,N147&lt;=70),2,IF(OR(AND(N147&gt;=40,N147&lt;50),AND(N147&gt;70,N147&lt;=75)),1,0)))+IF(P147="",0,IF(AND(IF(B147="JSE",$L$5,$L$4)&lt;&gt;"",P147&gt;IF(B147="JSE",$L$5,$L$4)),2,IF(P147&gt;0,1,0)))))</f>
        <v/>
      </c>
      <c r="AD147" s="16" t="str">
        <f aca="false">IF(C147="","",IF(F147="Short",IF(R147="",0,IF(R147&lt;=0.1,2,IF(R147&lt;=0.25,1,0))),IF(Q147="",0,IF(Q147&gt;=-0.1,2,IF(Q147&gt;=-0.25,1,0)))))</f>
        <v/>
      </c>
      <c r="AE147" s="16" t="str">
        <f aca="false">IF(C147="","",IF(J147="",0,IF(J147&gt;=IF(B147="JSE",$L$7,$L$6),2,IF(J147&gt;=IF(B147="JSE",$L$7,$L$6)/4,1,0))))</f>
        <v/>
      </c>
      <c r="AF147" s="16" t="str">
        <f aca="false">IF(C147="","",IF(F147="Short",AND(T147&lt;&gt;"",N(T147)&lt;0),N(T147)&gt;0)+(N(S147)&gt;=1.5))</f>
        <v/>
      </c>
      <c r="AG147" s="16" t="str">
        <f aca="false">IF(C147="","",IF(AL147="",0,IF(AL147&gt;=3,4,IF(AL147&gt;=2,2,0))))</f>
        <v/>
      </c>
      <c r="AH147" s="16" t="str">
        <f aca="false">IF(C147="","",IF(AND(ISNUMBER(V147),ISNUMBER(A147),V147&gt;=A147,V147-A147&lt;=14),-2,0))</f>
        <v/>
      </c>
      <c r="AI147" s="16" t="str">
        <f aca="false">IF(C147="","",IF(AND(F147="Short",N(U147)&gt;=0.2),-1,0))</f>
        <v/>
      </c>
      <c r="AJ147" s="23" t="str">
        <f aca="false">IF(C147="","",SUM(AB147:AI147))</f>
        <v/>
      </c>
      <c r="AK147" s="24" t="str">
        <f aca="false">IF(C147="","",IF(AJ147&gt;=14,"A",IF(AJ147&gt;=10,"B","C")))</f>
        <v/>
      </c>
      <c r="AL147" s="39" t="str">
        <f aca="false">IFERROR(IF(OR(Y147="",Z147="",AA147=""),"",IF(F147="Short",IF(Z147&lt;=Y147,"",(Y147-AA147)/(Z147-Y147)),IF(Y147&lt;=Z147,"",(AA147-Y147)/(Y147-Z147)))),"")</f>
        <v/>
      </c>
      <c r="AM147" s="37" t="str">
        <f aca="false">IF(OR(Y147="",Z147="",N(Y147)=N(Z147)),"",IF(OR(AND(F147="Short",Z147&lt;Y147),AND(NOT(F147="Short"),Z147&gt;Y147)),"stop on wrong side",ABS(Y147-Z147)))</f>
        <v/>
      </c>
      <c r="AN147" s="40" t="str">
        <f aca="false">IFERROR(IF(OR(NOT(ISNUMBER(AM147)),$C$6=""),"",ROUNDDOWN($C$6*$C$7/AM147,2)),"")</f>
        <v/>
      </c>
      <c r="AO147" s="37" t="str">
        <f aca="false">IFERROR(IF(AN147="","",AN147*Y147),"")</f>
        <v/>
      </c>
      <c r="AP147" s="35"/>
      <c r="AQ147" s="19"/>
      <c r="AR147" s="26"/>
      <c r="AS147" s="41" t="str">
        <f aca="false">IFERROR(IF(OR(AR147="",Y147="",AQ147=""),"",IF(F147="Short",1-AR147/Y147,AR147/Y147-1)),"")</f>
        <v/>
      </c>
      <c r="AT147" s="42" t="str">
        <f aca="true">IF(AQ147="","",IF(ISNUMBER($C$4),$C$4,TODAY())-AQ147)</f>
        <v/>
      </c>
      <c r="AU147" s="14" t="str">
        <f aca="false">IF(C147="","",IF(AP147="Open position",IF(IF(F147="Short",AND(ISNUMBER(AR147),ISNUMBER(Z147),AR147&gt;=Z147),AND(ISNUMBER(AR147),ISNUMBER(Z147),AR147&lt;=Z147)),IF(F147="Short","COVER — stop hit (buy back)","SELL — stop hit"),IF(IF(F147="Short",AND(ISNUMBER(AR147),ISNUMBER(AA147),AR147&lt;=AA147),AND(ISNUMBER(AR147),ISNUMBER(AA147),AR147&gt;=AA147)),"TAKE PROFIT — target hit",IF(AND(ISNUMBER(AT147),AT147&gt;182),IF(F147="Short","COVER — 6-month time limit","SELL — 6-month time limit"),IF(AND(ISNUMBER(AT147),AT147&gt;42,ISNUMBER(AS147),AS147&lt;0.02),"REVIEW — no progress after 6 weeks",IF(IF(F147="Short",AND(L147&lt;&gt;"",N(L147)&gt;0),AND(L147&lt;&gt;"",N(L147)&lt;0)),IF(F147="Short","REVIEW — back above 50-day avg","REVIEW — below 50-day avg"),"HOLD"))))),IF(OR(AP147="Closed",AP147="Dropped"),"Closed",IF(AK147="A",IF(F147="Short","Run Technical Review — SHORT entry","Run Technical Review — LONG entry"),IF(AK147="B","Watch — wait for setup","Drop or re-check next week")))))</f>
        <v/>
      </c>
      <c r="AV147" s="35"/>
      <c r="AX147" s="43" t="str">
        <f aca="false">IF(AND(C147&lt;&gt;"",A147=$C$4,ISNUMBER(AJ147)),AJ147+ROW()/100000,"")</f>
        <v/>
      </c>
    </row>
    <row r="148" customFormat="false" ht="15" hidden="false" customHeight="false" outlineLevel="0" collapsed="false">
      <c r="A148" s="19"/>
      <c r="B148" s="35"/>
      <c r="C148" s="35"/>
      <c r="D148" s="35"/>
      <c r="E148" s="35"/>
      <c r="F148" s="35"/>
      <c r="G148" s="26"/>
      <c r="H148" s="26"/>
      <c r="I148" s="36"/>
      <c r="J148" s="37" t="str">
        <f aca="false">IF(OR(G148="",I148=""),"",G148*I148/1000000)</f>
        <v/>
      </c>
      <c r="K148" s="21"/>
      <c r="L148" s="21"/>
      <c r="M148" s="21"/>
      <c r="N148" s="25"/>
      <c r="O148" s="21"/>
      <c r="P148" s="21"/>
      <c r="Q148" s="21"/>
      <c r="R148" s="21"/>
      <c r="S148" s="38"/>
      <c r="T148" s="21"/>
      <c r="U148" s="21"/>
      <c r="V148" s="19"/>
      <c r="W148" s="26"/>
      <c r="X148" s="35"/>
      <c r="Y148" s="26"/>
      <c r="Z148" s="26"/>
      <c r="AA148" s="26"/>
      <c r="AB148" s="16" t="str">
        <f aca="false">IF(C148="","",IF(F148="Short",(AND(M148&lt;&gt;"",N(M148)&lt;0))+(AND(L148&lt;&gt;"",N(L148)&lt;0))+(AND(K148&lt;&gt;"",N(K148)&lt;0))+AND(L148&lt;&gt;"",M148&lt;&gt;"",N(M148)&lt;N(L148)),(N(M148)&gt;0)+(N(L148)&gt;0)+(N(K148)&gt;0)+AND(L148&lt;&gt;"",M148&lt;&gt;"",N(M148)&gt;N(L148))))</f>
        <v/>
      </c>
      <c r="AC148" s="16" t="str">
        <f aca="false">IF(C148="","",IF(F148="Short",IF(N148="",0,IF(AND(N148&gt;=30,N148&lt;=50),2,IF(OR(AND(N148&gt;=25,N148&lt;30),AND(N148&gt;50,N148&lt;=60)),1,0)))+IF(P148="",0,IF(AND(IF(B148="JSE",$L$5,$L$4)&lt;&gt;"",P148&lt;IF(B148="JSE",$L$5,$L$4)),2,IF(P148&lt;0,1,0))),IF(N148="",0,IF(AND(N148&gt;=50,N148&lt;=70),2,IF(OR(AND(N148&gt;=40,N148&lt;50),AND(N148&gt;70,N148&lt;=75)),1,0)))+IF(P148="",0,IF(AND(IF(B148="JSE",$L$5,$L$4)&lt;&gt;"",P148&gt;IF(B148="JSE",$L$5,$L$4)),2,IF(P148&gt;0,1,0)))))</f>
        <v/>
      </c>
      <c r="AD148" s="16" t="str">
        <f aca="false">IF(C148="","",IF(F148="Short",IF(R148="",0,IF(R148&lt;=0.1,2,IF(R148&lt;=0.25,1,0))),IF(Q148="",0,IF(Q148&gt;=-0.1,2,IF(Q148&gt;=-0.25,1,0)))))</f>
        <v/>
      </c>
      <c r="AE148" s="16" t="str">
        <f aca="false">IF(C148="","",IF(J148="",0,IF(J148&gt;=IF(B148="JSE",$L$7,$L$6),2,IF(J148&gt;=IF(B148="JSE",$L$7,$L$6)/4,1,0))))</f>
        <v/>
      </c>
      <c r="AF148" s="16" t="str">
        <f aca="false">IF(C148="","",IF(F148="Short",AND(T148&lt;&gt;"",N(T148)&lt;0),N(T148)&gt;0)+(N(S148)&gt;=1.5))</f>
        <v/>
      </c>
      <c r="AG148" s="16" t="str">
        <f aca="false">IF(C148="","",IF(AL148="",0,IF(AL148&gt;=3,4,IF(AL148&gt;=2,2,0))))</f>
        <v/>
      </c>
      <c r="AH148" s="16" t="str">
        <f aca="false">IF(C148="","",IF(AND(ISNUMBER(V148),ISNUMBER(A148),V148&gt;=A148,V148-A148&lt;=14),-2,0))</f>
        <v/>
      </c>
      <c r="AI148" s="16" t="str">
        <f aca="false">IF(C148="","",IF(AND(F148="Short",N(U148)&gt;=0.2),-1,0))</f>
        <v/>
      </c>
      <c r="AJ148" s="23" t="str">
        <f aca="false">IF(C148="","",SUM(AB148:AI148))</f>
        <v/>
      </c>
      <c r="AK148" s="24" t="str">
        <f aca="false">IF(C148="","",IF(AJ148&gt;=14,"A",IF(AJ148&gt;=10,"B","C")))</f>
        <v/>
      </c>
      <c r="AL148" s="39" t="str">
        <f aca="false">IFERROR(IF(OR(Y148="",Z148="",AA148=""),"",IF(F148="Short",IF(Z148&lt;=Y148,"",(Y148-AA148)/(Z148-Y148)),IF(Y148&lt;=Z148,"",(AA148-Y148)/(Y148-Z148)))),"")</f>
        <v/>
      </c>
      <c r="AM148" s="37" t="str">
        <f aca="false">IF(OR(Y148="",Z148="",N(Y148)=N(Z148)),"",IF(OR(AND(F148="Short",Z148&lt;Y148),AND(NOT(F148="Short"),Z148&gt;Y148)),"stop on wrong side",ABS(Y148-Z148)))</f>
        <v/>
      </c>
      <c r="AN148" s="40" t="str">
        <f aca="false">IFERROR(IF(OR(NOT(ISNUMBER(AM148)),$C$6=""),"",ROUNDDOWN($C$6*$C$7/AM148,2)),"")</f>
        <v/>
      </c>
      <c r="AO148" s="37" t="str">
        <f aca="false">IFERROR(IF(AN148="","",AN148*Y148),"")</f>
        <v/>
      </c>
      <c r="AP148" s="35"/>
      <c r="AQ148" s="19"/>
      <c r="AR148" s="26"/>
      <c r="AS148" s="41" t="str">
        <f aca="false">IFERROR(IF(OR(AR148="",Y148="",AQ148=""),"",IF(F148="Short",1-AR148/Y148,AR148/Y148-1)),"")</f>
        <v/>
      </c>
      <c r="AT148" s="42" t="str">
        <f aca="true">IF(AQ148="","",IF(ISNUMBER($C$4),$C$4,TODAY())-AQ148)</f>
        <v/>
      </c>
      <c r="AU148" s="14" t="str">
        <f aca="false">IF(C148="","",IF(AP148="Open position",IF(IF(F148="Short",AND(ISNUMBER(AR148),ISNUMBER(Z148),AR148&gt;=Z148),AND(ISNUMBER(AR148),ISNUMBER(Z148),AR148&lt;=Z148)),IF(F148="Short","COVER — stop hit (buy back)","SELL — stop hit"),IF(IF(F148="Short",AND(ISNUMBER(AR148),ISNUMBER(AA148),AR148&lt;=AA148),AND(ISNUMBER(AR148),ISNUMBER(AA148),AR148&gt;=AA148)),"TAKE PROFIT — target hit",IF(AND(ISNUMBER(AT148),AT148&gt;182),IF(F148="Short","COVER — 6-month time limit","SELL — 6-month time limit"),IF(AND(ISNUMBER(AT148),AT148&gt;42,ISNUMBER(AS148),AS148&lt;0.02),"REVIEW — no progress after 6 weeks",IF(IF(F148="Short",AND(L148&lt;&gt;"",N(L148)&gt;0),AND(L148&lt;&gt;"",N(L148)&lt;0)),IF(F148="Short","REVIEW — back above 50-day avg","REVIEW — below 50-day avg"),"HOLD"))))),IF(OR(AP148="Closed",AP148="Dropped"),"Closed",IF(AK148="A",IF(F148="Short","Run Technical Review — SHORT entry","Run Technical Review — LONG entry"),IF(AK148="B","Watch — wait for setup","Drop or re-check next week")))))</f>
        <v/>
      </c>
      <c r="AV148" s="35"/>
      <c r="AX148" s="43" t="str">
        <f aca="false">IF(AND(C148&lt;&gt;"",A148=$C$4,ISNUMBER(AJ148)),AJ148+ROW()/100000,"")</f>
        <v/>
      </c>
    </row>
    <row r="149" customFormat="false" ht="15" hidden="false" customHeight="false" outlineLevel="0" collapsed="false">
      <c r="A149" s="19"/>
      <c r="B149" s="35"/>
      <c r="C149" s="35"/>
      <c r="D149" s="35"/>
      <c r="E149" s="35"/>
      <c r="F149" s="35"/>
      <c r="G149" s="26"/>
      <c r="H149" s="26"/>
      <c r="I149" s="36"/>
      <c r="J149" s="37" t="str">
        <f aca="false">IF(OR(G149="",I149=""),"",G149*I149/1000000)</f>
        <v/>
      </c>
      <c r="K149" s="21"/>
      <c r="L149" s="21"/>
      <c r="M149" s="21"/>
      <c r="N149" s="25"/>
      <c r="O149" s="21"/>
      <c r="P149" s="21"/>
      <c r="Q149" s="21"/>
      <c r="R149" s="21"/>
      <c r="S149" s="38"/>
      <c r="T149" s="21"/>
      <c r="U149" s="21"/>
      <c r="V149" s="19"/>
      <c r="W149" s="26"/>
      <c r="X149" s="35"/>
      <c r="Y149" s="26"/>
      <c r="Z149" s="26"/>
      <c r="AA149" s="26"/>
      <c r="AB149" s="16" t="str">
        <f aca="false">IF(C149="","",IF(F149="Short",(AND(M149&lt;&gt;"",N(M149)&lt;0))+(AND(L149&lt;&gt;"",N(L149)&lt;0))+(AND(K149&lt;&gt;"",N(K149)&lt;0))+AND(L149&lt;&gt;"",M149&lt;&gt;"",N(M149)&lt;N(L149)),(N(M149)&gt;0)+(N(L149)&gt;0)+(N(K149)&gt;0)+AND(L149&lt;&gt;"",M149&lt;&gt;"",N(M149)&gt;N(L149))))</f>
        <v/>
      </c>
      <c r="AC149" s="16" t="str">
        <f aca="false">IF(C149="","",IF(F149="Short",IF(N149="",0,IF(AND(N149&gt;=30,N149&lt;=50),2,IF(OR(AND(N149&gt;=25,N149&lt;30),AND(N149&gt;50,N149&lt;=60)),1,0)))+IF(P149="",0,IF(AND(IF(B149="JSE",$L$5,$L$4)&lt;&gt;"",P149&lt;IF(B149="JSE",$L$5,$L$4)),2,IF(P149&lt;0,1,0))),IF(N149="",0,IF(AND(N149&gt;=50,N149&lt;=70),2,IF(OR(AND(N149&gt;=40,N149&lt;50),AND(N149&gt;70,N149&lt;=75)),1,0)))+IF(P149="",0,IF(AND(IF(B149="JSE",$L$5,$L$4)&lt;&gt;"",P149&gt;IF(B149="JSE",$L$5,$L$4)),2,IF(P149&gt;0,1,0)))))</f>
        <v/>
      </c>
      <c r="AD149" s="16" t="str">
        <f aca="false">IF(C149="","",IF(F149="Short",IF(R149="",0,IF(R149&lt;=0.1,2,IF(R149&lt;=0.25,1,0))),IF(Q149="",0,IF(Q149&gt;=-0.1,2,IF(Q149&gt;=-0.25,1,0)))))</f>
        <v/>
      </c>
      <c r="AE149" s="16" t="str">
        <f aca="false">IF(C149="","",IF(J149="",0,IF(J149&gt;=IF(B149="JSE",$L$7,$L$6),2,IF(J149&gt;=IF(B149="JSE",$L$7,$L$6)/4,1,0))))</f>
        <v/>
      </c>
      <c r="AF149" s="16" t="str">
        <f aca="false">IF(C149="","",IF(F149="Short",AND(T149&lt;&gt;"",N(T149)&lt;0),N(T149)&gt;0)+(N(S149)&gt;=1.5))</f>
        <v/>
      </c>
      <c r="AG149" s="16" t="str">
        <f aca="false">IF(C149="","",IF(AL149="",0,IF(AL149&gt;=3,4,IF(AL149&gt;=2,2,0))))</f>
        <v/>
      </c>
      <c r="AH149" s="16" t="str">
        <f aca="false">IF(C149="","",IF(AND(ISNUMBER(V149),ISNUMBER(A149),V149&gt;=A149,V149-A149&lt;=14),-2,0))</f>
        <v/>
      </c>
      <c r="AI149" s="16" t="str">
        <f aca="false">IF(C149="","",IF(AND(F149="Short",N(U149)&gt;=0.2),-1,0))</f>
        <v/>
      </c>
      <c r="AJ149" s="23" t="str">
        <f aca="false">IF(C149="","",SUM(AB149:AI149))</f>
        <v/>
      </c>
      <c r="AK149" s="24" t="str">
        <f aca="false">IF(C149="","",IF(AJ149&gt;=14,"A",IF(AJ149&gt;=10,"B","C")))</f>
        <v/>
      </c>
      <c r="AL149" s="39" t="str">
        <f aca="false">IFERROR(IF(OR(Y149="",Z149="",AA149=""),"",IF(F149="Short",IF(Z149&lt;=Y149,"",(Y149-AA149)/(Z149-Y149)),IF(Y149&lt;=Z149,"",(AA149-Y149)/(Y149-Z149)))),"")</f>
        <v/>
      </c>
      <c r="AM149" s="37" t="str">
        <f aca="false">IF(OR(Y149="",Z149="",N(Y149)=N(Z149)),"",IF(OR(AND(F149="Short",Z149&lt;Y149),AND(NOT(F149="Short"),Z149&gt;Y149)),"stop on wrong side",ABS(Y149-Z149)))</f>
        <v/>
      </c>
      <c r="AN149" s="40" t="str">
        <f aca="false">IFERROR(IF(OR(NOT(ISNUMBER(AM149)),$C$6=""),"",ROUNDDOWN($C$6*$C$7/AM149,2)),"")</f>
        <v/>
      </c>
      <c r="AO149" s="37" t="str">
        <f aca="false">IFERROR(IF(AN149="","",AN149*Y149),"")</f>
        <v/>
      </c>
      <c r="AP149" s="35"/>
      <c r="AQ149" s="19"/>
      <c r="AR149" s="26"/>
      <c r="AS149" s="41" t="str">
        <f aca="false">IFERROR(IF(OR(AR149="",Y149="",AQ149=""),"",IF(F149="Short",1-AR149/Y149,AR149/Y149-1)),"")</f>
        <v/>
      </c>
      <c r="AT149" s="42" t="str">
        <f aca="true">IF(AQ149="","",IF(ISNUMBER($C$4),$C$4,TODAY())-AQ149)</f>
        <v/>
      </c>
      <c r="AU149" s="14" t="str">
        <f aca="false">IF(C149="","",IF(AP149="Open position",IF(IF(F149="Short",AND(ISNUMBER(AR149),ISNUMBER(Z149),AR149&gt;=Z149),AND(ISNUMBER(AR149),ISNUMBER(Z149),AR149&lt;=Z149)),IF(F149="Short","COVER — stop hit (buy back)","SELL — stop hit"),IF(IF(F149="Short",AND(ISNUMBER(AR149),ISNUMBER(AA149),AR149&lt;=AA149),AND(ISNUMBER(AR149),ISNUMBER(AA149),AR149&gt;=AA149)),"TAKE PROFIT — target hit",IF(AND(ISNUMBER(AT149),AT149&gt;182),IF(F149="Short","COVER — 6-month time limit","SELL — 6-month time limit"),IF(AND(ISNUMBER(AT149),AT149&gt;42,ISNUMBER(AS149),AS149&lt;0.02),"REVIEW — no progress after 6 weeks",IF(IF(F149="Short",AND(L149&lt;&gt;"",N(L149)&gt;0),AND(L149&lt;&gt;"",N(L149)&lt;0)),IF(F149="Short","REVIEW — back above 50-day avg","REVIEW — below 50-day avg"),"HOLD"))))),IF(OR(AP149="Closed",AP149="Dropped"),"Closed",IF(AK149="A",IF(F149="Short","Run Technical Review — SHORT entry","Run Technical Review — LONG entry"),IF(AK149="B","Watch — wait for setup","Drop or re-check next week")))))</f>
        <v/>
      </c>
      <c r="AV149" s="35"/>
      <c r="AX149" s="43" t="str">
        <f aca="false">IF(AND(C149&lt;&gt;"",A149=$C$4,ISNUMBER(AJ149)),AJ149+ROW()/100000,"")</f>
        <v/>
      </c>
    </row>
    <row r="150" customFormat="false" ht="15" hidden="false" customHeight="false" outlineLevel="0" collapsed="false">
      <c r="A150" s="19"/>
      <c r="B150" s="35"/>
      <c r="C150" s="35"/>
      <c r="D150" s="35"/>
      <c r="E150" s="35"/>
      <c r="F150" s="35"/>
      <c r="G150" s="26"/>
      <c r="H150" s="26"/>
      <c r="I150" s="36"/>
      <c r="J150" s="37" t="str">
        <f aca="false">IF(OR(G150="",I150=""),"",G150*I150/1000000)</f>
        <v/>
      </c>
      <c r="K150" s="21"/>
      <c r="L150" s="21"/>
      <c r="M150" s="21"/>
      <c r="N150" s="25"/>
      <c r="O150" s="21"/>
      <c r="P150" s="21"/>
      <c r="Q150" s="21"/>
      <c r="R150" s="21"/>
      <c r="S150" s="38"/>
      <c r="T150" s="21"/>
      <c r="U150" s="21"/>
      <c r="V150" s="19"/>
      <c r="W150" s="26"/>
      <c r="X150" s="35"/>
      <c r="Y150" s="26"/>
      <c r="Z150" s="26"/>
      <c r="AA150" s="26"/>
      <c r="AB150" s="16" t="str">
        <f aca="false">IF(C150="","",IF(F150="Short",(AND(M150&lt;&gt;"",N(M150)&lt;0))+(AND(L150&lt;&gt;"",N(L150)&lt;0))+(AND(K150&lt;&gt;"",N(K150)&lt;0))+AND(L150&lt;&gt;"",M150&lt;&gt;"",N(M150)&lt;N(L150)),(N(M150)&gt;0)+(N(L150)&gt;0)+(N(K150)&gt;0)+AND(L150&lt;&gt;"",M150&lt;&gt;"",N(M150)&gt;N(L150))))</f>
        <v/>
      </c>
      <c r="AC150" s="16" t="str">
        <f aca="false">IF(C150="","",IF(F150="Short",IF(N150="",0,IF(AND(N150&gt;=30,N150&lt;=50),2,IF(OR(AND(N150&gt;=25,N150&lt;30),AND(N150&gt;50,N150&lt;=60)),1,0)))+IF(P150="",0,IF(AND(IF(B150="JSE",$L$5,$L$4)&lt;&gt;"",P150&lt;IF(B150="JSE",$L$5,$L$4)),2,IF(P150&lt;0,1,0))),IF(N150="",0,IF(AND(N150&gt;=50,N150&lt;=70),2,IF(OR(AND(N150&gt;=40,N150&lt;50),AND(N150&gt;70,N150&lt;=75)),1,0)))+IF(P150="",0,IF(AND(IF(B150="JSE",$L$5,$L$4)&lt;&gt;"",P150&gt;IF(B150="JSE",$L$5,$L$4)),2,IF(P150&gt;0,1,0)))))</f>
        <v/>
      </c>
      <c r="AD150" s="16" t="str">
        <f aca="false">IF(C150="","",IF(F150="Short",IF(R150="",0,IF(R150&lt;=0.1,2,IF(R150&lt;=0.25,1,0))),IF(Q150="",0,IF(Q150&gt;=-0.1,2,IF(Q150&gt;=-0.25,1,0)))))</f>
        <v/>
      </c>
      <c r="AE150" s="16" t="str">
        <f aca="false">IF(C150="","",IF(J150="",0,IF(J150&gt;=IF(B150="JSE",$L$7,$L$6),2,IF(J150&gt;=IF(B150="JSE",$L$7,$L$6)/4,1,0))))</f>
        <v/>
      </c>
      <c r="AF150" s="16" t="str">
        <f aca="false">IF(C150="","",IF(F150="Short",AND(T150&lt;&gt;"",N(T150)&lt;0),N(T150)&gt;0)+(N(S150)&gt;=1.5))</f>
        <v/>
      </c>
      <c r="AG150" s="16" t="str">
        <f aca="false">IF(C150="","",IF(AL150="",0,IF(AL150&gt;=3,4,IF(AL150&gt;=2,2,0))))</f>
        <v/>
      </c>
      <c r="AH150" s="16" t="str">
        <f aca="false">IF(C150="","",IF(AND(ISNUMBER(V150),ISNUMBER(A150),V150&gt;=A150,V150-A150&lt;=14),-2,0))</f>
        <v/>
      </c>
      <c r="AI150" s="16" t="str">
        <f aca="false">IF(C150="","",IF(AND(F150="Short",N(U150)&gt;=0.2),-1,0))</f>
        <v/>
      </c>
      <c r="AJ150" s="23" t="str">
        <f aca="false">IF(C150="","",SUM(AB150:AI150))</f>
        <v/>
      </c>
      <c r="AK150" s="24" t="str">
        <f aca="false">IF(C150="","",IF(AJ150&gt;=14,"A",IF(AJ150&gt;=10,"B","C")))</f>
        <v/>
      </c>
      <c r="AL150" s="39" t="str">
        <f aca="false">IFERROR(IF(OR(Y150="",Z150="",AA150=""),"",IF(F150="Short",IF(Z150&lt;=Y150,"",(Y150-AA150)/(Z150-Y150)),IF(Y150&lt;=Z150,"",(AA150-Y150)/(Y150-Z150)))),"")</f>
        <v/>
      </c>
      <c r="AM150" s="37" t="str">
        <f aca="false">IF(OR(Y150="",Z150="",N(Y150)=N(Z150)),"",IF(OR(AND(F150="Short",Z150&lt;Y150),AND(NOT(F150="Short"),Z150&gt;Y150)),"stop on wrong side",ABS(Y150-Z150)))</f>
        <v/>
      </c>
      <c r="AN150" s="40" t="str">
        <f aca="false">IFERROR(IF(OR(NOT(ISNUMBER(AM150)),$C$6=""),"",ROUNDDOWN($C$6*$C$7/AM150,2)),"")</f>
        <v/>
      </c>
      <c r="AO150" s="37" t="str">
        <f aca="false">IFERROR(IF(AN150="","",AN150*Y150),"")</f>
        <v/>
      </c>
      <c r="AP150" s="35"/>
      <c r="AQ150" s="19"/>
      <c r="AR150" s="26"/>
      <c r="AS150" s="41" t="str">
        <f aca="false">IFERROR(IF(OR(AR150="",Y150="",AQ150=""),"",IF(F150="Short",1-AR150/Y150,AR150/Y150-1)),"")</f>
        <v/>
      </c>
      <c r="AT150" s="42" t="str">
        <f aca="true">IF(AQ150="","",IF(ISNUMBER($C$4),$C$4,TODAY())-AQ150)</f>
        <v/>
      </c>
      <c r="AU150" s="14" t="str">
        <f aca="false">IF(C150="","",IF(AP150="Open position",IF(IF(F150="Short",AND(ISNUMBER(AR150),ISNUMBER(Z150),AR150&gt;=Z150),AND(ISNUMBER(AR150),ISNUMBER(Z150),AR150&lt;=Z150)),IF(F150="Short","COVER — stop hit (buy back)","SELL — stop hit"),IF(IF(F150="Short",AND(ISNUMBER(AR150),ISNUMBER(AA150),AR150&lt;=AA150),AND(ISNUMBER(AR150),ISNUMBER(AA150),AR150&gt;=AA150)),"TAKE PROFIT — target hit",IF(AND(ISNUMBER(AT150),AT150&gt;182),IF(F150="Short","COVER — 6-month time limit","SELL — 6-month time limit"),IF(AND(ISNUMBER(AT150),AT150&gt;42,ISNUMBER(AS150),AS150&lt;0.02),"REVIEW — no progress after 6 weeks",IF(IF(F150="Short",AND(L150&lt;&gt;"",N(L150)&gt;0),AND(L150&lt;&gt;"",N(L150)&lt;0)),IF(F150="Short","REVIEW — back above 50-day avg","REVIEW — below 50-day avg"),"HOLD"))))),IF(OR(AP150="Closed",AP150="Dropped"),"Closed",IF(AK150="A",IF(F150="Short","Run Technical Review — SHORT entry","Run Technical Review — LONG entry"),IF(AK150="B","Watch — wait for setup","Drop or re-check next week")))))</f>
        <v/>
      </c>
      <c r="AV150" s="35"/>
      <c r="AX150" s="43" t="str">
        <f aca="false">IF(AND(C150&lt;&gt;"",A150=$C$4,ISNUMBER(AJ150)),AJ150+ROW()/100000,"")</f>
        <v/>
      </c>
    </row>
    <row r="151" customFormat="false" ht="15" hidden="false" customHeight="false" outlineLevel="0" collapsed="false">
      <c r="A151" s="19"/>
      <c r="B151" s="35"/>
      <c r="C151" s="35"/>
      <c r="D151" s="35"/>
      <c r="E151" s="35"/>
      <c r="F151" s="35"/>
      <c r="G151" s="26"/>
      <c r="H151" s="26"/>
      <c r="I151" s="36"/>
      <c r="J151" s="37" t="str">
        <f aca="false">IF(OR(G151="",I151=""),"",G151*I151/1000000)</f>
        <v/>
      </c>
      <c r="K151" s="21"/>
      <c r="L151" s="21"/>
      <c r="M151" s="21"/>
      <c r="N151" s="25"/>
      <c r="O151" s="21"/>
      <c r="P151" s="21"/>
      <c r="Q151" s="21"/>
      <c r="R151" s="21"/>
      <c r="S151" s="38"/>
      <c r="T151" s="21"/>
      <c r="U151" s="21"/>
      <c r="V151" s="19"/>
      <c r="W151" s="26"/>
      <c r="X151" s="35"/>
      <c r="Y151" s="26"/>
      <c r="Z151" s="26"/>
      <c r="AA151" s="26"/>
      <c r="AB151" s="16" t="str">
        <f aca="false">IF(C151="","",IF(F151="Short",(AND(M151&lt;&gt;"",N(M151)&lt;0))+(AND(L151&lt;&gt;"",N(L151)&lt;0))+(AND(K151&lt;&gt;"",N(K151)&lt;0))+AND(L151&lt;&gt;"",M151&lt;&gt;"",N(M151)&lt;N(L151)),(N(M151)&gt;0)+(N(L151)&gt;0)+(N(K151)&gt;0)+AND(L151&lt;&gt;"",M151&lt;&gt;"",N(M151)&gt;N(L151))))</f>
        <v/>
      </c>
      <c r="AC151" s="16" t="str">
        <f aca="false">IF(C151="","",IF(F151="Short",IF(N151="",0,IF(AND(N151&gt;=30,N151&lt;=50),2,IF(OR(AND(N151&gt;=25,N151&lt;30),AND(N151&gt;50,N151&lt;=60)),1,0)))+IF(P151="",0,IF(AND(IF(B151="JSE",$L$5,$L$4)&lt;&gt;"",P151&lt;IF(B151="JSE",$L$5,$L$4)),2,IF(P151&lt;0,1,0))),IF(N151="",0,IF(AND(N151&gt;=50,N151&lt;=70),2,IF(OR(AND(N151&gt;=40,N151&lt;50),AND(N151&gt;70,N151&lt;=75)),1,0)))+IF(P151="",0,IF(AND(IF(B151="JSE",$L$5,$L$4)&lt;&gt;"",P151&gt;IF(B151="JSE",$L$5,$L$4)),2,IF(P151&gt;0,1,0)))))</f>
        <v/>
      </c>
      <c r="AD151" s="16" t="str">
        <f aca="false">IF(C151="","",IF(F151="Short",IF(R151="",0,IF(R151&lt;=0.1,2,IF(R151&lt;=0.25,1,0))),IF(Q151="",0,IF(Q151&gt;=-0.1,2,IF(Q151&gt;=-0.25,1,0)))))</f>
        <v/>
      </c>
      <c r="AE151" s="16" t="str">
        <f aca="false">IF(C151="","",IF(J151="",0,IF(J151&gt;=IF(B151="JSE",$L$7,$L$6),2,IF(J151&gt;=IF(B151="JSE",$L$7,$L$6)/4,1,0))))</f>
        <v/>
      </c>
      <c r="AF151" s="16" t="str">
        <f aca="false">IF(C151="","",IF(F151="Short",AND(T151&lt;&gt;"",N(T151)&lt;0),N(T151)&gt;0)+(N(S151)&gt;=1.5))</f>
        <v/>
      </c>
      <c r="AG151" s="16" t="str">
        <f aca="false">IF(C151="","",IF(AL151="",0,IF(AL151&gt;=3,4,IF(AL151&gt;=2,2,0))))</f>
        <v/>
      </c>
      <c r="AH151" s="16" t="str">
        <f aca="false">IF(C151="","",IF(AND(ISNUMBER(V151),ISNUMBER(A151),V151&gt;=A151,V151-A151&lt;=14),-2,0))</f>
        <v/>
      </c>
      <c r="AI151" s="16" t="str">
        <f aca="false">IF(C151="","",IF(AND(F151="Short",N(U151)&gt;=0.2),-1,0))</f>
        <v/>
      </c>
      <c r="AJ151" s="23" t="str">
        <f aca="false">IF(C151="","",SUM(AB151:AI151))</f>
        <v/>
      </c>
      <c r="AK151" s="24" t="str">
        <f aca="false">IF(C151="","",IF(AJ151&gt;=14,"A",IF(AJ151&gt;=10,"B","C")))</f>
        <v/>
      </c>
      <c r="AL151" s="39" t="str">
        <f aca="false">IFERROR(IF(OR(Y151="",Z151="",AA151=""),"",IF(F151="Short",IF(Z151&lt;=Y151,"",(Y151-AA151)/(Z151-Y151)),IF(Y151&lt;=Z151,"",(AA151-Y151)/(Y151-Z151)))),"")</f>
        <v/>
      </c>
      <c r="AM151" s="37" t="str">
        <f aca="false">IF(OR(Y151="",Z151="",N(Y151)=N(Z151)),"",IF(OR(AND(F151="Short",Z151&lt;Y151),AND(NOT(F151="Short"),Z151&gt;Y151)),"stop on wrong side",ABS(Y151-Z151)))</f>
        <v/>
      </c>
      <c r="AN151" s="40" t="str">
        <f aca="false">IFERROR(IF(OR(NOT(ISNUMBER(AM151)),$C$6=""),"",ROUNDDOWN($C$6*$C$7/AM151,2)),"")</f>
        <v/>
      </c>
      <c r="AO151" s="37" t="str">
        <f aca="false">IFERROR(IF(AN151="","",AN151*Y151),"")</f>
        <v/>
      </c>
      <c r="AP151" s="35"/>
      <c r="AQ151" s="19"/>
      <c r="AR151" s="26"/>
      <c r="AS151" s="41" t="str">
        <f aca="false">IFERROR(IF(OR(AR151="",Y151="",AQ151=""),"",IF(F151="Short",1-AR151/Y151,AR151/Y151-1)),"")</f>
        <v/>
      </c>
      <c r="AT151" s="42" t="str">
        <f aca="true">IF(AQ151="","",IF(ISNUMBER($C$4),$C$4,TODAY())-AQ151)</f>
        <v/>
      </c>
      <c r="AU151" s="14" t="str">
        <f aca="false">IF(C151="","",IF(AP151="Open position",IF(IF(F151="Short",AND(ISNUMBER(AR151),ISNUMBER(Z151),AR151&gt;=Z151),AND(ISNUMBER(AR151),ISNUMBER(Z151),AR151&lt;=Z151)),IF(F151="Short","COVER — stop hit (buy back)","SELL — stop hit"),IF(IF(F151="Short",AND(ISNUMBER(AR151),ISNUMBER(AA151),AR151&lt;=AA151),AND(ISNUMBER(AR151),ISNUMBER(AA151),AR151&gt;=AA151)),"TAKE PROFIT — target hit",IF(AND(ISNUMBER(AT151),AT151&gt;182),IF(F151="Short","COVER — 6-month time limit","SELL — 6-month time limit"),IF(AND(ISNUMBER(AT151),AT151&gt;42,ISNUMBER(AS151),AS151&lt;0.02),"REVIEW — no progress after 6 weeks",IF(IF(F151="Short",AND(L151&lt;&gt;"",N(L151)&gt;0),AND(L151&lt;&gt;"",N(L151)&lt;0)),IF(F151="Short","REVIEW — back above 50-day avg","REVIEW — below 50-day avg"),"HOLD"))))),IF(OR(AP151="Closed",AP151="Dropped"),"Closed",IF(AK151="A",IF(F151="Short","Run Technical Review — SHORT entry","Run Technical Review — LONG entry"),IF(AK151="B","Watch — wait for setup","Drop or re-check next week")))))</f>
        <v/>
      </c>
      <c r="AV151" s="35"/>
      <c r="AX151" s="43" t="str">
        <f aca="false">IF(AND(C151&lt;&gt;"",A151=$C$4,ISNUMBER(AJ151)),AJ151+ROW()/100000,"")</f>
        <v/>
      </c>
    </row>
    <row r="152" customFormat="false" ht="15" hidden="false" customHeight="false" outlineLevel="0" collapsed="false">
      <c r="A152" s="19"/>
      <c r="B152" s="35"/>
      <c r="C152" s="35"/>
      <c r="D152" s="35"/>
      <c r="E152" s="35"/>
      <c r="F152" s="35"/>
      <c r="G152" s="26"/>
      <c r="H152" s="26"/>
      <c r="I152" s="36"/>
      <c r="J152" s="37" t="str">
        <f aca="false">IF(OR(G152="",I152=""),"",G152*I152/1000000)</f>
        <v/>
      </c>
      <c r="K152" s="21"/>
      <c r="L152" s="21"/>
      <c r="M152" s="21"/>
      <c r="N152" s="25"/>
      <c r="O152" s="21"/>
      <c r="P152" s="21"/>
      <c r="Q152" s="21"/>
      <c r="R152" s="21"/>
      <c r="S152" s="38"/>
      <c r="T152" s="21"/>
      <c r="U152" s="21"/>
      <c r="V152" s="19"/>
      <c r="W152" s="26"/>
      <c r="X152" s="35"/>
      <c r="Y152" s="26"/>
      <c r="Z152" s="26"/>
      <c r="AA152" s="26"/>
      <c r="AB152" s="16" t="str">
        <f aca="false">IF(C152="","",IF(F152="Short",(AND(M152&lt;&gt;"",N(M152)&lt;0))+(AND(L152&lt;&gt;"",N(L152)&lt;0))+(AND(K152&lt;&gt;"",N(K152)&lt;0))+AND(L152&lt;&gt;"",M152&lt;&gt;"",N(M152)&lt;N(L152)),(N(M152)&gt;0)+(N(L152)&gt;0)+(N(K152)&gt;0)+AND(L152&lt;&gt;"",M152&lt;&gt;"",N(M152)&gt;N(L152))))</f>
        <v/>
      </c>
      <c r="AC152" s="16" t="str">
        <f aca="false">IF(C152="","",IF(F152="Short",IF(N152="",0,IF(AND(N152&gt;=30,N152&lt;=50),2,IF(OR(AND(N152&gt;=25,N152&lt;30),AND(N152&gt;50,N152&lt;=60)),1,0)))+IF(P152="",0,IF(AND(IF(B152="JSE",$L$5,$L$4)&lt;&gt;"",P152&lt;IF(B152="JSE",$L$5,$L$4)),2,IF(P152&lt;0,1,0))),IF(N152="",0,IF(AND(N152&gt;=50,N152&lt;=70),2,IF(OR(AND(N152&gt;=40,N152&lt;50),AND(N152&gt;70,N152&lt;=75)),1,0)))+IF(P152="",0,IF(AND(IF(B152="JSE",$L$5,$L$4)&lt;&gt;"",P152&gt;IF(B152="JSE",$L$5,$L$4)),2,IF(P152&gt;0,1,0)))))</f>
        <v/>
      </c>
      <c r="AD152" s="16" t="str">
        <f aca="false">IF(C152="","",IF(F152="Short",IF(R152="",0,IF(R152&lt;=0.1,2,IF(R152&lt;=0.25,1,0))),IF(Q152="",0,IF(Q152&gt;=-0.1,2,IF(Q152&gt;=-0.25,1,0)))))</f>
        <v/>
      </c>
      <c r="AE152" s="16" t="str">
        <f aca="false">IF(C152="","",IF(J152="",0,IF(J152&gt;=IF(B152="JSE",$L$7,$L$6),2,IF(J152&gt;=IF(B152="JSE",$L$7,$L$6)/4,1,0))))</f>
        <v/>
      </c>
      <c r="AF152" s="16" t="str">
        <f aca="false">IF(C152="","",IF(F152="Short",AND(T152&lt;&gt;"",N(T152)&lt;0),N(T152)&gt;0)+(N(S152)&gt;=1.5))</f>
        <v/>
      </c>
      <c r="AG152" s="16" t="str">
        <f aca="false">IF(C152="","",IF(AL152="",0,IF(AL152&gt;=3,4,IF(AL152&gt;=2,2,0))))</f>
        <v/>
      </c>
      <c r="AH152" s="16" t="str">
        <f aca="false">IF(C152="","",IF(AND(ISNUMBER(V152),ISNUMBER(A152),V152&gt;=A152,V152-A152&lt;=14),-2,0))</f>
        <v/>
      </c>
      <c r="AI152" s="16" t="str">
        <f aca="false">IF(C152="","",IF(AND(F152="Short",N(U152)&gt;=0.2),-1,0))</f>
        <v/>
      </c>
      <c r="AJ152" s="23" t="str">
        <f aca="false">IF(C152="","",SUM(AB152:AI152))</f>
        <v/>
      </c>
      <c r="AK152" s="24" t="str">
        <f aca="false">IF(C152="","",IF(AJ152&gt;=14,"A",IF(AJ152&gt;=10,"B","C")))</f>
        <v/>
      </c>
      <c r="AL152" s="39" t="str">
        <f aca="false">IFERROR(IF(OR(Y152="",Z152="",AA152=""),"",IF(F152="Short",IF(Z152&lt;=Y152,"",(Y152-AA152)/(Z152-Y152)),IF(Y152&lt;=Z152,"",(AA152-Y152)/(Y152-Z152)))),"")</f>
        <v/>
      </c>
      <c r="AM152" s="37" t="str">
        <f aca="false">IF(OR(Y152="",Z152="",N(Y152)=N(Z152)),"",IF(OR(AND(F152="Short",Z152&lt;Y152),AND(NOT(F152="Short"),Z152&gt;Y152)),"stop on wrong side",ABS(Y152-Z152)))</f>
        <v/>
      </c>
      <c r="AN152" s="40" t="str">
        <f aca="false">IFERROR(IF(OR(NOT(ISNUMBER(AM152)),$C$6=""),"",ROUNDDOWN($C$6*$C$7/AM152,2)),"")</f>
        <v/>
      </c>
      <c r="AO152" s="37" t="str">
        <f aca="false">IFERROR(IF(AN152="","",AN152*Y152),"")</f>
        <v/>
      </c>
      <c r="AP152" s="35"/>
      <c r="AQ152" s="19"/>
      <c r="AR152" s="26"/>
      <c r="AS152" s="41" t="str">
        <f aca="false">IFERROR(IF(OR(AR152="",Y152="",AQ152=""),"",IF(F152="Short",1-AR152/Y152,AR152/Y152-1)),"")</f>
        <v/>
      </c>
      <c r="AT152" s="42" t="str">
        <f aca="true">IF(AQ152="","",IF(ISNUMBER($C$4),$C$4,TODAY())-AQ152)</f>
        <v/>
      </c>
      <c r="AU152" s="14" t="str">
        <f aca="false">IF(C152="","",IF(AP152="Open position",IF(IF(F152="Short",AND(ISNUMBER(AR152),ISNUMBER(Z152),AR152&gt;=Z152),AND(ISNUMBER(AR152),ISNUMBER(Z152),AR152&lt;=Z152)),IF(F152="Short","COVER — stop hit (buy back)","SELL — stop hit"),IF(IF(F152="Short",AND(ISNUMBER(AR152),ISNUMBER(AA152),AR152&lt;=AA152),AND(ISNUMBER(AR152),ISNUMBER(AA152),AR152&gt;=AA152)),"TAKE PROFIT — target hit",IF(AND(ISNUMBER(AT152),AT152&gt;182),IF(F152="Short","COVER — 6-month time limit","SELL — 6-month time limit"),IF(AND(ISNUMBER(AT152),AT152&gt;42,ISNUMBER(AS152),AS152&lt;0.02),"REVIEW — no progress after 6 weeks",IF(IF(F152="Short",AND(L152&lt;&gt;"",N(L152)&gt;0),AND(L152&lt;&gt;"",N(L152)&lt;0)),IF(F152="Short","REVIEW — back above 50-day avg","REVIEW — below 50-day avg"),"HOLD"))))),IF(OR(AP152="Closed",AP152="Dropped"),"Closed",IF(AK152="A",IF(F152="Short","Run Technical Review — SHORT entry","Run Technical Review — LONG entry"),IF(AK152="B","Watch — wait for setup","Drop or re-check next week")))))</f>
        <v/>
      </c>
      <c r="AV152" s="35"/>
      <c r="AX152" s="43" t="str">
        <f aca="false">IF(AND(C152&lt;&gt;"",A152=$C$4,ISNUMBER(AJ152)),AJ152+ROW()/100000,"")</f>
        <v/>
      </c>
    </row>
    <row r="153" customFormat="false" ht="15" hidden="false" customHeight="false" outlineLevel="0" collapsed="false">
      <c r="A153" s="19"/>
      <c r="B153" s="35"/>
      <c r="C153" s="35"/>
      <c r="D153" s="35"/>
      <c r="E153" s="35"/>
      <c r="F153" s="35"/>
      <c r="G153" s="26"/>
      <c r="H153" s="26"/>
      <c r="I153" s="36"/>
      <c r="J153" s="37" t="str">
        <f aca="false">IF(OR(G153="",I153=""),"",G153*I153/1000000)</f>
        <v/>
      </c>
      <c r="K153" s="21"/>
      <c r="L153" s="21"/>
      <c r="M153" s="21"/>
      <c r="N153" s="25"/>
      <c r="O153" s="21"/>
      <c r="P153" s="21"/>
      <c r="Q153" s="21"/>
      <c r="R153" s="21"/>
      <c r="S153" s="38"/>
      <c r="T153" s="21"/>
      <c r="U153" s="21"/>
      <c r="V153" s="19"/>
      <c r="W153" s="26"/>
      <c r="X153" s="35"/>
      <c r="Y153" s="26"/>
      <c r="Z153" s="26"/>
      <c r="AA153" s="26"/>
      <c r="AB153" s="16" t="str">
        <f aca="false">IF(C153="","",IF(F153="Short",(AND(M153&lt;&gt;"",N(M153)&lt;0))+(AND(L153&lt;&gt;"",N(L153)&lt;0))+(AND(K153&lt;&gt;"",N(K153)&lt;0))+AND(L153&lt;&gt;"",M153&lt;&gt;"",N(M153)&lt;N(L153)),(N(M153)&gt;0)+(N(L153)&gt;0)+(N(K153)&gt;0)+AND(L153&lt;&gt;"",M153&lt;&gt;"",N(M153)&gt;N(L153))))</f>
        <v/>
      </c>
      <c r="AC153" s="16" t="str">
        <f aca="false">IF(C153="","",IF(F153="Short",IF(N153="",0,IF(AND(N153&gt;=30,N153&lt;=50),2,IF(OR(AND(N153&gt;=25,N153&lt;30),AND(N153&gt;50,N153&lt;=60)),1,0)))+IF(P153="",0,IF(AND(IF(B153="JSE",$L$5,$L$4)&lt;&gt;"",P153&lt;IF(B153="JSE",$L$5,$L$4)),2,IF(P153&lt;0,1,0))),IF(N153="",0,IF(AND(N153&gt;=50,N153&lt;=70),2,IF(OR(AND(N153&gt;=40,N153&lt;50),AND(N153&gt;70,N153&lt;=75)),1,0)))+IF(P153="",0,IF(AND(IF(B153="JSE",$L$5,$L$4)&lt;&gt;"",P153&gt;IF(B153="JSE",$L$5,$L$4)),2,IF(P153&gt;0,1,0)))))</f>
        <v/>
      </c>
      <c r="AD153" s="16" t="str">
        <f aca="false">IF(C153="","",IF(F153="Short",IF(R153="",0,IF(R153&lt;=0.1,2,IF(R153&lt;=0.25,1,0))),IF(Q153="",0,IF(Q153&gt;=-0.1,2,IF(Q153&gt;=-0.25,1,0)))))</f>
        <v/>
      </c>
      <c r="AE153" s="16" t="str">
        <f aca="false">IF(C153="","",IF(J153="",0,IF(J153&gt;=IF(B153="JSE",$L$7,$L$6),2,IF(J153&gt;=IF(B153="JSE",$L$7,$L$6)/4,1,0))))</f>
        <v/>
      </c>
      <c r="AF153" s="16" t="str">
        <f aca="false">IF(C153="","",IF(F153="Short",AND(T153&lt;&gt;"",N(T153)&lt;0),N(T153)&gt;0)+(N(S153)&gt;=1.5))</f>
        <v/>
      </c>
      <c r="AG153" s="16" t="str">
        <f aca="false">IF(C153="","",IF(AL153="",0,IF(AL153&gt;=3,4,IF(AL153&gt;=2,2,0))))</f>
        <v/>
      </c>
      <c r="AH153" s="16" t="str">
        <f aca="false">IF(C153="","",IF(AND(ISNUMBER(V153),ISNUMBER(A153),V153&gt;=A153,V153-A153&lt;=14),-2,0))</f>
        <v/>
      </c>
      <c r="AI153" s="16" t="str">
        <f aca="false">IF(C153="","",IF(AND(F153="Short",N(U153)&gt;=0.2),-1,0))</f>
        <v/>
      </c>
      <c r="AJ153" s="23" t="str">
        <f aca="false">IF(C153="","",SUM(AB153:AI153))</f>
        <v/>
      </c>
      <c r="AK153" s="24" t="str">
        <f aca="false">IF(C153="","",IF(AJ153&gt;=14,"A",IF(AJ153&gt;=10,"B","C")))</f>
        <v/>
      </c>
      <c r="AL153" s="39" t="str">
        <f aca="false">IFERROR(IF(OR(Y153="",Z153="",AA153=""),"",IF(F153="Short",IF(Z153&lt;=Y153,"",(Y153-AA153)/(Z153-Y153)),IF(Y153&lt;=Z153,"",(AA153-Y153)/(Y153-Z153)))),"")</f>
        <v/>
      </c>
      <c r="AM153" s="37" t="str">
        <f aca="false">IF(OR(Y153="",Z153="",N(Y153)=N(Z153)),"",IF(OR(AND(F153="Short",Z153&lt;Y153),AND(NOT(F153="Short"),Z153&gt;Y153)),"stop on wrong side",ABS(Y153-Z153)))</f>
        <v/>
      </c>
      <c r="AN153" s="40" t="str">
        <f aca="false">IFERROR(IF(OR(NOT(ISNUMBER(AM153)),$C$6=""),"",ROUNDDOWN($C$6*$C$7/AM153,2)),"")</f>
        <v/>
      </c>
      <c r="AO153" s="37" t="str">
        <f aca="false">IFERROR(IF(AN153="","",AN153*Y153),"")</f>
        <v/>
      </c>
      <c r="AP153" s="35"/>
      <c r="AQ153" s="19"/>
      <c r="AR153" s="26"/>
      <c r="AS153" s="41" t="str">
        <f aca="false">IFERROR(IF(OR(AR153="",Y153="",AQ153=""),"",IF(F153="Short",1-AR153/Y153,AR153/Y153-1)),"")</f>
        <v/>
      </c>
      <c r="AT153" s="42" t="str">
        <f aca="true">IF(AQ153="","",IF(ISNUMBER($C$4),$C$4,TODAY())-AQ153)</f>
        <v/>
      </c>
      <c r="AU153" s="14" t="str">
        <f aca="false">IF(C153="","",IF(AP153="Open position",IF(IF(F153="Short",AND(ISNUMBER(AR153),ISNUMBER(Z153),AR153&gt;=Z153),AND(ISNUMBER(AR153),ISNUMBER(Z153),AR153&lt;=Z153)),IF(F153="Short","COVER — stop hit (buy back)","SELL — stop hit"),IF(IF(F153="Short",AND(ISNUMBER(AR153),ISNUMBER(AA153),AR153&lt;=AA153),AND(ISNUMBER(AR153),ISNUMBER(AA153),AR153&gt;=AA153)),"TAKE PROFIT — target hit",IF(AND(ISNUMBER(AT153),AT153&gt;182),IF(F153="Short","COVER — 6-month time limit","SELL — 6-month time limit"),IF(AND(ISNUMBER(AT153),AT153&gt;42,ISNUMBER(AS153),AS153&lt;0.02),"REVIEW — no progress after 6 weeks",IF(IF(F153="Short",AND(L153&lt;&gt;"",N(L153)&gt;0),AND(L153&lt;&gt;"",N(L153)&lt;0)),IF(F153="Short","REVIEW — back above 50-day avg","REVIEW — below 50-day avg"),"HOLD"))))),IF(OR(AP153="Closed",AP153="Dropped"),"Closed",IF(AK153="A",IF(F153="Short","Run Technical Review — SHORT entry","Run Technical Review — LONG entry"),IF(AK153="B","Watch — wait for setup","Drop or re-check next week")))))</f>
        <v/>
      </c>
      <c r="AV153" s="35"/>
      <c r="AX153" s="43" t="str">
        <f aca="false">IF(AND(C153&lt;&gt;"",A153=$C$4,ISNUMBER(AJ153)),AJ153+ROW()/100000,"")</f>
        <v/>
      </c>
    </row>
    <row r="154" customFormat="false" ht="15" hidden="false" customHeight="false" outlineLevel="0" collapsed="false">
      <c r="A154" s="19"/>
      <c r="B154" s="35"/>
      <c r="C154" s="35"/>
      <c r="D154" s="35"/>
      <c r="E154" s="35"/>
      <c r="F154" s="35"/>
      <c r="G154" s="26"/>
      <c r="H154" s="26"/>
      <c r="I154" s="36"/>
      <c r="J154" s="37" t="str">
        <f aca="false">IF(OR(G154="",I154=""),"",G154*I154/1000000)</f>
        <v/>
      </c>
      <c r="K154" s="21"/>
      <c r="L154" s="21"/>
      <c r="M154" s="21"/>
      <c r="N154" s="25"/>
      <c r="O154" s="21"/>
      <c r="P154" s="21"/>
      <c r="Q154" s="21"/>
      <c r="R154" s="21"/>
      <c r="S154" s="38"/>
      <c r="T154" s="21"/>
      <c r="U154" s="21"/>
      <c r="V154" s="19"/>
      <c r="W154" s="26"/>
      <c r="X154" s="35"/>
      <c r="Y154" s="26"/>
      <c r="Z154" s="26"/>
      <c r="AA154" s="26"/>
      <c r="AB154" s="16" t="str">
        <f aca="false">IF(C154="","",IF(F154="Short",(AND(M154&lt;&gt;"",N(M154)&lt;0))+(AND(L154&lt;&gt;"",N(L154)&lt;0))+(AND(K154&lt;&gt;"",N(K154)&lt;0))+AND(L154&lt;&gt;"",M154&lt;&gt;"",N(M154)&lt;N(L154)),(N(M154)&gt;0)+(N(L154)&gt;0)+(N(K154)&gt;0)+AND(L154&lt;&gt;"",M154&lt;&gt;"",N(M154)&gt;N(L154))))</f>
        <v/>
      </c>
      <c r="AC154" s="16" t="str">
        <f aca="false">IF(C154="","",IF(F154="Short",IF(N154="",0,IF(AND(N154&gt;=30,N154&lt;=50),2,IF(OR(AND(N154&gt;=25,N154&lt;30),AND(N154&gt;50,N154&lt;=60)),1,0)))+IF(P154="",0,IF(AND(IF(B154="JSE",$L$5,$L$4)&lt;&gt;"",P154&lt;IF(B154="JSE",$L$5,$L$4)),2,IF(P154&lt;0,1,0))),IF(N154="",0,IF(AND(N154&gt;=50,N154&lt;=70),2,IF(OR(AND(N154&gt;=40,N154&lt;50),AND(N154&gt;70,N154&lt;=75)),1,0)))+IF(P154="",0,IF(AND(IF(B154="JSE",$L$5,$L$4)&lt;&gt;"",P154&gt;IF(B154="JSE",$L$5,$L$4)),2,IF(P154&gt;0,1,0)))))</f>
        <v/>
      </c>
      <c r="AD154" s="16" t="str">
        <f aca="false">IF(C154="","",IF(F154="Short",IF(R154="",0,IF(R154&lt;=0.1,2,IF(R154&lt;=0.25,1,0))),IF(Q154="",0,IF(Q154&gt;=-0.1,2,IF(Q154&gt;=-0.25,1,0)))))</f>
        <v/>
      </c>
      <c r="AE154" s="16" t="str">
        <f aca="false">IF(C154="","",IF(J154="",0,IF(J154&gt;=IF(B154="JSE",$L$7,$L$6),2,IF(J154&gt;=IF(B154="JSE",$L$7,$L$6)/4,1,0))))</f>
        <v/>
      </c>
      <c r="AF154" s="16" t="str">
        <f aca="false">IF(C154="","",IF(F154="Short",AND(T154&lt;&gt;"",N(T154)&lt;0),N(T154)&gt;0)+(N(S154)&gt;=1.5))</f>
        <v/>
      </c>
      <c r="AG154" s="16" t="str">
        <f aca="false">IF(C154="","",IF(AL154="",0,IF(AL154&gt;=3,4,IF(AL154&gt;=2,2,0))))</f>
        <v/>
      </c>
      <c r="AH154" s="16" t="str">
        <f aca="false">IF(C154="","",IF(AND(ISNUMBER(V154),ISNUMBER(A154),V154&gt;=A154,V154-A154&lt;=14),-2,0))</f>
        <v/>
      </c>
      <c r="AI154" s="16" t="str">
        <f aca="false">IF(C154="","",IF(AND(F154="Short",N(U154)&gt;=0.2),-1,0))</f>
        <v/>
      </c>
      <c r="AJ154" s="23" t="str">
        <f aca="false">IF(C154="","",SUM(AB154:AI154))</f>
        <v/>
      </c>
      <c r="AK154" s="24" t="str">
        <f aca="false">IF(C154="","",IF(AJ154&gt;=14,"A",IF(AJ154&gt;=10,"B","C")))</f>
        <v/>
      </c>
      <c r="AL154" s="39" t="str">
        <f aca="false">IFERROR(IF(OR(Y154="",Z154="",AA154=""),"",IF(F154="Short",IF(Z154&lt;=Y154,"",(Y154-AA154)/(Z154-Y154)),IF(Y154&lt;=Z154,"",(AA154-Y154)/(Y154-Z154)))),"")</f>
        <v/>
      </c>
      <c r="AM154" s="37" t="str">
        <f aca="false">IF(OR(Y154="",Z154="",N(Y154)=N(Z154)),"",IF(OR(AND(F154="Short",Z154&lt;Y154),AND(NOT(F154="Short"),Z154&gt;Y154)),"stop on wrong side",ABS(Y154-Z154)))</f>
        <v/>
      </c>
      <c r="AN154" s="40" t="str">
        <f aca="false">IFERROR(IF(OR(NOT(ISNUMBER(AM154)),$C$6=""),"",ROUNDDOWN($C$6*$C$7/AM154,2)),"")</f>
        <v/>
      </c>
      <c r="AO154" s="37" t="str">
        <f aca="false">IFERROR(IF(AN154="","",AN154*Y154),"")</f>
        <v/>
      </c>
      <c r="AP154" s="35"/>
      <c r="AQ154" s="19"/>
      <c r="AR154" s="26"/>
      <c r="AS154" s="41" t="str">
        <f aca="false">IFERROR(IF(OR(AR154="",Y154="",AQ154=""),"",IF(F154="Short",1-AR154/Y154,AR154/Y154-1)),"")</f>
        <v/>
      </c>
      <c r="AT154" s="42" t="str">
        <f aca="true">IF(AQ154="","",IF(ISNUMBER($C$4),$C$4,TODAY())-AQ154)</f>
        <v/>
      </c>
      <c r="AU154" s="14" t="str">
        <f aca="false">IF(C154="","",IF(AP154="Open position",IF(IF(F154="Short",AND(ISNUMBER(AR154),ISNUMBER(Z154),AR154&gt;=Z154),AND(ISNUMBER(AR154),ISNUMBER(Z154),AR154&lt;=Z154)),IF(F154="Short","COVER — stop hit (buy back)","SELL — stop hit"),IF(IF(F154="Short",AND(ISNUMBER(AR154),ISNUMBER(AA154),AR154&lt;=AA154),AND(ISNUMBER(AR154),ISNUMBER(AA154),AR154&gt;=AA154)),"TAKE PROFIT — target hit",IF(AND(ISNUMBER(AT154),AT154&gt;182),IF(F154="Short","COVER — 6-month time limit","SELL — 6-month time limit"),IF(AND(ISNUMBER(AT154),AT154&gt;42,ISNUMBER(AS154),AS154&lt;0.02),"REVIEW — no progress after 6 weeks",IF(IF(F154="Short",AND(L154&lt;&gt;"",N(L154)&gt;0),AND(L154&lt;&gt;"",N(L154)&lt;0)),IF(F154="Short","REVIEW — back above 50-day avg","REVIEW — below 50-day avg"),"HOLD"))))),IF(OR(AP154="Closed",AP154="Dropped"),"Closed",IF(AK154="A",IF(F154="Short","Run Technical Review — SHORT entry","Run Technical Review — LONG entry"),IF(AK154="B","Watch — wait for setup","Drop or re-check next week")))))</f>
        <v/>
      </c>
      <c r="AV154" s="35"/>
      <c r="AX154" s="43" t="str">
        <f aca="false">IF(AND(C154&lt;&gt;"",A154=$C$4,ISNUMBER(AJ154)),AJ154+ROW()/100000,"")</f>
        <v/>
      </c>
    </row>
    <row r="155" customFormat="false" ht="15" hidden="false" customHeight="false" outlineLevel="0" collapsed="false">
      <c r="A155" s="19"/>
      <c r="B155" s="35"/>
      <c r="C155" s="35"/>
      <c r="D155" s="35"/>
      <c r="E155" s="35"/>
      <c r="F155" s="35"/>
      <c r="G155" s="26"/>
      <c r="H155" s="26"/>
      <c r="I155" s="36"/>
      <c r="J155" s="37" t="str">
        <f aca="false">IF(OR(G155="",I155=""),"",G155*I155/1000000)</f>
        <v/>
      </c>
      <c r="K155" s="21"/>
      <c r="L155" s="21"/>
      <c r="M155" s="21"/>
      <c r="N155" s="25"/>
      <c r="O155" s="21"/>
      <c r="P155" s="21"/>
      <c r="Q155" s="21"/>
      <c r="R155" s="21"/>
      <c r="S155" s="38"/>
      <c r="T155" s="21"/>
      <c r="U155" s="21"/>
      <c r="V155" s="19"/>
      <c r="W155" s="26"/>
      <c r="X155" s="35"/>
      <c r="Y155" s="26"/>
      <c r="Z155" s="26"/>
      <c r="AA155" s="26"/>
      <c r="AB155" s="16" t="str">
        <f aca="false">IF(C155="","",IF(F155="Short",(AND(M155&lt;&gt;"",N(M155)&lt;0))+(AND(L155&lt;&gt;"",N(L155)&lt;0))+(AND(K155&lt;&gt;"",N(K155)&lt;0))+AND(L155&lt;&gt;"",M155&lt;&gt;"",N(M155)&lt;N(L155)),(N(M155)&gt;0)+(N(L155)&gt;0)+(N(K155)&gt;0)+AND(L155&lt;&gt;"",M155&lt;&gt;"",N(M155)&gt;N(L155))))</f>
        <v/>
      </c>
      <c r="AC155" s="16" t="str">
        <f aca="false">IF(C155="","",IF(F155="Short",IF(N155="",0,IF(AND(N155&gt;=30,N155&lt;=50),2,IF(OR(AND(N155&gt;=25,N155&lt;30),AND(N155&gt;50,N155&lt;=60)),1,0)))+IF(P155="",0,IF(AND(IF(B155="JSE",$L$5,$L$4)&lt;&gt;"",P155&lt;IF(B155="JSE",$L$5,$L$4)),2,IF(P155&lt;0,1,0))),IF(N155="",0,IF(AND(N155&gt;=50,N155&lt;=70),2,IF(OR(AND(N155&gt;=40,N155&lt;50),AND(N155&gt;70,N155&lt;=75)),1,0)))+IF(P155="",0,IF(AND(IF(B155="JSE",$L$5,$L$4)&lt;&gt;"",P155&gt;IF(B155="JSE",$L$5,$L$4)),2,IF(P155&gt;0,1,0)))))</f>
        <v/>
      </c>
      <c r="AD155" s="16" t="str">
        <f aca="false">IF(C155="","",IF(F155="Short",IF(R155="",0,IF(R155&lt;=0.1,2,IF(R155&lt;=0.25,1,0))),IF(Q155="",0,IF(Q155&gt;=-0.1,2,IF(Q155&gt;=-0.25,1,0)))))</f>
        <v/>
      </c>
      <c r="AE155" s="16" t="str">
        <f aca="false">IF(C155="","",IF(J155="",0,IF(J155&gt;=IF(B155="JSE",$L$7,$L$6),2,IF(J155&gt;=IF(B155="JSE",$L$7,$L$6)/4,1,0))))</f>
        <v/>
      </c>
      <c r="AF155" s="16" t="str">
        <f aca="false">IF(C155="","",IF(F155="Short",AND(T155&lt;&gt;"",N(T155)&lt;0),N(T155)&gt;0)+(N(S155)&gt;=1.5))</f>
        <v/>
      </c>
      <c r="AG155" s="16" t="str">
        <f aca="false">IF(C155="","",IF(AL155="",0,IF(AL155&gt;=3,4,IF(AL155&gt;=2,2,0))))</f>
        <v/>
      </c>
      <c r="AH155" s="16" t="str">
        <f aca="false">IF(C155="","",IF(AND(ISNUMBER(V155),ISNUMBER(A155),V155&gt;=A155,V155-A155&lt;=14),-2,0))</f>
        <v/>
      </c>
      <c r="AI155" s="16" t="str">
        <f aca="false">IF(C155="","",IF(AND(F155="Short",N(U155)&gt;=0.2),-1,0))</f>
        <v/>
      </c>
      <c r="AJ155" s="23" t="str">
        <f aca="false">IF(C155="","",SUM(AB155:AI155))</f>
        <v/>
      </c>
      <c r="AK155" s="24" t="str">
        <f aca="false">IF(C155="","",IF(AJ155&gt;=14,"A",IF(AJ155&gt;=10,"B","C")))</f>
        <v/>
      </c>
      <c r="AL155" s="39" t="str">
        <f aca="false">IFERROR(IF(OR(Y155="",Z155="",AA155=""),"",IF(F155="Short",IF(Z155&lt;=Y155,"",(Y155-AA155)/(Z155-Y155)),IF(Y155&lt;=Z155,"",(AA155-Y155)/(Y155-Z155)))),"")</f>
        <v/>
      </c>
      <c r="AM155" s="37" t="str">
        <f aca="false">IF(OR(Y155="",Z155="",N(Y155)=N(Z155)),"",IF(OR(AND(F155="Short",Z155&lt;Y155),AND(NOT(F155="Short"),Z155&gt;Y155)),"stop on wrong side",ABS(Y155-Z155)))</f>
        <v/>
      </c>
      <c r="AN155" s="40" t="str">
        <f aca="false">IFERROR(IF(OR(NOT(ISNUMBER(AM155)),$C$6=""),"",ROUNDDOWN($C$6*$C$7/AM155,2)),"")</f>
        <v/>
      </c>
      <c r="AO155" s="37" t="str">
        <f aca="false">IFERROR(IF(AN155="","",AN155*Y155),"")</f>
        <v/>
      </c>
      <c r="AP155" s="35"/>
      <c r="AQ155" s="19"/>
      <c r="AR155" s="26"/>
      <c r="AS155" s="41" t="str">
        <f aca="false">IFERROR(IF(OR(AR155="",Y155="",AQ155=""),"",IF(F155="Short",1-AR155/Y155,AR155/Y155-1)),"")</f>
        <v/>
      </c>
      <c r="AT155" s="42" t="str">
        <f aca="true">IF(AQ155="","",IF(ISNUMBER($C$4),$C$4,TODAY())-AQ155)</f>
        <v/>
      </c>
      <c r="AU155" s="14" t="str">
        <f aca="false">IF(C155="","",IF(AP155="Open position",IF(IF(F155="Short",AND(ISNUMBER(AR155),ISNUMBER(Z155),AR155&gt;=Z155),AND(ISNUMBER(AR155),ISNUMBER(Z155),AR155&lt;=Z155)),IF(F155="Short","COVER — stop hit (buy back)","SELL — stop hit"),IF(IF(F155="Short",AND(ISNUMBER(AR155),ISNUMBER(AA155),AR155&lt;=AA155),AND(ISNUMBER(AR155),ISNUMBER(AA155),AR155&gt;=AA155)),"TAKE PROFIT — target hit",IF(AND(ISNUMBER(AT155),AT155&gt;182),IF(F155="Short","COVER — 6-month time limit","SELL — 6-month time limit"),IF(AND(ISNUMBER(AT155),AT155&gt;42,ISNUMBER(AS155),AS155&lt;0.02),"REVIEW — no progress after 6 weeks",IF(IF(F155="Short",AND(L155&lt;&gt;"",N(L155)&gt;0),AND(L155&lt;&gt;"",N(L155)&lt;0)),IF(F155="Short","REVIEW — back above 50-day avg","REVIEW — below 50-day avg"),"HOLD"))))),IF(OR(AP155="Closed",AP155="Dropped"),"Closed",IF(AK155="A",IF(F155="Short","Run Technical Review — SHORT entry","Run Technical Review — LONG entry"),IF(AK155="B","Watch — wait for setup","Drop or re-check next week")))))</f>
        <v/>
      </c>
      <c r="AV155" s="35"/>
      <c r="AX155" s="43" t="str">
        <f aca="false">IF(AND(C155&lt;&gt;"",A155=$C$4,ISNUMBER(AJ155)),AJ155+ROW()/100000,"")</f>
        <v/>
      </c>
    </row>
    <row r="156" customFormat="false" ht="15" hidden="false" customHeight="false" outlineLevel="0" collapsed="false">
      <c r="A156" s="19"/>
      <c r="B156" s="35"/>
      <c r="C156" s="35"/>
      <c r="D156" s="35"/>
      <c r="E156" s="35"/>
      <c r="F156" s="35"/>
      <c r="G156" s="26"/>
      <c r="H156" s="26"/>
      <c r="I156" s="36"/>
      <c r="J156" s="37" t="str">
        <f aca="false">IF(OR(G156="",I156=""),"",G156*I156/1000000)</f>
        <v/>
      </c>
      <c r="K156" s="21"/>
      <c r="L156" s="21"/>
      <c r="M156" s="21"/>
      <c r="N156" s="25"/>
      <c r="O156" s="21"/>
      <c r="P156" s="21"/>
      <c r="Q156" s="21"/>
      <c r="R156" s="21"/>
      <c r="S156" s="38"/>
      <c r="T156" s="21"/>
      <c r="U156" s="21"/>
      <c r="V156" s="19"/>
      <c r="W156" s="26"/>
      <c r="X156" s="35"/>
      <c r="Y156" s="26"/>
      <c r="Z156" s="26"/>
      <c r="AA156" s="26"/>
      <c r="AB156" s="16" t="str">
        <f aca="false">IF(C156="","",IF(F156="Short",(AND(M156&lt;&gt;"",N(M156)&lt;0))+(AND(L156&lt;&gt;"",N(L156)&lt;0))+(AND(K156&lt;&gt;"",N(K156)&lt;0))+AND(L156&lt;&gt;"",M156&lt;&gt;"",N(M156)&lt;N(L156)),(N(M156)&gt;0)+(N(L156)&gt;0)+(N(K156)&gt;0)+AND(L156&lt;&gt;"",M156&lt;&gt;"",N(M156)&gt;N(L156))))</f>
        <v/>
      </c>
      <c r="AC156" s="16" t="str">
        <f aca="false">IF(C156="","",IF(F156="Short",IF(N156="",0,IF(AND(N156&gt;=30,N156&lt;=50),2,IF(OR(AND(N156&gt;=25,N156&lt;30),AND(N156&gt;50,N156&lt;=60)),1,0)))+IF(P156="",0,IF(AND(IF(B156="JSE",$L$5,$L$4)&lt;&gt;"",P156&lt;IF(B156="JSE",$L$5,$L$4)),2,IF(P156&lt;0,1,0))),IF(N156="",0,IF(AND(N156&gt;=50,N156&lt;=70),2,IF(OR(AND(N156&gt;=40,N156&lt;50),AND(N156&gt;70,N156&lt;=75)),1,0)))+IF(P156="",0,IF(AND(IF(B156="JSE",$L$5,$L$4)&lt;&gt;"",P156&gt;IF(B156="JSE",$L$5,$L$4)),2,IF(P156&gt;0,1,0)))))</f>
        <v/>
      </c>
      <c r="AD156" s="16" t="str">
        <f aca="false">IF(C156="","",IF(F156="Short",IF(R156="",0,IF(R156&lt;=0.1,2,IF(R156&lt;=0.25,1,0))),IF(Q156="",0,IF(Q156&gt;=-0.1,2,IF(Q156&gt;=-0.25,1,0)))))</f>
        <v/>
      </c>
      <c r="AE156" s="16" t="str">
        <f aca="false">IF(C156="","",IF(J156="",0,IF(J156&gt;=IF(B156="JSE",$L$7,$L$6),2,IF(J156&gt;=IF(B156="JSE",$L$7,$L$6)/4,1,0))))</f>
        <v/>
      </c>
      <c r="AF156" s="16" t="str">
        <f aca="false">IF(C156="","",IF(F156="Short",AND(T156&lt;&gt;"",N(T156)&lt;0),N(T156)&gt;0)+(N(S156)&gt;=1.5))</f>
        <v/>
      </c>
      <c r="AG156" s="16" t="str">
        <f aca="false">IF(C156="","",IF(AL156="",0,IF(AL156&gt;=3,4,IF(AL156&gt;=2,2,0))))</f>
        <v/>
      </c>
      <c r="AH156" s="16" t="str">
        <f aca="false">IF(C156="","",IF(AND(ISNUMBER(V156),ISNUMBER(A156),V156&gt;=A156,V156-A156&lt;=14),-2,0))</f>
        <v/>
      </c>
      <c r="AI156" s="16" t="str">
        <f aca="false">IF(C156="","",IF(AND(F156="Short",N(U156)&gt;=0.2),-1,0))</f>
        <v/>
      </c>
      <c r="AJ156" s="23" t="str">
        <f aca="false">IF(C156="","",SUM(AB156:AI156))</f>
        <v/>
      </c>
      <c r="AK156" s="24" t="str">
        <f aca="false">IF(C156="","",IF(AJ156&gt;=14,"A",IF(AJ156&gt;=10,"B","C")))</f>
        <v/>
      </c>
      <c r="AL156" s="39" t="str">
        <f aca="false">IFERROR(IF(OR(Y156="",Z156="",AA156=""),"",IF(F156="Short",IF(Z156&lt;=Y156,"",(Y156-AA156)/(Z156-Y156)),IF(Y156&lt;=Z156,"",(AA156-Y156)/(Y156-Z156)))),"")</f>
        <v/>
      </c>
      <c r="AM156" s="37" t="str">
        <f aca="false">IF(OR(Y156="",Z156="",N(Y156)=N(Z156)),"",IF(OR(AND(F156="Short",Z156&lt;Y156),AND(NOT(F156="Short"),Z156&gt;Y156)),"stop on wrong side",ABS(Y156-Z156)))</f>
        <v/>
      </c>
      <c r="AN156" s="40" t="str">
        <f aca="false">IFERROR(IF(OR(NOT(ISNUMBER(AM156)),$C$6=""),"",ROUNDDOWN($C$6*$C$7/AM156,2)),"")</f>
        <v/>
      </c>
      <c r="AO156" s="37" t="str">
        <f aca="false">IFERROR(IF(AN156="","",AN156*Y156),"")</f>
        <v/>
      </c>
      <c r="AP156" s="35"/>
      <c r="AQ156" s="19"/>
      <c r="AR156" s="26"/>
      <c r="AS156" s="41" t="str">
        <f aca="false">IFERROR(IF(OR(AR156="",Y156="",AQ156=""),"",IF(F156="Short",1-AR156/Y156,AR156/Y156-1)),"")</f>
        <v/>
      </c>
      <c r="AT156" s="42" t="str">
        <f aca="true">IF(AQ156="","",IF(ISNUMBER($C$4),$C$4,TODAY())-AQ156)</f>
        <v/>
      </c>
      <c r="AU156" s="14" t="str">
        <f aca="false">IF(C156="","",IF(AP156="Open position",IF(IF(F156="Short",AND(ISNUMBER(AR156),ISNUMBER(Z156),AR156&gt;=Z156),AND(ISNUMBER(AR156),ISNUMBER(Z156),AR156&lt;=Z156)),IF(F156="Short","COVER — stop hit (buy back)","SELL — stop hit"),IF(IF(F156="Short",AND(ISNUMBER(AR156),ISNUMBER(AA156),AR156&lt;=AA156),AND(ISNUMBER(AR156),ISNUMBER(AA156),AR156&gt;=AA156)),"TAKE PROFIT — target hit",IF(AND(ISNUMBER(AT156),AT156&gt;182),IF(F156="Short","COVER — 6-month time limit","SELL — 6-month time limit"),IF(AND(ISNUMBER(AT156),AT156&gt;42,ISNUMBER(AS156),AS156&lt;0.02),"REVIEW — no progress after 6 weeks",IF(IF(F156="Short",AND(L156&lt;&gt;"",N(L156)&gt;0),AND(L156&lt;&gt;"",N(L156)&lt;0)),IF(F156="Short","REVIEW — back above 50-day avg","REVIEW — below 50-day avg"),"HOLD"))))),IF(OR(AP156="Closed",AP156="Dropped"),"Closed",IF(AK156="A",IF(F156="Short","Run Technical Review — SHORT entry","Run Technical Review — LONG entry"),IF(AK156="B","Watch — wait for setup","Drop or re-check next week")))))</f>
        <v/>
      </c>
      <c r="AV156" s="35"/>
      <c r="AX156" s="43" t="str">
        <f aca="false">IF(AND(C156&lt;&gt;"",A156=$C$4,ISNUMBER(AJ156)),AJ156+ROW()/100000,"")</f>
        <v/>
      </c>
    </row>
    <row r="157" customFormat="false" ht="15" hidden="false" customHeight="false" outlineLevel="0" collapsed="false">
      <c r="A157" s="19"/>
      <c r="B157" s="35"/>
      <c r="C157" s="35"/>
      <c r="D157" s="35"/>
      <c r="E157" s="35"/>
      <c r="F157" s="35"/>
      <c r="G157" s="26"/>
      <c r="H157" s="26"/>
      <c r="I157" s="36"/>
      <c r="J157" s="37" t="str">
        <f aca="false">IF(OR(G157="",I157=""),"",G157*I157/1000000)</f>
        <v/>
      </c>
      <c r="K157" s="21"/>
      <c r="L157" s="21"/>
      <c r="M157" s="21"/>
      <c r="N157" s="25"/>
      <c r="O157" s="21"/>
      <c r="P157" s="21"/>
      <c r="Q157" s="21"/>
      <c r="R157" s="21"/>
      <c r="S157" s="38"/>
      <c r="T157" s="21"/>
      <c r="U157" s="21"/>
      <c r="V157" s="19"/>
      <c r="W157" s="26"/>
      <c r="X157" s="35"/>
      <c r="Y157" s="26"/>
      <c r="Z157" s="26"/>
      <c r="AA157" s="26"/>
      <c r="AB157" s="16" t="str">
        <f aca="false">IF(C157="","",IF(F157="Short",(AND(M157&lt;&gt;"",N(M157)&lt;0))+(AND(L157&lt;&gt;"",N(L157)&lt;0))+(AND(K157&lt;&gt;"",N(K157)&lt;0))+AND(L157&lt;&gt;"",M157&lt;&gt;"",N(M157)&lt;N(L157)),(N(M157)&gt;0)+(N(L157)&gt;0)+(N(K157)&gt;0)+AND(L157&lt;&gt;"",M157&lt;&gt;"",N(M157)&gt;N(L157))))</f>
        <v/>
      </c>
      <c r="AC157" s="16" t="str">
        <f aca="false">IF(C157="","",IF(F157="Short",IF(N157="",0,IF(AND(N157&gt;=30,N157&lt;=50),2,IF(OR(AND(N157&gt;=25,N157&lt;30),AND(N157&gt;50,N157&lt;=60)),1,0)))+IF(P157="",0,IF(AND(IF(B157="JSE",$L$5,$L$4)&lt;&gt;"",P157&lt;IF(B157="JSE",$L$5,$L$4)),2,IF(P157&lt;0,1,0))),IF(N157="",0,IF(AND(N157&gt;=50,N157&lt;=70),2,IF(OR(AND(N157&gt;=40,N157&lt;50),AND(N157&gt;70,N157&lt;=75)),1,0)))+IF(P157="",0,IF(AND(IF(B157="JSE",$L$5,$L$4)&lt;&gt;"",P157&gt;IF(B157="JSE",$L$5,$L$4)),2,IF(P157&gt;0,1,0)))))</f>
        <v/>
      </c>
      <c r="AD157" s="16" t="str">
        <f aca="false">IF(C157="","",IF(F157="Short",IF(R157="",0,IF(R157&lt;=0.1,2,IF(R157&lt;=0.25,1,0))),IF(Q157="",0,IF(Q157&gt;=-0.1,2,IF(Q157&gt;=-0.25,1,0)))))</f>
        <v/>
      </c>
      <c r="AE157" s="16" t="str">
        <f aca="false">IF(C157="","",IF(J157="",0,IF(J157&gt;=IF(B157="JSE",$L$7,$L$6),2,IF(J157&gt;=IF(B157="JSE",$L$7,$L$6)/4,1,0))))</f>
        <v/>
      </c>
      <c r="AF157" s="16" t="str">
        <f aca="false">IF(C157="","",IF(F157="Short",AND(T157&lt;&gt;"",N(T157)&lt;0),N(T157)&gt;0)+(N(S157)&gt;=1.5))</f>
        <v/>
      </c>
      <c r="AG157" s="16" t="str">
        <f aca="false">IF(C157="","",IF(AL157="",0,IF(AL157&gt;=3,4,IF(AL157&gt;=2,2,0))))</f>
        <v/>
      </c>
      <c r="AH157" s="16" t="str">
        <f aca="false">IF(C157="","",IF(AND(ISNUMBER(V157),ISNUMBER(A157),V157&gt;=A157,V157-A157&lt;=14),-2,0))</f>
        <v/>
      </c>
      <c r="AI157" s="16" t="str">
        <f aca="false">IF(C157="","",IF(AND(F157="Short",N(U157)&gt;=0.2),-1,0))</f>
        <v/>
      </c>
      <c r="AJ157" s="23" t="str">
        <f aca="false">IF(C157="","",SUM(AB157:AI157))</f>
        <v/>
      </c>
      <c r="AK157" s="24" t="str">
        <f aca="false">IF(C157="","",IF(AJ157&gt;=14,"A",IF(AJ157&gt;=10,"B","C")))</f>
        <v/>
      </c>
      <c r="AL157" s="39" t="str">
        <f aca="false">IFERROR(IF(OR(Y157="",Z157="",AA157=""),"",IF(F157="Short",IF(Z157&lt;=Y157,"",(Y157-AA157)/(Z157-Y157)),IF(Y157&lt;=Z157,"",(AA157-Y157)/(Y157-Z157)))),"")</f>
        <v/>
      </c>
      <c r="AM157" s="37" t="str">
        <f aca="false">IF(OR(Y157="",Z157="",N(Y157)=N(Z157)),"",IF(OR(AND(F157="Short",Z157&lt;Y157),AND(NOT(F157="Short"),Z157&gt;Y157)),"stop on wrong side",ABS(Y157-Z157)))</f>
        <v/>
      </c>
      <c r="AN157" s="40" t="str">
        <f aca="false">IFERROR(IF(OR(NOT(ISNUMBER(AM157)),$C$6=""),"",ROUNDDOWN($C$6*$C$7/AM157,2)),"")</f>
        <v/>
      </c>
      <c r="AO157" s="37" t="str">
        <f aca="false">IFERROR(IF(AN157="","",AN157*Y157),"")</f>
        <v/>
      </c>
      <c r="AP157" s="35"/>
      <c r="AQ157" s="19"/>
      <c r="AR157" s="26"/>
      <c r="AS157" s="41" t="str">
        <f aca="false">IFERROR(IF(OR(AR157="",Y157="",AQ157=""),"",IF(F157="Short",1-AR157/Y157,AR157/Y157-1)),"")</f>
        <v/>
      </c>
      <c r="AT157" s="42" t="str">
        <f aca="true">IF(AQ157="","",IF(ISNUMBER($C$4),$C$4,TODAY())-AQ157)</f>
        <v/>
      </c>
      <c r="AU157" s="14" t="str">
        <f aca="false">IF(C157="","",IF(AP157="Open position",IF(IF(F157="Short",AND(ISNUMBER(AR157),ISNUMBER(Z157),AR157&gt;=Z157),AND(ISNUMBER(AR157),ISNUMBER(Z157),AR157&lt;=Z157)),IF(F157="Short","COVER — stop hit (buy back)","SELL — stop hit"),IF(IF(F157="Short",AND(ISNUMBER(AR157),ISNUMBER(AA157),AR157&lt;=AA157),AND(ISNUMBER(AR157),ISNUMBER(AA157),AR157&gt;=AA157)),"TAKE PROFIT — target hit",IF(AND(ISNUMBER(AT157),AT157&gt;182),IF(F157="Short","COVER — 6-month time limit","SELL — 6-month time limit"),IF(AND(ISNUMBER(AT157),AT157&gt;42,ISNUMBER(AS157),AS157&lt;0.02),"REVIEW — no progress after 6 weeks",IF(IF(F157="Short",AND(L157&lt;&gt;"",N(L157)&gt;0),AND(L157&lt;&gt;"",N(L157)&lt;0)),IF(F157="Short","REVIEW — back above 50-day avg","REVIEW — below 50-day avg"),"HOLD"))))),IF(OR(AP157="Closed",AP157="Dropped"),"Closed",IF(AK157="A",IF(F157="Short","Run Technical Review — SHORT entry","Run Technical Review — LONG entry"),IF(AK157="B","Watch — wait for setup","Drop or re-check next week")))))</f>
        <v/>
      </c>
      <c r="AV157" s="35"/>
      <c r="AX157" s="43" t="str">
        <f aca="false">IF(AND(C157&lt;&gt;"",A157=$C$4,ISNUMBER(AJ157)),AJ157+ROW()/100000,"")</f>
        <v/>
      </c>
    </row>
    <row r="158" customFormat="false" ht="15" hidden="false" customHeight="false" outlineLevel="0" collapsed="false">
      <c r="A158" s="19"/>
      <c r="B158" s="35"/>
      <c r="C158" s="35"/>
      <c r="D158" s="35"/>
      <c r="E158" s="35"/>
      <c r="F158" s="35"/>
      <c r="G158" s="26"/>
      <c r="H158" s="26"/>
      <c r="I158" s="36"/>
      <c r="J158" s="37" t="str">
        <f aca="false">IF(OR(G158="",I158=""),"",G158*I158/1000000)</f>
        <v/>
      </c>
      <c r="K158" s="21"/>
      <c r="L158" s="21"/>
      <c r="M158" s="21"/>
      <c r="N158" s="25"/>
      <c r="O158" s="21"/>
      <c r="P158" s="21"/>
      <c r="Q158" s="21"/>
      <c r="R158" s="21"/>
      <c r="S158" s="38"/>
      <c r="T158" s="21"/>
      <c r="U158" s="21"/>
      <c r="V158" s="19"/>
      <c r="W158" s="26"/>
      <c r="X158" s="35"/>
      <c r="Y158" s="26"/>
      <c r="Z158" s="26"/>
      <c r="AA158" s="26"/>
      <c r="AB158" s="16" t="str">
        <f aca="false">IF(C158="","",IF(F158="Short",(AND(M158&lt;&gt;"",N(M158)&lt;0))+(AND(L158&lt;&gt;"",N(L158)&lt;0))+(AND(K158&lt;&gt;"",N(K158)&lt;0))+AND(L158&lt;&gt;"",M158&lt;&gt;"",N(M158)&lt;N(L158)),(N(M158)&gt;0)+(N(L158)&gt;0)+(N(K158)&gt;0)+AND(L158&lt;&gt;"",M158&lt;&gt;"",N(M158)&gt;N(L158))))</f>
        <v/>
      </c>
      <c r="AC158" s="16" t="str">
        <f aca="false">IF(C158="","",IF(F158="Short",IF(N158="",0,IF(AND(N158&gt;=30,N158&lt;=50),2,IF(OR(AND(N158&gt;=25,N158&lt;30),AND(N158&gt;50,N158&lt;=60)),1,0)))+IF(P158="",0,IF(AND(IF(B158="JSE",$L$5,$L$4)&lt;&gt;"",P158&lt;IF(B158="JSE",$L$5,$L$4)),2,IF(P158&lt;0,1,0))),IF(N158="",0,IF(AND(N158&gt;=50,N158&lt;=70),2,IF(OR(AND(N158&gt;=40,N158&lt;50),AND(N158&gt;70,N158&lt;=75)),1,0)))+IF(P158="",0,IF(AND(IF(B158="JSE",$L$5,$L$4)&lt;&gt;"",P158&gt;IF(B158="JSE",$L$5,$L$4)),2,IF(P158&gt;0,1,0)))))</f>
        <v/>
      </c>
      <c r="AD158" s="16" t="str">
        <f aca="false">IF(C158="","",IF(F158="Short",IF(R158="",0,IF(R158&lt;=0.1,2,IF(R158&lt;=0.25,1,0))),IF(Q158="",0,IF(Q158&gt;=-0.1,2,IF(Q158&gt;=-0.25,1,0)))))</f>
        <v/>
      </c>
      <c r="AE158" s="16" t="str">
        <f aca="false">IF(C158="","",IF(J158="",0,IF(J158&gt;=IF(B158="JSE",$L$7,$L$6),2,IF(J158&gt;=IF(B158="JSE",$L$7,$L$6)/4,1,0))))</f>
        <v/>
      </c>
      <c r="AF158" s="16" t="str">
        <f aca="false">IF(C158="","",IF(F158="Short",AND(T158&lt;&gt;"",N(T158)&lt;0),N(T158)&gt;0)+(N(S158)&gt;=1.5))</f>
        <v/>
      </c>
      <c r="AG158" s="16" t="str">
        <f aca="false">IF(C158="","",IF(AL158="",0,IF(AL158&gt;=3,4,IF(AL158&gt;=2,2,0))))</f>
        <v/>
      </c>
      <c r="AH158" s="16" t="str">
        <f aca="false">IF(C158="","",IF(AND(ISNUMBER(V158),ISNUMBER(A158),V158&gt;=A158,V158-A158&lt;=14),-2,0))</f>
        <v/>
      </c>
      <c r="AI158" s="16" t="str">
        <f aca="false">IF(C158="","",IF(AND(F158="Short",N(U158)&gt;=0.2),-1,0))</f>
        <v/>
      </c>
      <c r="AJ158" s="23" t="str">
        <f aca="false">IF(C158="","",SUM(AB158:AI158))</f>
        <v/>
      </c>
      <c r="AK158" s="24" t="str">
        <f aca="false">IF(C158="","",IF(AJ158&gt;=14,"A",IF(AJ158&gt;=10,"B","C")))</f>
        <v/>
      </c>
      <c r="AL158" s="39" t="str">
        <f aca="false">IFERROR(IF(OR(Y158="",Z158="",AA158=""),"",IF(F158="Short",IF(Z158&lt;=Y158,"",(Y158-AA158)/(Z158-Y158)),IF(Y158&lt;=Z158,"",(AA158-Y158)/(Y158-Z158)))),"")</f>
        <v/>
      </c>
      <c r="AM158" s="37" t="str">
        <f aca="false">IF(OR(Y158="",Z158="",N(Y158)=N(Z158)),"",IF(OR(AND(F158="Short",Z158&lt;Y158),AND(NOT(F158="Short"),Z158&gt;Y158)),"stop on wrong side",ABS(Y158-Z158)))</f>
        <v/>
      </c>
      <c r="AN158" s="40" t="str">
        <f aca="false">IFERROR(IF(OR(NOT(ISNUMBER(AM158)),$C$6=""),"",ROUNDDOWN($C$6*$C$7/AM158,2)),"")</f>
        <v/>
      </c>
      <c r="AO158" s="37" t="str">
        <f aca="false">IFERROR(IF(AN158="","",AN158*Y158),"")</f>
        <v/>
      </c>
      <c r="AP158" s="35"/>
      <c r="AQ158" s="19"/>
      <c r="AR158" s="26"/>
      <c r="AS158" s="41" t="str">
        <f aca="false">IFERROR(IF(OR(AR158="",Y158="",AQ158=""),"",IF(F158="Short",1-AR158/Y158,AR158/Y158-1)),"")</f>
        <v/>
      </c>
      <c r="AT158" s="42" t="str">
        <f aca="true">IF(AQ158="","",IF(ISNUMBER($C$4),$C$4,TODAY())-AQ158)</f>
        <v/>
      </c>
      <c r="AU158" s="14" t="str">
        <f aca="false">IF(C158="","",IF(AP158="Open position",IF(IF(F158="Short",AND(ISNUMBER(AR158),ISNUMBER(Z158),AR158&gt;=Z158),AND(ISNUMBER(AR158),ISNUMBER(Z158),AR158&lt;=Z158)),IF(F158="Short","COVER — stop hit (buy back)","SELL — stop hit"),IF(IF(F158="Short",AND(ISNUMBER(AR158),ISNUMBER(AA158),AR158&lt;=AA158),AND(ISNUMBER(AR158),ISNUMBER(AA158),AR158&gt;=AA158)),"TAKE PROFIT — target hit",IF(AND(ISNUMBER(AT158),AT158&gt;182),IF(F158="Short","COVER — 6-month time limit","SELL — 6-month time limit"),IF(AND(ISNUMBER(AT158),AT158&gt;42,ISNUMBER(AS158),AS158&lt;0.02),"REVIEW — no progress after 6 weeks",IF(IF(F158="Short",AND(L158&lt;&gt;"",N(L158)&gt;0),AND(L158&lt;&gt;"",N(L158)&lt;0)),IF(F158="Short","REVIEW — back above 50-day avg","REVIEW — below 50-day avg"),"HOLD"))))),IF(OR(AP158="Closed",AP158="Dropped"),"Closed",IF(AK158="A",IF(F158="Short","Run Technical Review — SHORT entry","Run Technical Review — LONG entry"),IF(AK158="B","Watch — wait for setup","Drop or re-check next week")))))</f>
        <v/>
      </c>
      <c r="AV158" s="35"/>
      <c r="AX158" s="43" t="str">
        <f aca="false">IF(AND(C158&lt;&gt;"",A158=$C$4,ISNUMBER(AJ158)),AJ158+ROW()/100000,"")</f>
        <v/>
      </c>
    </row>
    <row r="159" customFormat="false" ht="15" hidden="false" customHeight="false" outlineLevel="0" collapsed="false">
      <c r="A159" s="19"/>
      <c r="B159" s="35"/>
      <c r="C159" s="35"/>
      <c r="D159" s="35"/>
      <c r="E159" s="35"/>
      <c r="F159" s="35"/>
      <c r="G159" s="26"/>
      <c r="H159" s="26"/>
      <c r="I159" s="36"/>
      <c r="J159" s="37" t="str">
        <f aca="false">IF(OR(G159="",I159=""),"",G159*I159/1000000)</f>
        <v/>
      </c>
      <c r="K159" s="21"/>
      <c r="L159" s="21"/>
      <c r="M159" s="21"/>
      <c r="N159" s="25"/>
      <c r="O159" s="21"/>
      <c r="P159" s="21"/>
      <c r="Q159" s="21"/>
      <c r="R159" s="21"/>
      <c r="S159" s="38"/>
      <c r="T159" s="21"/>
      <c r="U159" s="21"/>
      <c r="V159" s="19"/>
      <c r="W159" s="26"/>
      <c r="X159" s="35"/>
      <c r="Y159" s="26"/>
      <c r="Z159" s="26"/>
      <c r="AA159" s="26"/>
      <c r="AB159" s="16" t="str">
        <f aca="false">IF(C159="","",IF(F159="Short",(AND(M159&lt;&gt;"",N(M159)&lt;0))+(AND(L159&lt;&gt;"",N(L159)&lt;0))+(AND(K159&lt;&gt;"",N(K159)&lt;0))+AND(L159&lt;&gt;"",M159&lt;&gt;"",N(M159)&lt;N(L159)),(N(M159)&gt;0)+(N(L159)&gt;0)+(N(K159)&gt;0)+AND(L159&lt;&gt;"",M159&lt;&gt;"",N(M159)&gt;N(L159))))</f>
        <v/>
      </c>
      <c r="AC159" s="16" t="str">
        <f aca="false">IF(C159="","",IF(F159="Short",IF(N159="",0,IF(AND(N159&gt;=30,N159&lt;=50),2,IF(OR(AND(N159&gt;=25,N159&lt;30),AND(N159&gt;50,N159&lt;=60)),1,0)))+IF(P159="",0,IF(AND(IF(B159="JSE",$L$5,$L$4)&lt;&gt;"",P159&lt;IF(B159="JSE",$L$5,$L$4)),2,IF(P159&lt;0,1,0))),IF(N159="",0,IF(AND(N159&gt;=50,N159&lt;=70),2,IF(OR(AND(N159&gt;=40,N159&lt;50),AND(N159&gt;70,N159&lt;=75)),1,0)))+IF(P159="",0,IF(AND(IF(B159="JSE",$L$5,$L$4)&lt;&gt;"",P159&gt;IF(B159="JSE",$L$5,$L$4)),2,IF(P159&gt;0,1,0)))))</f>
        <v/>
      </c>
      <c r="AD159" s="16" t="str">
        <f aca="false">IF(C159="","",IF(F159="Short",IF(R159="",0,IF(R159&lt;=0.1,2,IF(R159&lt;=0.25,1,0))),IF(Q159="",0,IF(Q159&gt;=-0.1,2,IF(Q159&gt;=-0.25,1,0)))))</f>
        <v/>
      </c>
      <c r="AE159" s="16" t="str">
        <f aca="false">IF(C159="","",IF(J159="",0,IF(J159&gt;=IF(B159="JSE",$L$7,$L$6),2,IF(J159&gt;=IF(B159="JSE",$L$7,$L$6)/4,1,0))))</f>
        <v/>
      </c>
      <c r="AF159" s="16" t="str">
        <f aca="false">IF(C159="","",IF(F159="Short",AND(T159&lt;&gt;"",N(T159)&lt;0),N(T159)&gt;0)+(N(S159)&gt;=1.5))</f>
        <v/>
      </c>
      <c r="AG159" s="16" t="str">
        <f aca="false">IF(C159="","",IF(AL159="",0,IF(AL159&gt;=3,4,IF(AL159&gt;=2,2,0))))</f>
        <v/>
      </c>
      <c r="AH159" s="16" t="str">
        <f aca="false">IF(C159="","",IF(AND(ISNUMBER(V159),ISNUMBER(A159),V159&gt;=A159,V159-A159&lt;=14),-2,0))</f>
        <v/>
      </c>
      <c r="AI159" s="16" t="str">
        <f aca="false">IF(C159="","",IF(AND(F159="Short",N(U159)&gt;=0.2),-1,0))</f>
        <v/>
      </c>
      <c r="AJ159" s="23" t="str">
        <f aca="false">IF(C159="","",SUM(AB159:AI159))</f>
        <v/>
      </c>
      <c r="AK159" s="24" t="str">
        <f aca="false">IF(C159="","",IF(AJ159&gt;=14,"A",IF(AJ159&gt;=10,"B","C")))</f>
        <v/>
      </c>
      <c r="AL159" s="39" t="str">
        <f aca="false">IFERROR(IF(OR(Y159="",Z159="",AA159=""),"",IF(F159="Short",IF(Z159&lt;=Y159,"",(Y159-AA159)/(Z159-Y159)),IF(Y159&lt;=Z159,"",(AA159-Y159)/(Y159-Z159)))),"")</f>
        <v/>
      </c>
      <c r="AM159" s="37" t="str">
        <f aca="false">IF(OR(Y159="",Z159="",N(Y159)=N(Z159)),"",IF(OR(AND(F159="Short",Z159&lt;Y159),AND(NOT(F159="Short"),Z159&gt;Y159)),"stop on wrong side",ABS(Y159-Z159)))</f>
        <v/>
      </c>
      <c r="AN159" s="40" t="str">
        <f aca="false">IFERROR(IF(OR(NOT(ISNUMBER(AM159)),$C$6=""),"",ROUNDDOWN($C$6*$C$7/AM159,2)),"")</f>
        <v/>
      </c>
      <c r="AO159" s="37" t="str">
        <f aca="false">IFERROR(IF(AN159="","",AN159*Y159),"")</f>
        <v/>
      </c>
      <c r="AP159" s="35"/>
      <c r="AQ159" s="19"/>
      <c r="AR159" s="26"/>
      <c r="AS159" s="41" t="str">
        <f aca="false">IFERROR(IF(OR(AR159="",Y159="",AQ159=""),"",IF(F159="Short",1-AR159/Y159,AR159/Y159-1)),"")</f>
        <v/>
      </c>
      <c r="AT159" s="42" t="str">
        <f aca="true">IF(AQ159="","",IF(ISNUMBER($C$4),$C$4,TODAY())-AQ159)</f>
        <v/>
      </c>
      <c r="AU159" s="14" t="str">
        <f aca="false">IF(C159="","",IF(AP159="Open position",IF(IF(F159="Short",AND(ISNUMBER(AR159),ISNUMBER(Z159),AR159&gt;=Z159),AND(ISNUMBER(AR159),ISNUMBER(Z159),AR159&lt;=Z159)),IF(F159="Short","COVER — stop hit (buy back)","SELL — stop hit"),IF(IF(F159="Short",AND(ISNUMBER(AR159),ISNUMBER(AA159),AR159&lt;=AA159),AND(ISNUMBER(AR159),ISNUMBER(AA159),AR159&gt;=AA159)),"TAKE PROFIT — target hit",IF(AND(ISNUMBER(AT159),AT159&gt;182),IF(F159="Short","COVER — 6-month time limit","SELL — 6-month time limit"),IF(AND(ISNUMBER(AT159),AT159&gt;42,ISNUMBER(AS159),AS159&lt;0.02),"REVIEW — no progress after 6 weeks",IF(IF(F159="Short",AND(L159&lt;&gt;"",N(L159)&gt;0),AND(L159&lt;&gt;"",N(L159)&lt;0)),IF(F159="Short","REVIEW — back above 50-day avg","REVIEW — below 50-day avg"),"HOLD"))))),IF(OR(AP159="Closed",AP159="Dropped"),"Closed",IF(AK159="A",IF(F159="Short","Run Technical Review — SHORT entry","Run Technical Review — LONG entry"),IF(AK159="B","Watch — wait for setup","Drop or re-check next week")))))</f>
        <v/>
      </c>
      <c r="AV159" s="35"/>
      <c r="AX159" s="43" t="str">
        <f aca="false">IF(AND(C159&lt;&gt;"",A159=$C$4,ISNUMBER(AJ159)),AJ159+ROW()/100000,"")</f>
        <v/>
      </c>
    </row>
    <row r="160" customFormat="false" ht="15" hidden="false" customHeight="false" outlineLevel="0" collapsed="false">
      <c r="A160" s="19"/>
      <c r="B160" s="35"/>
      <c r="C160" s="35"/>
      <c r="D160" s="35"/>
      <c r="E160" s="35"/>
      <c r="F160" s="35"/>
      <c r="G160" s="26"/>
      <c r="H160" s="26"/>
      <c r="I160" s="36"/>
      <c r="J160" s="37" t="str">
        <f aca="false">IF(OR(G160="",I160=""),"",G160*I160/1000000)</f>
        <v/>
      </c>
      <c r="K160" s="21"/>
      <c r="L160" s="21"/>
      <c r="M160" s="21"/>
      <c r="N160" s="25"/>
      <c r="O160" s="21"/>
      <c r="P160" s="21"/>
      <c r="Q160" s="21"/>
      <c r="R160" s="21"/>
      <c r="S160" s="38"/>
      <c r="T160" s="21"/>
      <c r="U160" s="21"/>
      <c r="V160" s="19"/>
      <c r="W160" s="26"/>
      <c r="X160" s="35"/>
      <c r="Y160" s="26"/>
      <c r="Z160" s="26"/>
      <c r="AA160" s="26"/>
      <c r="AB160" s="16" t="str">
        <f aca="false">IF(C160="","",IF(F160="Short",(AND(M160&lt;&gt;"",N(M160)&lt;0))+(AND(L160&lt;&gt;"",N(L160)&lt;0))+(AND(K160&lt;&gt;"",N(K160)&lt;0))+AND(L160&lt;&gt;"",M160&lt;&gt;"",N(M160)&lt;N(L160)),(N(M160)&gt;0)+(N(L160)&gt;0)+(N(K160)&gt;0)+AND(L160&lt;&gt;"",M160&lt;&gt;"",N(M160)&gt;N(L160))))</f>
        <v/>
      </c>
      <c r="AC160" s="16" t="str">
        <f aca="false">IF(C160="","",IF(F160="Short",IF(N160="",0,IF(AND(N160&gt;=30,N160&lt;=50),2,IF(OR(AND(N160&gt;=25,N160&lt;30),AND(N160&gt;50,N160&lt;=60)),1,0)))+IF(P160="",0,IF(AND(IF(B160="JSE",$L$5,$L$4)&lt;&gt;"",P160&lt;IF(B160="JSE",$L$5,$L$4)),2,IF(P160&lt;0,1,0))),IF(N160="",0,IF(AND(N160&gt;=50,N160&lt;=70),2,IF(OR(AND(N160&gt;=40,N160&lt;50),AND(N160&gt;70,N160&lt;=75)),1,0)))+IF(P160="",0,IF(AND(IF(B160="JSE",$L$5,$L$4)&lt;&gt;"",P160&gt;IF(B160="JSE",$L$5,$L$4)),2,IF(P160&gt;0,1,0)))))</f>
        <v/>
      </c>
      <c r="AD160" s="16" t="str">
        <f aca="false">IF(C160="","",IF(F160="Short",IF(R160="",0,IF(R160&lt;=0.1,2,IF(R160&lt;=0.25,1,0))),IF(Q160="",0,IF(Q160&gt;=-0.1,2,IF(Q160&gt;=-0.25,1,0)))))</f>
        <v/>
      </c>
      <c r="AE160" s="16" t="str">
        <f aca="false">IF(C160="","",IF(J160="",0,IF(J160&gt;=IF(B160="JSE",$L$7,$L$6),2,IF(J160&gt;=IF(B160="JSE",$L$7,$L$6)/4,1,0))))</f>
        <v/>
      </c>
      <c r="AF160" s="16" t="str">
        <f aca="false">IF(C160="","",IF(F160="Short",AND(T160&lt;&gt;"",N(T160)&lt;0),N(T160)&gt;0)+(N(S160)&gt;=1.5))</f>
        <v/>
      </c>
      <c r="AG160" s="16" t="str">
        <f aca="false">IF(C160="","",IF(AL160="",0,IF(AL160&gt;=3,4,IF(AL160&gt;=2,2,0))))</f>
        <v/>
      </c>
      <c r="AH160" s="16" t="str">
        <f aca="false">IF(C160="","",IF(AND(ISNUMBER(V160),ISNUMBER(A160),V160&gt;=A160,V160-A160&lt;=14),-2,0))</f>
        <v/>
      </c>
      <c r="AI160" s="16" t="str">
        <f aca="false">IF(C160="","",IF(AND(F160="Short",N(U160)&gt;=0.2),-1,0))</f>
        <v/>
      </c>
      <c r="AJ160" s="23" t="str">
        <f aca="false">IF(C160="","",SUM(AB160:AI160))</f>
        <v/>
      </c>
      <c r="AK160" s="24" t="str">
        <f aca="false">IF(C160="","",IF(AJ160&gt;=14,"A",IF(AJ160&gt;=10,"B","C")))</f>
        <v/>
      </c>
      <c r="AL160" s="39" t="str">
        <f aca="false">IFERROR(IF(OR(Y160="",Z160="",AA160=""),"",IF(F160="Short",IF(Z160&lt;=Y160,"",(Y160-AA160)/(Z160-Y160)),IF(Y160&lt;=Z160,"",(AA160-Y160)/(Y160-Z160)))),"")</f>
        <v/>
      </c>
      <c r="AM160" s="37" t="str">
        <f aca="false">IF(OR(Y160="",Z160="",N(Y160)=N(Z160)),"",IF(OR(AND(F160="Short",Z160&lt;Y160),AND(NOT(F160="Short"),Z160&gt;Y160)),"stop on wrong side",ABS(Y160-Z160)))</f>
        <v/>
      </c>
      <c r="AN160" s="40" t="str">
        <f aca="false">IFERROR(IF(OR(NOT(ISNUMBER(AM160)),$C$6=""),"",ROUNDDOWN($C$6*$C$7/AM160,2)),"")</f>
        <v/>
      </c>
      <c r="AO160" s="37" t="str">
        <f aca="false">IFERROR(IF(AN160="","",AN160*Y160),"")</f>
        <v/>
      </c>
      <c r="AP160" s="35"/>
      <c r="AQ160" s="19"/>
      <c r="AR160" s="26"/>
      <c r="AS160" s="41" t="str">
        <f aca="false">IFERROR(IF(OR(AR160="",Y160="",AQ160=""),"",IF(F160="Short",1-AR160/Y160,AR160/Y160-1)),"")</f>
        <v/>
      </c>
      <c r="AT160" s="42" t="str">
        <f aca="true">IF(AQ160="","",IF(ISNUMBER($C$4),$C$4,TODAY())-AQ160)</f>
        <v/>
      </c>
      <c r="AU160" s="14" t="str">
        <f aca="false">IF(C160="","",IF(AP160="Open position",IF(IF(F160="Short",AND(ISNUMBER(AR160),ISNUMBER(Z160),AR160&gt;=Z160),AND(ISNUMBER(AR160),ISNUMBER(Z160),AR160&lt;=Z160)),IF(F160="Short","COVER — stop hit (buy back)","SELL — stop hit"),IF(IF(F160="Short",AND(ISNUMBER(AR160),ISNUMBER(AA160),AR160&lt;=AA160),AND(ISNUMBER(AR160),ISNUMBER(AA160),AR160&gt;=AA160)),"TAKE PROFIT — target hit",IF(AND(ISNUMBER(AT160),AT160&gt;182),IF(F160="Short","COVER — 6-month time limit","SELL — 6-month time limit"),IF(AND(ISNUMBER(AT160),AT160&gt;42,ISNUMBER(AS160),AS160&lt;0.02),"REVIEW — no progress after 6 weeks",IF(IF(F160="Short",AND(L160&lt;&gt;"",N(L160)&gt;0),AND(L160&lt;&gt;"",N(L160)&lt;0)),IF(F160="Short","REVIEW — back above 50-day avg","REVIEW — below 50-day avg"),"HOLD"))))),IF(OR(AP160="Closed",AP160="Dropped"),"Closed",IF(AK160="A",IF(F160="Short","Run Technical Review — SHORT entry","Run Technical Review — LONG entry"),IF(AK160="B","Watch — wait for setup","Drop or re-check next week")))))</f>
        <v/>
      </c>
      <c r="AV160" s="35"/>
      <c r="AX160" s="43" t="str">
        <f aca="false">IF(AND(C160&lt;&gt;"",A160=$C$4,ISNUMBER(AJ160)),AJ160+ROW()/100000,"")</f>
        <v/>
      </c>
    </row>
    <row r="161" customFormat="false" ht="15" hidden="false" customHeight="false" outlineLevel="0" collapsed="false">
      <c r="A161" s="19"/>
      <c r="B161" s="35"/>
      <c r="C161" s="35"/>
      <c r="D161" s="35"/>
      <c r="E161" s="35"/>
      <c r="F161" s="35"/>
      <c r="G161" s="26"/>
      <c r="H161" s="26"/>
      <c r="I161" s="36"/>
      <c r="J161" s="37" t="str">
        <f aca="false">IF(OR(G161="",I161=""),"",G161*I161/1000000)</f>
        <v/>
      </c>
      <c r="K161" s="21"/>
      <c r="L161" s="21"/>
      <c r="M161" s="21"/>
      <c r="N161" s="25"/>
      <c r="O161" s="21"/>
      <c r="P161" s="21"/>
      <c r="Q161" s="21"/>
      <c r="R161" s="21"/>
      <c r="S161" s="38"/>
      <c r="T161" s="21"/>
      <c r="U161" s="21"/>
      <c r="V161" s="19"/>
      <c r="W161" s="26"/>
      <c r="X161" s="35"/>
      <c r="Y161" s="26"/>
      <c r="Z161" s="26"/>
      <c r="AA161" s="26"/>
      <c r="AB161" s="16" t="str">
        <f aca="false">IF(C161="","",IF(F161="Short",(AND(M161&lt;&gt;"",N(M161)&lt;0))+(AND(L161&lt;&gt;"",N(L161)&lt;0))+(AND(K161&lt;&gt;"",N(K161)&lt;0))+AND(L161&lt;&gt;"",M161&lt;&gt;"",N(M161)&lt;N(L161)),(N(M161)&gt;0)+(N(L161)&gt;0)+(N(K161)&gt;0)+AND(L161&lt;&gt;"",M161&lt;&gt;"",N(M161)&gt;N(L161))))</f>
        <v/>
      </c>
      <c r="AC161" s="16" t="str">
        <f aca="false">IF(C161="","",IF(F161="Short",IF(N161="",0,IF(AND(N161&gt;=30,N161&lt;=50),2,IF(OR(AND(N161&gt;=25,N161&lt;30),AND(N161&gt;50,N161&lt;=60)),1,0)))+IF(P161="",0,IF(AND(IF(B161="JSE",$L$5,$L$4)&lt;&gt;"",P161&lt;IF(B161="JSE",$L$5,$L$4)),2,IF(P161&lt;0,1,0))),IF(N161="",0,IF(AND(N161&gt;=50,N161&lt;=70),2,IF(OR(AND(N161&gt;=40,N161&lt;50),AND(N161&gt;70,N161&lt;=75)),1,0)))+IF(P161="",0,IF(AND(IF(B161="JSE",$L$5,$L$4)&lt;&gt;"",P161&gt;IF(B161="JSE",$L$5,$L$4)),2,IF(P161&gt;0,1,0)))))</f>
        <v/>
      </c>
      <c r="AD161" s="16" t="str">
        <f aca="false">IF(C161="","",IF(F161="Short",IF(R161="",0,IF(R161&lt;=0.1,2,IF(R161&lt;=0.25,1,0))),IF(Q161="",0,IF(Q161&gt;=-0.1,2,IF(Q161&gt;=-0.25,1,0)))))</f>
        <v/>
      </c>
      <c r="AE161" s="16" t="str">
        <f aca="false">IF(C161="","",IF(J161="",0,IF(J161&gt;=IF(B161="JSE",$L$7,$L$6),2,IF(J161&gt;=IF(B161="JSE",$L$7,$L$6)/4,1,0))))</f>
        <v/>
      </c>
      <c r="AF161" s="16" t="str">
        <f aca="false">IF(C161="","",IF(F161="Short",AND(T161&lt;&gt;"",N(T161)&lt;0),N(T161)&gt;0)+(N(S161)&gt;=1.5))</f>
        <v/>
      </c>
      <c r="AG161" s="16" t="str">
        <f aca="false">IF(C161="","",IF(AL161="",0,IF(AL161&gt;=3,4,IF(AL161&gt;=2,2,0))))</f>
        <v/>
      </c>
      <c r="AH161" s="16" t="str">
        <f aca="false">IF(C161="","",IF(AND(ISNUMBER(V161),ISNUMBER(A161),V161&gt;=A161,V161-A161&lt;=14),-2,0))</f>
        <v/>
      </c>
      <c r="AI161" s="16" t="str">
        <f aca="false">IF(C161="","",IF(AND(F161="Short",N(U161)&gt;=0.2),-1,0))</f>
        <v/>
      </c>
      <c r="AJ161" s="23" t="str">
        <f aca="false">IF(C161="","",SUM(AB161:AI161))</f>
        <v/>
      </c>
      <c r="AK161" s="24" t="str">
        <f aca="false">IF(C161="","",IF(AJ161&gt;=14,"A",IF(AJ161&gt;=10,"B","C")))</f>
        <v/>
      </c>
      <c r="AL161" s="39" t="str">
        <f aca="false">IFERROR(IF(OR(Y161="",Z161="",AA161=""),"",IF(F161="Short",IF(Z161&lt;=Y161,"",(Y161-AA161)/(Z161-Y161)),IF(Y161&lt;=Z161,"",(AA161-Y161)/(Y161-Z161)))),"")</f>
        <v/>
      </c>
      <c r="AM161" s="37" t="str">
        <f aca="false">IF(OR(Y161="",Z161="",N(Y161)=N(Z161)),"",IF(OR(AND(F161="Short",Z161&lt;Y161),AND(NOT(F161="Short"),Z161&gt;Y161)),"stop on wrong side",ABS(Y161-Z161)))</f>
        <v/>
      </c>
      <c r="AN161" s="40" t="str">
        <f aca="false">IFERROR(IF(OR(NOT(ISNUMBER(AM161)),$C$6=""),"",ROUNDDOWN($C$6*$C$7/AM161,2)),"")</f>
        <v/>
      </c>
      <c r="AO161" s="37" t="str">
        <f aca="false">IFERROR(IF(AN161="","",AN161*Y161),"")</f>
        <v/>
      </c>
      <c r="AP161" s="35"/>
      <c r="AQ161" s="19"/>
      <c r="AR161" s="26"/>
      <c r="AS161" s="41" t="str">
        <f aca="false">IFERROR(IF(OR(AR161="",Y161="",AQ161=""),"",IF(F161="Short",1-AR161/Y161,AR161/Y161-1)),"")</f>
        <v/>
      </c>
      <c r="AT161" s="42" t="str">
        <f aca="true">IF(AQ161="","",IF(ISNUMBER($C$4),$C$4,TODAY())-AQ161)</f>
        <v/>
      </c>
      <c r="AU161" s="14" t="str">
        <f aca="false">IF(C161="","",IF(AP161="Open position",IF(IF(F161="Short",AND(ISNUMBER(AR161),ISNUMBER(Z161),AR161&gt;=Z161),AND(ISNUMBER(AR161),ISNUMBER(Z161),AR161&lt;=Z161)),IF(F161="Short","COVER — stop hit (buy back)","SELL — stop hit"),IF(IF(F161="Short",AND(ISNUMBER(AR161),ISNUMBER(AA161),AR161&lt;=AA161),AND(ISNUMBER(AR161),ISNUMBER(AA161),AR161&gt;=AA161)),"TAKE PROFIT — target hit",IF(AND(ISNUMBER(AT161),AT161&gt;182),IF(F161="Short","COVER — 6-month time limit","SELL — 6-month time limit"),IF(AND(ISNUMBER(AT161),AT161&gt;42,ISNUMBER(AS161),AS161&lt;0.02),"REVIEW — no progress after 6 weeks",IF(IF(F161="Short",AND(L161&lt;&gt;"",N(L161)&gt;0),AND(L161&lt;&gt;"",N(L161)&lt;0)),IF(F161="Short","REVIEW — back above 50-day avg","REVIEW — below 50-day avg"),"HOLD"))))),IF(OR(AP161="Closed",AP161="Dropped"),"Closed",IF(AK161="A",IF(F161="Short","Run Technical Review — SHORT entry","Run Technical Review — LONG entry"),IF(AK161="B","Watch — wait for setup","Drop or re-check next week")))))</f>
        <v/>
      </c>
      <c r="AV161" s="35"/>
      <c r="AX161" s="43" t="str">
        <f aca="false">IF(AND(C161&lt;&gt;"",A161=$C$4,ISNUMBER(AJ161)),AJ161+ROW()/100000,"")</f>
        <v/>
      </c>
    </row>
    <row r="162" customFormat="false" ht="15" hidden="false" customHeight="false" outlineLevel="0" collapsed="false">
      <c r="A162" s="19"/>
      <c r="B162" s="35"/>
      <c r="C162" s="35"/>
      <c r="D162" s="35"/>
      <c r="E162" s="35"/>
      <c r="F162" s="35"/>
      <c r="G162" s="26"/>
      <c r="H162" s="26"/>
      <c r="I162" s="36"/>
      <c r="J162" s="37" t="str">
        <f aca="false">IF(OR(G162="",I162=""),"",G162*I162/1000000)</f>
        <v/>
      </c>
      <c r="K162" s="21"/>
      <c r="L162" s="21"/>
      <c r="M162" s="21"/>
      <c r="N162" s="25"/>
      <c r="O162" s="21"/>
      <c r="P162" s="21"/>
      <c r="Q162" s="21"/>
      <c r="R162" s="21"/>
      <c r="S162" s="38"/>
      <c r="T162" s="21"/>
      <c r="U162" s="21"/>
      <c r="V162" s="19"/>
      <c r="W162" s="26"/>
      <c r="X162" s="35"/>
      <c r="Y162" s="26"/>
      <c r="Z162" s="26"/>
      <c r="AA162" s="26"/>
      <c r="AB162" s="16" t="str">
        <f aca="false">IF(C162="","",IF(F162="Short",(AND(M162&lt;&gt;"",N(M162)&lt;0))+(AND(L162&lt;&gt;"",N(L162)&lt;0))+(AND(K162&lt;&gt;"",N(K162)&lt;0))+AND(L162&lt;&gt;"",M162&lt;&gt;"",N(M162)&lt;N(L162)),(N(M162)&gt;0)+(N(L162)&gt;0)+(N(K162)&gt;0)+AND(L162&lt;&gt;"",M162&lt;&gt;"",N(M162)&gt;N(L162))))</f>
        <v/>
      </c>
      <c r="AC162" s="16" t="str">
        <f aca="false">IF(C162="","",IF(F162="Short",IF(N162="",0,IF(AND(N162&gt;=30,N162&lt;=50),2,IF(OR(AND(N162&gt;=25,N162&lt;30),AND(N162&gt;50,N162&lt;=60)),1,0)))+IF(P162="",0,IF(AND(IF(B162="JSE",$L$5,$L$4)&lt;&gt;"",P162&lt;IF(B162="JSE",$L$5,$L$4)),2,IF(P162&lt;0,1,0))),IF(N162="",0,IF(AND(N162&gt;=50,N162&lt;=70),2,IF(OR(AND(N162&gt;=40,N162&lt;50),AND(N162&gt;70,N162&lt;=75)),1,0)))+IF(P162="",0,IF(AND(IF(B162="JSE",$L$5,$L$4)&lt;&gt;"",P162&gt;IF(B162="JSE",$L$5,$L$4)),2,IF(P162&gt;0,1,0)))))</f>
        <v/>
      </c>
      <c r="AD162" s="16" t="str">
        <f aca="false">IF(C162="","",IF(F162="Short",IF(R162="",0,IF(R162&lt;=0.1,2,IF(R162&lt;=0.25,1,0))),IF(Q162="",0,IF(Q162&gt;=-0.1,2,IF(Q162&gt;=-0.25,1,0)))))</f>
        <v/>
      </c>
      <c r="AE162" s="16" t="str">
        <f aca="false">IF(C162="","",IF(J162="",0,IF(J162&gt;=IF(B162="JSE",$L$7,$L$6),2,IF(J162&gt;=IF(B162="JSE",$L$7,$L$6)/4,1,0))))</f>
        <v/>
      </c>
      <c r="AF162" s="16" t="str">
        <f aca="false">IF(C162="","",IF(F162="Short",AND(T162&lt;&gt;"",N(T162)&lt;0),N(T162)&gt;0)+(N(S162)&gt;=1.5))</f>
        <v/>
      </c>
      <c r="AG162" s="16" t="str">
        <f aca="false">IF(C162="","",IF(AL162="",0,IF(AL162&gt;=3,4,IF(AL162&gt;=2,2,0))))</f>
        <v/>
      </c>
      <c r="AH162" s="16" t="str">
        <f aca="false">IF(C162="","",IF(AND(ISNUMBER(V162),ISNUMBER(A162),V162&gt;=A162,V162-A162&lt;=14),-2,0))</f>
        <v/>
      </c>
      <c r="AI162" s="16" t="str">
        <f aca="false">IF(C162="","",IF(AND(F162="Short",N(U162)&gt;=0.2),-1,0))</f>
        <v/>
      </c>
      <c r="AJ162" s="23" t="str">
        <f aca="false">IF(C162="","",SUM(AB162:AI162))</f>
        <v/>
      </c>
      <c r="AK162" s="24" t="str">
        <f aca="false">IF(C162="","",IF(AJ162&gt;=14,"A",IF(AJ162&gt;=10,"B","C")))</f>
        <v/>
      </c>
      <c r="AL162" s="39" t="str">
        <f aca="false">IFERROR(IF(OR(Y162="",Z162="",AA162=""),"",IF(F162="Short",IF(Z162&lt;=Y162,"",(Y162-AA162)/(Z162-Y162)),IF(Y162&lt;=Z162,"",(AA162-Y162)/(Y162-Z162)))),"")</f>
        <v/>
      </c>
      <c r="AM162" s="37" t="str">
        <f aca="false">IF(OR(Y162="",Z162="",N(Y162)=N(Z162)),"",IF(OR(AND(F162="Short",Z162&lt;Y162),AND(NOT(F162="Short"),Z162&gt;Y162)),"stop on wrong side",ABS(Y162-Z162)))</f>
        <v/>
      </c>
      <c r="AN162" s="40" t="str">
        <f aca="false">IFERROR(IF(OR(NOT(ISNUMBER(AM162)),$C$6=""),"",ROUNDDOWN($C$6*$C$7/AM162,2)),"")</f>
        <v/>
      </c>
      <c r="AO162" s="37" t="str">
        <f aca="false">IFERROR(IF(AN162="","",AN162*Y162),"")</f>
        <v/>
      </c>
      <c r="AP162" s="35"/>
      <c r="AQ162" s="19"/>
      <c r="AR162" s="26"/>
      <c r="AS162" s="41" t="str">
        <f aca="false">IFERROR(IF(OR(AR162="",Y162="",AQ162=""),"",IF(F162="Short",1-AR162/Y162,AR162/Y162-1)),"")</f>
        <v/>
      </c>
      <c r="AT162" s="42" t="str">
        <f aca="true">IF(AQ162="","",IF(ISNUMBER($C$4),$C$4,TODAY())-AQ162)</f>
        <v/>
      </c>
      <c r="AU162" s="14" t="str">
        <f aca="false">IF(C162="","",IF(AP162="Open position",IF(IF(F162="Short",AND(ISNUMBER(AR162),ISNUMBER(Z162),AR162&gt;=Z162),AND(ISNUMBER(AR162),ISNUMBER(Z162),AR162&lt;=Z162)),IF(F162="Short","COVER — stop hit (buy back)","SELL — stop hit"),IF(IF(F162="Short",AND(ISNUMBER(AR162),ISNUMBER(AA162),AR162&lt;=AA162),AND(ISNUMBER(AR162),ISNUMBER(AA162),AR162&gt;=AA162)),"TAKE PROFIT — target hit",IF(AND(ISNUMBER(AT162),AT162&gt;182),IF(F162="Short","COVER — 6-month time limit","SELL — 6-month time limit"),IF(AND(ISNUMBER(AT162),AT162&gt;42,ISNUMBER(AS162),AS162&lt;0.02),"REVIEW — no progress after 6 weeks",IF(IF(F162="Short",AND(L162&lt;&gt;"",N(L162)&gt;0),AND(L162&lt;&gt;"",N(L162)&lt;0)),IF(F162="Short","REVIEW — back above 50-day avg","REVIEW — below 50-day avg"),"HOLD"))))),IF(OR(AP162="Closed",AP162="Dropped"),"Closed",IF(AK162="A",IF(F162="Short","Run Technical Review — SHORT entry","Run Technical Review — LONG entry"),IF(AK162="B","Watch — wait for setup","Drop or re-check next week")))))</f>
        <v/>
      </c>
      <c r="AV162" s="35"/>
      <c r="AX162" s="43" t="str">
        <f aca="false">IF(AND(C162&lt;&gt;"",A162=$C$4,ISNUMBER(AJ162)),AJ162+ROW()/100000,"")</f>
        <v/>
      </c>
    </row>
    <row r="163" customFormat="false" ht="15" hidden="false" customHeight="false" outlineLevel="0" collapsed="false">
      <c r="A163" s="19"/>
      <c r="B163" s="35"/>
      <c r="C163" s="35"/>
      <c r="D163" s="35"/>
      <c r="E163" s="35"/>
      <c r="F163" s="35"/>
      <c r="G163" s="26"/>
      <c r="H163" s="26"/>
      <c r="I163" s="36"/>
      <c r="J163" s="37" t="str">
        <f aca="false">IF(OR(G163="",I163=""),"",G163*I163/1000000)</f>
        <v/>
      </c>
      <c r="K163" s="21"/>
      <c r="L163" s="21"/>
      <c r="M163" s="21"/>
      <c r="N163" s="25"/>
      <c r="O163" s="21"/>
      <c r="P163" s="21"/>
      <c r="Q163" s="21"/>
      <c r="R163" s="21"/>
      <c r="S163" s="38"/>
      <c r="T163" s="21"/>
      <c r="U163" s="21"/>
      <c r="V163" s="19"/>
      <c r="W163" s="26"/>
      <c r="X163" s="35"/>
      <c r="Y163" s="26"/>
      <c r="Z163" s="26"/>
      <c r="AA163" s="26"/>
      <c r="AB163" s="16" t="str">
        <f aca="false">IF(C163="","",IF(F163="Short",(AND(M163&lt;&gt;"",N(M163)&lt;0))+(AND(L163&lt;&gt;"",N(L163)&lt;0))+(AND(K163&lt;&gt;"",N(K163)&lt;0))+AND(L163&lt;&gt;"",M163&lt;&gt;"",N(M163)&lt;N(L163)),(N(M163)&gt;0)+(N(L163)&gt;0)+(N(K163)&gt;0)+AND(L163&lt;&gt;"",M163&lt;&gt;"",N(M163)&gt;N(L163))))</f>
        <v/>
      </c>
      <c r="AC163" s="16" t="str">
        <f aca="false">IF(C163="","",IF(F163="Short",IF(N163="",0,IF(AND(N163&gt;=30,N163&lt;=50),2,IF(OR(AND(N163&gt;=25,N163&lt;30),AND(N163&gt;50,N163&lt;=60)),1,0)))+IF(P163="",0,IF(AND(IF(B163="JSE",$L$5,$L$4)&lt;&gt;"",P163&lt;IF(B163="JSE",$L$5,$L$4)),2,IF(P163&lt;0,1,0))),IF(N163="",0,IF(AND(N163&gt;=50,N163&lt;=70),2,IF(OR(AND(N163&gt;=40,N163&lt;50),AND(N163&gt;70,N163&lt;=75)),1,0)))+IF(P163="",0,IF(AND(IF(B163="JSE",$L$5,$L$4)&lt;&gt;"",P163&gt;IF(B163="JSE",$L$5,$L$4)),2,IF(P163&gt;0,1,0)))))</f>
        <v/>
      </c>
      <c r="AD163" s="16" t="str">
        <f aca="false">IF(C163="","",IF(F163="Short",IF(R163="",0,IF(R163&lt;=0.1,2,IF(R163&lt;=0.25,1,0))),IF(Q163="",0,IF(Q163&gt;=-0.1,2,IF(Q163&gt;=-0.25,1,0)))))</f>
        <v/>
      </c>
      <c r="AE163" s="16" t="str">
        <f aca="false">IF(C163="","",IF(J163="",0,IF(J163&gt;=IF(B163="JSE",$L$7,$L$6),2,IF(J163&gt;=IF(B163="JSE",$L$7,$L$6)/4,1,0))))</f>
        <v/>
      </c>
      <c r="AF163" s="16" t="str">
        <f aca="false">IF(C163="","",IF(F163="Short",AND(T163&lt;&gt;"",N(T163)&lt;0),N(T163)&gt;0)+(N(S163)&gt;=1.5))</f>
        <v/>
      </c>
      <c r="AG163" s="16" t="str">
        <f aca="false">IF(C163="","",IF(AL163="",0,IF(AL163&gt;=3,4,IF(AL163&gt;=2,2,0))))</f>
        <v/>
      </c>
      <c r="AH163" s="16" t="str">
        <f aca="false">IF(C163="","",IF(AND(ISNUMBER(V163),ISNUMBER(A163),V163&gt;=A163,V163-A163&lt;=14),-2,0))</f>
        <v/>
      </c>
      <c r="AI163" s="16" t="str">
        <f aca="false">IF(C163="","",IF(AND(F163="Short",N(U163)&gt;=0.2),-1,0))</f>
        <v/>
      </c>
      <c r="AJ163" s="23" t="str">
        <f aca="false">IF(C163="","",SUM(AB163:AI163))</f>
        <v/>
      </c>
      <c r="AK163" s="24" t="str">
        <f aca="false">IF(C163="","",IF(AJ163&gt;=14,"A",IF(AJ163&gt;=10,"B","C")))</f>
        <v/>
      </c>
      <c r="AL163" s="39" t="str">
        <f aca="false">IFERROR(IF(OR(Y163="",Z163="",AA163=""),"",IF(F163="Short",IF(Z163&lt;=Y163,"",(Y163-AA163)/(Z163-Y163)),IF(Y163&lt;=Z163,"",(AA163-Y163)/(Y163-Z163)))),"")</f>
        <v/>
      </c>
      <c r="AM163" s="37" t="str">
        <f aca="false">IF(OR(Y163="",Z163="",N(Y163)=N(Z163)),"",IF(OR(AND(F163="Short",Z163&lt;Y163),AND(NOT(F163="Short"),Z163&gt;Y163)),"stop on wrong side",ABS(Y163-Z163)))</f>
        <v/>
      </c>
      <c r="AN163" s="40" t="str">
        <f aca="false">IFERROR(IF(OR(NOT(ISNUMBER(AM163)),$C$6=""),"",ROUNDDOWN($C$6*$C$7/AM163,2)),"")</f>
        <v/>
      </c>
      <c r="AO163" s="37" t="str">
        <f aca="false">IFERROR(IF(AN163="","",AN163*Y163),"")</f>
        <v/>
      </c>
      <c r="AP163" s="35"/>
      <c r="AQ163" s="19"/>
      <c r="AR163" s="26"/>
      <c r="AS163" s="41" t="str">
        <f aca="false">IFERROR(IF(OR(AR163="",Y163="",AQ163=""),"",IF(F163="Short",1-AR163/Y163,AR163/Y163-1)),"")</f>
        <v/>
      </c>
      <c r="AT163" s="42" t="str">
        <f aca="true">IF(AQ163="","",IF(ISNUMBER($C$4),$C$4,TODAY())-AQ163)</f>
        <v/>
      </c>
      <c r="AU163" s="14" t="str">
        <f aca="false">IF(C163="","",IF(AP163="Open position",IF(IF(F163="Short",AND(ISNUMBER(AR163),ISNUMBER(Z163),AR163&gt;=Z163),AND(ISNUMBER(AR163),ISNUMBER(Z163),AR163&lt;=Z163)),IF(F163="Short","COVER — stop hit (buy back)","SELL — stop hit"),IF(IF(F163="Short",AND(ISNUMBER(AR163),ISNUMBER(AA163),AR163&lt;=AA163),AND(ISNUMBER(AR163),ISNUMBER(AA163),AR163&gt;=AA163)),"TAKE PROFIT — target hit",IF(AND(ISNUMBER(AT163),AT163&gt;182),IF(F163="Short","COVER — 6-month time limit","SELL — 6-month time limit"),IF(AND(ISNUMBER(AT163),AT163&gt;42,ISNUMBER(AS163),AS163&lt;0.02),"REVIEW — no progress after 6 weeks",IF(IF(F163="Short",AND(L163&lt;&gt;"",N(L163)&gt;0),AND(L163&lt;&gt;"",N(L163)&lt;0)),IF(F163="Short","REVIEW — back above 50-day avg","REVIEW — below 50-day avg"),"HOLD"))))),IF(OR(AP163="Closed",AP163="Dropped"),"Closed",IF(AK163="A",IF(F163="Short","Run Technical Review — SHORT entry","Run Technical Review — LONG entry"),IF(AK163="B","Watch — wait for setup","Drop or re-check next week")))))</f>
        <v/>
      </c>
      <c r="AV163" s="35"/>
      <c r="AX163" s="43" t="str">
        <f aca="false">IF(AND(C163&lt;&gt;"",A163=$C$4,ISNUMBER(AJ163)),AJ163+ROW()/100000,"")</f>
        <v/>
      </c>
    </row>
    <row r="164" customFormat="false" ht="15" hidden="false" customHeight="false" outlineLevel="0" collapsed="false">
      <c r="A164" s="19"/>
      <c r="B164" s="35"/>
      <c r="C164" s="35"/>
      <c r="D164" s="35"/>
      <c r="E164" s="35"/>
      <c r="F164" s="35"/>
      <c r="G164" s="26"/>
      <c r="H164" s="26"/>
      <c r="I164" s="36"/>
      <c r="J164" s="37" t="str">
        <f aca="false">IF(OR(G164="",I164=""),"",G164*I164/1000000)</f>
        <v/>
      </c>
      <c r="K164" s="21"/>
      <c r="L164" s="21"/>
      <c r="M164" s="21"/>
      <c r="N164" s="25"/>
      <c r="O164" s="21"/>
      <c r="P164" s="21"/>
      <c r="Q164" s="21"/>
      <c r="R164" s="21"/>
      <c r="S164" s="38"/>
      <c r="T164" s="21"/>
      <c r="U164" s="21"/>
      <c r="V164" s="19"/>
      <c r="W164" s="26"/>
      <c r="X164" s="35"/>
      <c r="Y164" s="26"/>
      <c r="Z164" s="26"/>
      <c r="AA164" s="26"/>
      <c r="AB164" s="16" t="str">
        <f aca="false">IF(C164="","",IF(F164="Short",(AND(M164&lt;&gt;"",N(M164)&lt;0))+(AND(L164&lt;&gt;"",N(L164)&lt;0))+(AND(K164&lt;&gt;"",N(K164)&lt;0))+AND(L164&lt;&gt;"",M164&lt;&gt;"",N(M164)&lt;N(L164)),(N(M164)&gt;0)+(N(L164)&gt;0)+(N(K164)&gt;0)+AND(L164&lt;&gt;"",M164&lt;&gt;"",N(M164)&gt;N(L164))))</f>
        <v/>
      </c>
      <c r="AC164" s="16" t="str">
        <f aca="false">IF(C164="","",IF(F164="Short",IF(N164="",0,IF(AND(N164&gt;=30,N164&lt;=50),2,IF(OR(AND(N164&gt;=25,N164&lt;30),AND(N164&gt;50,N164&lt;=60)),1,0)))+IF(P164="",0,IF(AND(IF(B164="JSE",$L$5,$L$4)&lt;&gt;"",P164&lt;IF(B164="JSE",$L$5,$L$4)),2,IF(P164&lt;0,1,0))),IF(N164="",0,IF(AND(N164&gt;=50,N164&lt;=70),2,IF(OR(AND(N164&gt;=40,N164&lt;50),AND(N164&gt;70,N164&lt;=75)),1,0)))+IF(P164="",0,IF(AND(IF(B164="JSE",$L$5,$L$4)&lt;&gt;"",P164&gt;IF(B164="JSE",$L$5,$L$4)),2,IF(P164&gt;0,1,0)))))</f>
        <v/>
      </c>
      <c r="AD164" s="16" t="str">
        <f aca="false">IF(C164="","",IF(F164="Short",IF(R164="",0,IF(R164&lt;=0.1,2,IF(R164&lt;=0.25,1,0))),IF(Q164="",0,IF(Q164&gt;=-0.1,2,IF(Q164&gt;=-0.25,1,0)))))</f>
        <v/>
      </c>
      <c r="AE164" s="16" t="str">
        <f aca="false">IF(C164="","",IF(J164="",0,IF(J164&gt;=IF(B164="JSE",$L$7,$L$6),2,IF(J164&gt;=IF(B164="JSE",$L$7,$L$6)/4,1,0))))</f>
        <v/>
      </c>
      <c r="AF164" s="16" t="str">
        <f aca="false">IF(C164="","",IF(F164="Short",AND(T164&lt;&gt;"",N(T164)&lt;0),N(T164)&gt;0)+(N(S164)&gt;=1.5))</f>
        <v/>
      </c>
      <c r="AG164" s="16" t="str">
        <f aca="false">IF(C164="","",IF(AL164="",0,IF(AL164&gt;=3,4,IF(AL164&gt;=2,2,0))))</f>
        <v/>
      </c>
      <c r="AH164" s="16" t="str">
        <f aca="false">IF(C164="","",IF(AND(ISNUMBER(V164),ISNUMBER(A164),V164&gt;=A164,V164-A164&lt;=14),-2,0))</f>
        <v/>
      </c>
      <c r="AI164" s="16" t="str">
        <f aca="false">IF(C164="","",IF(AND(F164="Short",N(U164)&gt;=0.2),-1,0))</f>
        <v/>
      </c>
      <c r="AJ164" s="23" t="str">
        <f aca="false">IF(C164="","",SUM(AB164:AI164))</f>
        <v/>
      </c>
      <c r="AK164" s="24" t="str">
        <f aca="false">IF(C164="","",IF(AJ164&gt;=14,"A",IF(AJ164&gt;=10,"B","C")))</f>
        <v/>
      </c>
      <c r="AL164" s="39" t="str">
        <f aca="false">IFERROR(IF(OR(Y164="",Z164="",AA164=""),"",IF(F164="Short",IF(Z164&lt;=Y164,"",(Y164-AA164)/(Z164-Y164)),IF(Y164&lt;=Z164,"",(AA164-Y164)/(Y164-Z164)))),"")</f>
        <v/>
      </c>
      <c r="AM164" s="37" t="str">
        <f aca="false">IF(OR(Y164="",Z164="",N(Y164)=N(Z164)),"",IF(OR(AND(F164="Short",Z164&lt;Y164),AND(NOT(F164="Short"),Z164&gt;Y164)),"stop on wrong side",ABS(Y164-Z164)))</f>
        <v/>
      </c>
      <c r="AN164" s="40" t="str">
        <f aca="false">IFERROR(IF(OR(NOT(ISNUMBER(AM164)),$C$6=""),"",ROUNDDOWN($C$6*$C$7/AM164,2)),"")</f>
        <v/>
      </c>
      <c r="AO164" s="37" t="str">
        <f aca="false">IFERROR(IF(AN164="","",AN164*Y164),"")</f>
        <v/>
      </c>
      <c r="AP164" s="35"/>
      <c r="AQ164" s="19"/>
      <c r="AR164" s="26"/>
      <c r="AS164" s="41" t="str">
        <f aca="false">IFERROR(IF(OR(AR164="",Y164="",AQ164=""),"",IF(F164="Short",1-AR164/Y164,AR164/Y164-1)),"")</f>
        <v/>
      </c>
      <c r="AT164" s="42" t="str">
        <f aca="true">IF(AQ164="","",IF(ISNUMBER($C$4),$C$4,TODAY())-AQ164)</f>
        <v/>
      </c>
      <c r="AU164" s="14" t="str">
        <f aca="false">IF(C164="","",IF(AP164="Open position",IF(IF(F164="Short",AND(ISNUMBER(AR164),ISNUMBER(Z164),AR164&gt;=Z164),AND(ISNUMBER(AR164),ISNUMBER(Z164),AR164&lt;=Z164)),IF(F164="Short","COVER — stop hit (buy back)","SELL — stop hit"),IF(IF(F164="Short",AND(ISNUMBER(AR164),ISNUMBER(AA164),AR164&lt;=AA164),AND(ISNUMBER(AR164),ISNUMBER(AA164),AR164&gt;=AA164)),"TAKE PROFIT — target hit",IF(AND(ISNUMBER(AT164),AT164&gt;182),IF(F164="Short","COVER — 6-month time limit","SELL — 6-month time limit"),IF(AND(ISNUMBER(AT164),AT164&gt;42,ISNUMBER(AS164),AS164&lt;0.02),"REVIEW — no progress after 6 weeks",IF(IF(F164="Short",AND(L164&lt;&gt;"",N(L164)&gt;0),AND(L164&lt;&gt;"",N(L164)&lt;0)),IF(F164="Short","REVIEW — back above 50-day avg","REVIEW — below 50-day avg"),"HOLD"))))),IF(OR(AP164="Closed",AP164="Dropped"),"Closed",IF(AK164="A",IF(F164="Short","Run Technical Review — SHORT entry","Run Technical Review — LONG entry"),IF(AK164="B","Watch — wait for setup","Drop or re-check next week")))))</f>
        <v/>
      </c>
      <c r="AV164" s="35"/>
      <c r="AX164" s="43" t="str">
        <f aca="false">IF(AND(C164&lt;&gt;"",A164=$C$4,ISNUMBER(AJ164)),AJ164+ROW()/100000,"")</f>
        <v/>
      </c>
    </row>
    <row r="165" customFormat="false" ht="15" hidden="false" customHeight="false" outlineLevel="0" collapsed="false">
      <c r="A165" s="19"/>
      <c r="B165" s="35"/>
      <c r="C165" s="35"/>
      <c r="D165" s="35"/>
      <c r="E165" s="35"/>
      <c r="F165" s="35"/>
      <c r="G165" s="26"/>
      <c r="H165" s="26"/>
      <c r="I165" s="36"/>
      <c r="J165" s="37" t="str">
        <f aca="false">IF(OR(G165="",I165=""),"",G165*I165/1000000)</f>
        <v/>
      </c>
      <c r="K165" s="21"/>
      <c r="L165" s="21"/>
      <c r="M165" s="21"/>
      <c r="N165" s="25"/>
      <c r="O165" s="21"/>
      <c r="P165" s="21"/>
      <c r="Q165" s="21"/>
      <c r="R165" s="21"/>
      <c r="S165" s="38"/>
      <c r="T165" s="21"/>
      <c r="U165" s="21"/>
      <c r="V165" s="19"/>
      <c r="W165" s="26"/>
      <c r="X165" s="35"/>
      <c r="Y165" s="26"/>
      <c r="Z165" s="26"/>
      <c r="AA165" s="26"/>
      <c r="AB165" s="16" t="str">
        <f aca="false">IF(C165="","",IF(F165="Short",(AND(M165&lt;&gt;"",N(M165)&lt;0))+(AND(L165&lt;&gt;"",N(L165)&lt;0))+(AND(K165&lt;&gt;"",N(K165)&lt;0))+AND(L165&lt;&gt;"",M165&lt;&gt;"",N(M165)&lt;N(L165)),(N(M165)&gt;0)+(N(L165)&gt;0)+(N(K165)&gt;0)+AND(L165&lt;&gt;"",M165&lt;&gt;"",N(M165)&gt;N(L165))))</f>
        <v/>
      </c>
      <c r="AC165" s="16" t="str">
        <f aca="false">IF(C165="","",IF(F165="Short",IF(N165="",0,IF(AND(N165&gt;=30,N165&lt;=50),2,IF(OR(AND(N165&gt;=25,N165&lt;30),AND(N165&gt;50,N165&lt;=60)),1,0)))+IF(P165="",0,IF(AND(IF(B165="JSE",$L$5,$L$4)&lt;&gt;"",P165&lt;IF(B165="JSE",$L$5,$L$4)),2,IF(P165&lt;0,1,0))),IF(N165="",0,IF(AND(N165&gt;=50,N165&lt;=70),2,IF(OR(AND(N165&gt;=40,N165&lt;50),AND(N165&gt;70,N165&lt;=75)),1,0)))+IF(P165="",0,IF(AND(IF(B165="JSE",$L$5,$L$4)&lt;&gt;"",P165&gt;IF(B165="JSE",$L$5,$L$4)),2,IF(P165&gt;0,1,0)))))</f>
        <v/>
      </c>
      <c r="AD165" s="16" t="str">
        <f aca="false">IF(C165="","",IF(F165="Short",IF(R165="",0,IF(R165&lt;=0.1,2,IF(R165&lt;=0.25,1,0))),IF(Q165="",0,IF(Q165&gt;=-0.1,2,IF(Q165&gt;=-0.25,1,0)))))</f>
        <v/>
      </c>
      <c r="AE165" s="16" t="str">
        <f aca="false">IF(C165="","",IF(J165="",0,IF(J165&gt;=IF(B165="JSE",$L$7,$L$6),2,IF(J165&gt;=IF(B165="JSE",$L$7,$L$6)/4,1,0))))</f>
        <v/>
      </c>
      <c r="AF165" s="16" t="str">
        <f aca="false">IF(C165="","",IF(F165="Short",AND(T165&lt;&gt;"",N(T165)&lt;0),N(T165)&gt;0)+(N(S165)&gt;=1.5))</f>
        <v/>
      </c>
      <c r="AG165" s="16" t="str">
        <f aca="false">IF(C165="","",IF(AL165="",0,IF(AL165&gt;=3,4,IF(AL165&gt;=2,2,0))))</f>
        <v/>
      </c>
      <c r="AH165" s="16" t="str">
        <f aca="false">IF(C165="","",IF(AND(ISNUMBER(V165),ISNUMBER(A165),V165&gt;=A165,V165-A165&lt;=14),-2,0))</f>
        <v/>
      </c>
      <c r="AI165" s="16" t="str">
        <f aca="false">IF(C165="","",IF(AND(F165="Short",N(U165)&gt;=0.2),-1,0))</f>
        <v/>
      </c>
      <c r="AJ165" s="23" t="str">
        <f aca="false">IF(C165="","",SUM(AB165:AI165))</f>
        <v/>
      </c>
      <c r="AK165" s="24" t="str">
        <f aca="false">IF(C165="","",IF(AJ165&gt;=14,"A",IF(AJ165&gt;=10,"B","C")))</f>
        <v/>
      </c>
      <c r="AL165" s="39" t="str">
        <f aca="false">IFERROR(IF(OR(Y165="",Z165="",AA165=""),"",IF(F165="Short",IF(Z165&lt;=Y165,"",(Y165-AA165)/(Z165-Y165)),IF(Y165&lt;=Z165,"",(AA165-Y165)/(Y165-Z165)))),"")</f>
        <v/>
      </c>
      <c r="AM165" s="37" t="str">
        <f aca="false">IF(OR(Y165="",Z165="",N(Y165)=N(Z165)),"",IF(OR(AND(F165="Short",Z165&lt;Y165),AND(NOT(F165="Short"),Z165&gt;Y165)),"stop on wrong side",ABS(Y165-Z165)))</f>
        <v/>
      </c>
      <c r="AN165" s="40" t="str">
        <f aca="false">IFERROR(IF(OR(NOT(ISNUMBER(AM165)),$C$6=""),"",ROUNDDOWN($C$6*$C$7/AM165,2)),"")</f>
        <v/>
      </c>
      <c r="AO165" s="37" t="str">
        <f aca="false">IFERROR(IF(AN165="","",AN165*Y165),"")</f>
        <v/>
      </c>
      <c r="AP165" s="35"/>
      <c r="AQ165" s="19"/>
      <c r="AR165" s="26"/>
      <c r="AS165" s="41" t="str">
        <f aca="false">IFERROR(IF(OR(AR165="",Y165="",AQ165=""),"",IF(F165="Short",1-AR165/Y165,AR165/Y165-1)),"")</f>
        <v/>
      </c>
      <c r="AT165" s="42" t="str">
        <f aca="true">IF(AQ165="","",IF(ISNUMBER($C$4),$C$4,TODAY())-AQ165)</f>
        <v/>
      </c>
      <c r="AU165" s="14" t="str">
        <f aca="false">IF(C165="","",IF(AP165="Open position",IF(IF(F165="Short",AND(ISNUMBER(AR165),ISNUMBER(Z165),AR165&gt;=Z165),AND(ISNUMBER(AR165),ISNUMBER(Z165),AR165&lt;=Z165)),IF(F165="Short","COVER — stop hit (buy back)","SELL — stop hit"),IF(IF(F165="Short",AND(ISNUMBER(AR165),ISNUMBER(AA165),AR165&lt;=AA165),AND(ISNUMBER(AR165),ISNUMBER(AA165),AR165&gt;=AA165)),"TAKE PROFIT — target hit",IF(AND(ISNUMBER(AT165),AT165&gt;182),IF(F165="Short","COVER — 6-month time limit","SELL — 6-month time limit"),IF(AND(ISNUMBER(AT165),AT165&gt;42,ISNUMBER(AS165),AS165&lt;0.02),"REVIEW — no progress after 6 weeks",IF(IF(F165="Short",AND(L165&lt;&gt;"",N(L165)&gt;0),AND(L165&lt;&gt;"",N(L165)&lt;0)),IF(F165="Short","REVIEW — back above 50-day avg","REVIEW — below 50-day avg"),"HOLD"))))),IF(OR(AP165="Closed",AP165="Dropped"),"Closed",IF(AK165="A",IF(F165="Short","Run Technical Review — SHORT entry","Run Technical Review — LONG entry"),IF(AK165="B","Watch — wait for setup","Drop or re-check next week")))))</f>
        <v/>
      </c>
      <c r="AV165" s="35"/>
      <c r="AX165" s="43" t="str">
        <f aca="false">IF(AND(C165&lt;&gt;"",A165=$C$4,ISNUMBER(AJ165)),AJ165+ROW()/100000,"")</f>
        <v/>
      </c>
    </row>
    <row r="166" customFormat="false" ht="15" hidden="false" customHeight="false" outlineLevel="0" collapsed="false">
      <c r="A166" s="19"/>
      <c r="B166" s="35"/>
      <c r="C166" s="35"/>
      <c r="D166" s="35"/>
      <c r="E166" s="35"/>
      <c r="F166" s="35"/>
      <c r="G166" s="26"/>
      <c r="H166" s="26"/>
      <c r="I166" s="36"/>
      <c r="J166" s="37" t="str">
        <f aca="false">IF(OR(G166="",I166=""),"",G166*I166/1000000)</f>
        <v/>
      </c>
      <c r="K166" s="21"/>
      <c r="L166" s="21"/>
      <c r="M166" s="21"/>
      <c r="N166" s="25"/>
      <c r="O166" s="21"/>
      <c r="P166" s="21"/>
      <c r="Q166" s="21"/>
      <c r="R166" s="21"/>
      <c r="S166" s="38"/>
      <c r="T166" s="21"/>
      <c r="U166" s="21"/>
      <c r="V166" s="19"/>
      <c r="W166" s="26"/>
      <c r="X166" s="35"/>
      <c r="Y166" s="26"/>
      <c r="Z166" s="26"/>
      <c r="AA166" s="26"/>
      <c r="AB166" s="16" t="str">
        <f aca="false">IF(C166="","",IF(F166="Short",(AND(M166&lt;&gt;"",N(M166)&lt;0))+(AND(L166&lt;&gt;"",N(L166)&lt;0))+(AND(K166&lt;&gt;"",N(K166)&lt;0))+AND(L166&lt;&gt;"",M166&lt;&gt;"",N(M166)&lt;N(L166)),(N(M166)&gt;0)+(N(L166)&gt;0)+(N(K166)&gt;0)+AND(L166&lt;&gt;"",M166&lt;&gt;"",N(M166)&gt;N(L166))))</f>
        <v/>
      </c>
      <c r="AC166" s="16" t="str">
        <f aca="false">IF(C166="","",IF(F166="Short",IF(N166="",0,IF(AND(N166&gt;=30,N166&lt;=50),2,IF(OR(AND(N166&gt;=25,N166&lt;30),AND(N166&gt;50,N166&lt;=60)),1,0)))+IF(P166="",0,IF(AND(IF(B166="JSE",$L$5,$L$4)&lt;&gt;"",P166&lt;IF(B166="JSE",$L$5,$L$4)),2,IF(P166&lt;0,1,0))),IF(N166="",0,IF(AND(N166&gt;=50,N166&lt;=70),2,IF(OR(AND(N166&gt;=40,N166&lt;50),AND(N166&gt;70,N166&lt;=75)),1,0)))+IF(P166="",0,IF(AND(IF(B166="JSE",$L$5,$L$4)&lt;&gt;"",P166&gt;IF(B166="JSE",$L$5,$L$4)),2,IF(P166&gt;0,1,0)))))</f>
        <v/>
      </c>
      <c r="AD166" s="16" t="str">
        <f aca="false">IF(C166="","",IF(F166="Short",IF(R166="",0,IF(R166&lt;=0.1,2,IF(R166&lt;=0.25,1,0))),IF(Q166="",0,IF(Q166&gt;=-0.1,2,IF(Q166&gt;=-0.25,1,0)))))</f>
        <v/>
      </c>
      <c r="AE166" s="16" t="str">
        <f aca="false">IF(C166="","",IF(J166="",0,IF(J166&gt;=IF(B166="JSE",$L$7,$L$6),2,IF(J166&gt;=IF(B166="JSE",$L$7,$L$6)/4,1,0))))</f>
        <v/>
      </c>
      <c r="AF166" s="16" t="str">
        <f aca="false">IF(C166="","",IF(F166="Short",AND(T166&lt;&gt;"",N(T166)&lt;0),N(T166)&gt;0)+(N(S166)&gt;=1.5))</f>
        <v/>
      </c>
      <c r="AG166" s="16" t="str">
        <f aca="false">IF(C166="","",IF(AL166="",0,IF(AL166&gt;=3,4,IF(AL166&gt;=2,2,0))))</f>
        <v/>
      </c>
      <c r="AH166" s="16" t="str">
        <f aca="false">IF(C166="","",IF(AND(ISNUMBER(V166),ISNUMBER(A166),V166&gt;=A166,V166-A166&lt;=14),-2,0))</f>
        <v/>
      </c>
      <c r="AI166" s="16" t="str">
        <f aca="false">IF(C166="","",IF(AND(F166="Short",N(U166)&gt;=0.2),-1,0))</f>
        <v/>
      </c>
      <c r="AJ166" s="23" t="str">
        <f aca="false">IF(C166="","",SUM(AB166:AI166))</f>
        <v/>
      </c>
      <c r="AK166" s="24" t="str">
        <f aca="false">IF(C166="","",IF(AJ166&gt;=14,"A",IF(AJ166&gt;=10,"B","C")))</f>
        <v/>
      </c>
      <c r="AL166" s="39" t="str">
        <f aca="false">IFERROR(IF(OR(Y166="",Z166="",AA166=""),"",IF(F166="Short",IF(Z166&lt;=Y166,"",(Y166-AA166)/(Z166-Y166)),IF(Y166&lt;=Z166,"",(AA166-Y166)/(Y166-Z166)))),"")</f>
        <v/>
      </c>
      <c r="AM166" s="37" t="str">
        <f aca="false">IF(OR(Y166="",Z166="",N(Y166)=N(Z166)),"",IF(OR(AND(F166="Short",Z166&lt;Y166),AND(NOT(F166="Short"),Z166&gt;Y166)),"stop on wrong side",ABS(Y166-Z166)))</f>
        <v/>
      </c>
      <c r="AN166" s="40" t="str">
        <f aca="false">IFERROR(IF(OR(NOT(ISNUMBER(AM166)),$C$6=""),"",ROUNDDOWN($C$6*$C$7/AM166,2)),"")</f>
        <v/>
      </c>
      <c r="AO166" s="37" t="str">
        <f aca="false">IFERROR(IF(AN166="","",AN166*Y166),"")</f>
        <v/>
      </c>
      <c r="AP166" s="35"/>
      <c r="AQ166" s="19"/>
      <c r="AR166" s="26"/>
      <c r="AS166" s="41" t="str">
        <f aca="false">IFERROR(IF(OR(AR166="",Y166="",AQ166=""),"",IF(F166="Short",1-AR166/Y166,AR166/Y166-1)),"")</f>
        <v/>
      </c>
      <c r="AT166" s="42" t="str">
        <f aca="true">IF(AQ166="","",IF(ISNUMBER($C$4),$C$4,TODAY())-AQ166)</f>
        <v/>
      </c>
      <c r="AU166" s="14" t="str">
        <f aca="false">IF(C166="","",IF(AP166="Open position",IF(IF(F166="Short",AND(ISNUMBER(AR166),ISNUMBER(Z166),AR166&gt;=Z166),AND(ISNUMBER(AR166),ISNUMBER(Z166),AR166&lt;=Z166)),IF(F166="Short","COVER — stop hit (buy back)","SELL — stop hit"),IF(IF(F166="Short",AND(ISNUMBER(AR166),ISNUMBER(AA166),AR166&lt;=AA166),AND(ISNUMBER(AR166),ISNUMBER(AA166),AR166&gt;=AA166)),"TAKE PROFIT — target hit",IF(AND(ISNUMBER(AT166),AT166&gt;182),IF(F166="Short","COVER — 6-month time limit","SELL — 6-month time limit"),IF(AND(ISNUMBER(AT166),AT166&gt;42,ISNUMBER(AS166),AS166&lt;0.02),"REVIEW — no progress after 6 weeks",IF(IF(F166="Short",AND(L166&lt;&gt;"",N(L166)&gt;0),AND(L166&lt;&gt;"",N(L166)&lt;0)),IF(F166="Short","REVIEW — back above 50-day avg","REVIEW — below 50-day avg"),"HOLD"))))),IF(OR(AP166="Closed",AP166="Dropped"),"Closed",IF(AK166="A",IF(F166="Short","Run Technical Review — SHORT entry","Run Technical Review — LONG entry"),IF(AK166="B","Watch — wait for setup","Drop or re-check next week")))))</f>
        <v/>
      </c>
      <c r="AV166" s="35"/>
      <c r="AX166" s="43" t="str">
        <f aca="false">IF(AND(C166&lt;&gt;"",A166=$C$4,ISNUMBER(AJ166)),AJ166+ROW()/100000,"")</f>
        <v/>
      </c>
    </row>
    <row r="167" customFormat="false" ht="15" hidden="false" customHeight="false" outlineLevel="0" collapsed="false">
      <c r="A167" s="19"/>
      <c r="B167" s="35"/>
      <c r="C167" s="35"/>
      <c r="D167" s="35"/>
      <c r="E167" s="35"/>
      <c r="F167" s="35"/>
      <c r="G167" s="26"/>
      <c r="H167" s="26"/>
      <c r="I167" s="36"/>
      <c r="J167" s="37" t="str">
        <f aca="false">IF(OR(G167="",I167=""),"",G167*I167/1000000)</f>
        <v/>
      </c>
      <c r="K167" s="21"/>
      <c r="L167" s="21"/>
      <c r="M167" s="21"/>
      <c r="N167" s="25"/>
      <c r="O167" s="21"/>
      <c r="P167" s="21"/>
      <c r="Q167" s="21"/>
      <c r="R167" s="21"/>
      <c r="S167" s="38"/>
      <c r="T167" s="21"/>
      <c r="U167" s="21"/>
      <c r="V167" s="19"/>
      <c r="W167" s="26"/>
      <c r="X167" s="35"/>
      <c r="Y167" s="26"/>
      <c r="Z167" s="26"/>
      <c r="AA167" s="26"/>
      <c r="AB167" s="16" t="str">
        <f aca="false">IF(C167="","",IF(F167="Short",(AND(M167&lt;&gt;"",N(M167)&lt;0))+(AND(L167&lt;&gt;"",N(L167)&lt;0))+(AND(K167&lt;&gt;"",N(K167)&lt;0))+AND(L167&lt;&gt;"",M167&lt;&gt;"",N(M167)&lt;N(L167)),(N(M167)&gt;0)+(N(L167)&gt;0)+(N(K167)&gt;0)+AND(L167&lt;&gt;"",M167&lt;&gt;"",N(M167)&gt;N(L167))))</f>
        <v/>
      </c>
      <c r="AC167" s="16" t="str">
        <f aca="false">IF(C167="","",IF(F167="Short",IF(N167="",0,IF(AND(N167&gt;=30,N167&lt;=50),2,IF(OR(AND(N167&gt;=25,N167&lt;30),AND(N167&gt;50,N167&lt;=60)),1,0)))+IF(P167="",0,IF(AND(IF(B167="JSE",$L$5,$L$4)&lt;&gt;"",P167&lt;IF(B167="JSE",$L$5,$L$4)),2,IF(P167&lt;0,1,0))),IF(N167="",0,IF(AND(N167&gt;=50,N167&lt;=70),2,IF(OR(AND(N167&gt;=40,N167&lt;50),AND(N167&gt;70,N167&lt;=75)),1,0)))+IF(P167="",0,IF(AND(IF(B167="JSE",$L$5,$L$4)&lt;&gt;"",P167&gt;IF(B167="JSE",$L$5,$L$4)),2,IF(P167&gt;0,1,0)))))</f>
        <v/>
      </c>
      <c r="AD167" s="16" t="str">
        <f aca="false">IF(C167="","",IF(F167="Short",IF(R167="",0,IF(R167&lt;=0.1,2,IF(R167&lt;=0.25,1,0))),IF(Q167="",0,IF(Q167&gt;=-0.1,2,IF(Q167&gt;=-0.25,1,0)))))</f>
        <v/>
      </c>
      <c r="AE167" s="16" t="str">
        <f aca="false">IF(C167="","",IF(J167="",0,IF(J167&gt;=IF(B167="JSE",$L$7,$L$6),2,IF(J167&gt;=IF(B167="JSE",$L$7,$L$6)/4,1,0))))</f>
        <v/>
      </c>
      <c r="AF167" s="16" t="str">
        <f aca="false">IF(C167="","",IF(F167="Short",AND(T167&lt;&gt;"",N(T167)&lt;0),N(T167)&gt;0)+(N(S167)&gt;=1.5))</f>
        <v/>
      </c>
      <c r="AG167" s="16" t="str">
        <f aca="false">IF(C167="","",IF(AL167="",0,IF(AL167&gt;=3,4,IF(AL167&gt;=2,2,0))))</f>
        <v/>
      </c>
      <c r="AH167" s="16" t="str">
        <f aca="false">IF(C167="","",IF(AND(ISNUMBER(V167),ISNUMBER(A167),V167&gt;=A167,V167-A167&lt;=14),-2,0))</f>
        <v/>
      </c>
      <c r="AI167" s="16" t="str">
        <f aca="false">IF(C167="","",IF(AND(F167="Short",N(U167)&gt;=0.2),-1,0))</f>
        <v/>
      </c>
      <c r="AJ167" s="23" t="str">
        <f aca="false">IF(C167="","",SUM(AB167:AI167))</f>
        <v/>
      </c>
      <c r="AK167" s="24" t="str">
        <f aca="false">IF(C167="","",IF(AJ167&gt;=14,"A",IF(AJ167&gt;=10,"B","C")))</f>
        <v/>
      </c>
      <c r="AL167" s="39" t="str">
        <f aca="false">IFERROR(IF(OR(Y167="",Z167="",AA167=""),"",IF(F167="Short",IF(Z167&lt;=Y167,"",(Y167-AA167)/(Z167-Y167)),IF(Y167&lt;=Z167,"",(AA167-Y167)/(Y167-Z167)))),"")</f>
        <v/>
      </c>
      <c r="AM167" s="37" t="str">
        <f aca="false">IF(OR(Y167="",Z167="",N(Y167)=N(Z167)),"",IF(OR(AND(F167="Short",Z167&lt;Y167),AND(NOT(F167="Short"),Z167&gt;Y167)),"stop on wrong side",ABS(Y167-Z167)))</f>
        <v/>
      </c>
      <c r="AN167" s="40" t="str">
        <f aca="false">IFERROR(IF(OR(NOT(ISNUMBER(AM167)),$C$6=""),"",ROUNDDOWN($C$6*$C$7/AM167,2)),"")</f>
        <v/>
      </c>
      <c r="AO167" s="37" t="str">
        <f aca="false">IFERROR(IF(AN167="","",AN167*Y167),"")</f>
        <v/>
      </c>
      <c r="AP167" s="35"/>
      <c r="AQ167" s="19"/>
      <c r="AR167" s="26"/>
      <c r="AS167" s="41" t="str">
        <f aca="false">IFERROR(IF(OR(AR167="",Y167="",AQ167=""),"",IF(F167="Short",1-AR167/Y167,AR167/Y167-1)),"")</f>
        <v/>
      </c>
      <c r="AT167" s="42" t="str">
        <f aca="true">IF(AQ167="","",IF(ISNUMBER($C$4),$C$4,TODAY())-AQ167)</f>
        <v/>
      </c>
      <c r="AU167" s="14" t="str">
        <f aca="false">IF(C167="","",IF(AP167="Open position",IF(IF(F167="Short",AND(ISNUMBER(AR167),ISNUMBER(Z167),AR167&gt;=Z167),AND(ISNUMBER(AR167),ISNUMBER(Z167),AR167&lt;=Z167)),IF(F167="Short","COVER — stop hit (buy back)","SELL — stop hit"),IF(IF(F167="Short",AND(ISNUMBER(AR167),ISNUMBER(AA167),AR167&lt;=AA167),AND(ISNUMBER(AR167),ISNUMBER(AA167),AR167&gt;=AA167)),"TAKE PROFIT — target hit",IF(AND(ISNUMBER(AT167),AT167&gt;182),IF(F167="Short","COVER — 6-month time limit","SELL — 6-month time limit"),IF(AND(ISNUMBER(AT167),AT167&gt;42,ISNUMBER(AS167),AS167&lt;0.02),"REVIEW — no progress after 6 weeks",IF(IF(F167="Short",AND(L167&lt;&gt;"",N(L167)&gt;0),AND(L167&lt;&gt;"",N(L167)&lt;0)),IF(F167="Short","REVIEW — back above 50-day avg","REVIEW — below 50-day avg"),"HOLD"))))),IF(OR(AP167="Closed",AP167="Dropped"),"Closed",IF(AK167="A",IF(F167="Short","Run Technical Review — SHORT entry","Run Technical Review — LONG entry"),IF(AK167="B","Watch — wait for setup","Drop or re-check next week")))))</f>
        <v/>
      </c>
      <c r="AV167" s="35"/>
      <c r="AX167" s="43" t="str">
        <f aca="false">IF(AND(C167&lt;&gt;"",A167=$C$4,ISNUMBER(AJ167)),AJ167+ROW()/100000,"")</f>
        <v/>
      </c>
    </row>
    <row r="168" customFormat="false" ht="15" hidden="false" customHeight="false" outlineLevel="0" collapsed="false">
      <c r="A168" s="19"/>
      <c r="B168" s="35"/>
      <c r="C168" s="35"/>
      <c r="D168" s="35"/>
      <c r="E168" s="35"/>
      <c r="F168" s="35"/>
      <c r="G168" s="26"/>
      <c r="H168" s="26"/>
      <c r="I168" s="36"/>
      <c r="J168" s="37" t="str">
        <f aca="false">IF(OR(G168="",I168=""),"",G168*I168/1000000)</f>
        <v/>
      </c>
      <c r="K168" s="21"/>
      <c r="L168" s="21"/>
      <c r="M168" s="21"/>
      <c r="N168" s="25"/>
      <c r="O168" s="21"/>
      <c r="P168" s="21"/>
      <c r="Q168" s="21"/>
      <c r="R168" s="21"/>
      <c r="S168" s="38"/>
      <c r="T168" s="21"/>
      <c r="U168" s="21"/>
      <c r="V168" s="19"/>
      <c r="W168" s="26"/>
      <c r="X168" s="35"/>
      <c r="Y168" s="26"/>
      <c r="Z168" s="26"/>
      <c r="AA168" s="26"/>
      <c r="AB168" s="16" t="str">
        <f aca="false">IF(C168="","",IF(F168="Short",(AND(M168&lt;&gt;"",N(M168)&lt;0))+(AND(L168&lt;&gt;"",N(L168)&lt;0))+(AND(K168&lt;&gt;"",N(K168)&lt;0))+AND(L168&lt;&gt;"",M168&lt;&gt;"",N(M168)&lt;N(L168)),(N(M168)&gt;0)+(N(L168)&gt;0)+(N(K168)&gt;0)+AND(L168&lt;&gt;"",M168&lt;&gt;"",N(M168)&gt;N(L168))))</f>
        <v/>
      </c>
      <c r="AC168" s="16" t="str">
        <f aca="false">IF(C168="","",IF(F168="Short",IF(N168="",0,IF(AND(N168&gt;=30,N168&lt;=50),2,IF(OR(AND(N168&gt;=25,N168&lt;30),AND(N168&gt;50,N168&lt;=60)),1,0)))+IF(P168="",0,IF(AND(IF(B168="JSE",$L$5,$L$4)&lt;&gt;"",P168&lt;IF(B168="JSE",$L$5,$L$4)),2,IF(P168&lt;0,1,0))),IF(N168="",0,IF(AND(N168&gt;=50,N168&lt;=70),2,IF(OR(AND(N168&gt;=40,N168&lt;50),AND(N168&gt;70,N168&lt;=75)),1,0)))+IF(P168="",0,IF(AND(IF(B168="JSE",$L$5,$L$4)&lt;&gt;"",P168&gt;IF(B168="JSE",$L$5,$L$4)),2,IF(P168&gt;0,1,0)))))</f>
        <v/>
      </c>
      <c r="AD168" s="16" t="str">
        <f aca="false">IF(C168="","",IF(F168="Short",IF(R168="",0,IF(R168&lt;=0.1,2,IF(R168&lt;=0.25,1,0))),IF(Q168="",0,IF(Q168&gt;=-0.1,2,IF(Q168&gt;=-0.25,1,0)))))</f>
        <v/>
      </c>
      <c r="AE168" s="16" t="str">
        <f aca="false">IF(C168="","",IF(J168="",0,IF(J168&gt;=IF(B168="JSE",$L$7,$L$6),2,IF(J168&gt;=IF(B168="JSE",$L$7,$L$6)/4,1,0))))</f>
        <v/>
      </c>
      <c r="AF168" s="16" t="str">
        <f aca="false">IF(C168="","",IF(F168="Short",AND(T168&lt;&gt;"",N(T168)&lt;0),N(T168)&gt;0)+(N(S168)&gt;=1.5))</f>
        <v/>
      </c>
      <c r="AG168" s="16" t="str">
        <f aca="false">IF(C168="","",IF(AL168="",0,IF(AL168&gt;=3,4,IF(AL168&gt;=2,2,0))))</f>
        <v/>
      </c>
      <c r="AH168" s="16" t="str">
        <f aca="false">IF(C168="","",IF(AND(ISNUMBER(V168),ISNUMBER(A168),V168&gt;=A168,V168-A168&lt;=14),-2,0))</f>
        <v/>
      </c>
      <c r="AI168" s="16" t="str">
        <f aca="false">IF(C168="","",IF(AND(F168="Short",N(U168)&gt;=0.2),-1,0))</f>
        <v/>
      </c>
      <c r="AJ168" s="23" t="str">
        <f aca="false">IF(C168="","",SUM(AB168:AI168))</f>
        <v/>
      </c>
      <c r="AK168" s="24" t="str">
        <f aca="false">IF(C168="","",IF(AJ168&gt;=14,"A",IF(AJ168&gt;=10,"B","C")))</f>
        <v/>
      </c>
      <c r="AL168" s="39" t="str">
        <f aca="false">IFERROR(IF(OR(Y168="",Z168="",AA168=""),"",IF(F168="Short",IF(Z168&lt;=Y168,"",(Y168-AA168)/(Z168-Y168)),IF(Y168&lt;=Z168,"",(AA168-Y168)/(Y168-Z168)))),"")</f>
        <v/>
      </c>
      <c r="AM168" s="37" t="str">
        <f aca="false">IF(OR(Y168="",Z168="",N(Y168)=N(Z168)),"",IF(OR(AND(F168="Short",Z168&lt;Y168),AND(NOT(F168="Short"),Z168&gt;Y168)),"stop on wrong side",ABS(Y168-Z168)))</f>
        <v/>
      </c>
      <c r="AN168" s="40" t="str">
        <f aca="false">IFERROR(IF(OR(NOT(ISNUMBER(AM168)),$C$6=""),"",ROUNDDOWN($C$6*$C$7/AM168,2)),"")</f>
        <v/>
      </c>
      <c r="AO168" s="37" t="str">
        <f aca="false">IFERROR(IF(AN168="","",AN168*Y168),"")</f>
        <v/>
      </c>
      <c r="AP168" s="35"/>
      <c r="AQ168" s="19"/>
      <c r="AR168" s="26"/>
      <c r="AS168" s="41" t="str">
        <f aca="false">IFERROR(IF(OR(AR168="",Y168="",AQ168=""),"",IF(F168="Short",1-AR168/Y168,AR168/Y168-1)),"")</f>
        <v/>
      </c>
      <c r="AT168" s="42" t="str">
        <f aca="true">IF(AQ168="","",IF(ISNUMBER($C$4),$C$4,TODAY())-AQ168)</f>
        <v/>
      </c>
      <c r="AU168" s="14" t="str">
        <f aca="false">IF(C168="","",IF(AP168="Open position",IF(IF(F168="Short",AND(ISNUMBER(AR168),ISNUMBER(Z168),AR168&gt;=Z168),AND(ISNUMBER(AR168),ISNUMBER(Z168),AR168&lt;=Z168)),IF(F168="Short","COVER — stop hit (buy back)","SELL — stop hit"),IF(IF(F168="Short",AND(ISNUMBER(AR168),ISNUMBER(AA168),AR168&lt;=AA168),AND(ISNUMBER(AR168),ISNUMBER(AA168),AR168&gt;=AA168)),"TAKE PROFIT — target hit",IF(AND(ISNUMBER(AT168),AT168&gt;182),IF(F168="Short","COVER — 6-month time limit","SELL — 6-month time limit"),IF(AND(ISNUMBER(AT168),AT168&gt;42,ISNUMBER(AS168),AS168&lt;0.02),"REVIEW — no progress after 6 weeks",IF(IF(F168="Short",AND(L168&lt;&gt;"",N(L168)&gt;0),AND(L168&lt;&gt;"",N(L168)&lt;0)),IF(F168="Short","REVIEW — back above 50-day avg","REVIEW — below 50-day avg"),"HOLD"))))),IF(OR(AP168="Closed",AP168="Dropped"),"Closed",IF(AK168="A",IF(F168="Short","Run Technical Review — SHORT entry","Run Technical Review — LONG entry"),IF(AK168="B","Watch — wait for setup","Drop or re-check next week")))))</f>
        <v/>
      </c>
      <c r="AV168" s="35"/>
      <c r="AX168" s="43" t="str">
        <f aca="false">IF(AND(C168&lt;&gt;"",A168=$C$4,ISNUMBER(AJ168)),AJ168+ROW()/100000,"")</f>
        <v/>
      </c>
    </row>
    <row r="169" customFormat="false" ht="15" hidden="false" customHeight="false" outlineLevel="0" collapsed="false">
      <c r="A169" s="19"/>
      <c r="B169" s="35"/>
      <c r="C169" s="35"/>
      <c r="D169" s="35"/>
      <c r="E169" s="35"/>
      <c r="F169" s="35"/>
      <c r="G169" s="26"/>
      <c r="H169" s="26"/>
      <c r="I169" s="36"/>
      <c r="J169" s="37" t="str">
        <f aca="false">IF(OR(G169="",I169=""),"",G169*I169/1000000)</f>
        <v/>
      </c>
      <c r="K169" s="21"/>
      <c r="L169" s="21"/>
      <c r="M169" s="21"/>
      <c r="N169" s="25"/>
      <c r="O169" s="21"/>
      <c r="P169" s="21"/>
      <c r="Q169" s="21"/>
      <c r="R169" s="21"/>
      <c r="S169" s="38"/>
      <c r="T169" s="21"/>
      <c r="U169" s="21"/>
      <c r="V169" s="19"/>
      <c r="W169" s="26"/>
      <c r="X169" s="35"/>
      <c r="Y169" s="26"/>
      <c r="Z169" s="26"/>
      <c r="AA169" s="26"/>
      <c r="AB169" s="16" t="str">
        <f aca="false">IF(C169="","",IF(F169="Short",(AND(M169&lt;&gt;"",N(M169)&lt;0))+(AND(L169&lt;&gt;"",N(L169)&lt;0))+(AND(K169&lt;&gt;"",N(K169)&lt;0))+AND(L169&lt;&gt;"",M169&lt;&gt;"",N(M169)&lt;N(L169)),(N(M169)&gt;0)+(N(L169)&gt;0)+(N(K169)&gt;0)+AND(L169&lt;&gt;"",M169&lt;&gt;"",N(M169)&gt;N(L169))))</f>
        <v/>
      </c>
      <c r="AC169" s="16" t="str">
        <f aca="false">IF(C169="","",IF(F169="Short",IF(N169="",0,IF(AND(N169&gt;=30,N169&lt;=50),2,IF(OR(AND(N169&gt;=25,N169&lt;30),AND(N169&gt;50,N169&lt;=60)),1,0)))+IF(P169="",0,IF(AND(IF(B169="JSE",$L$5,$L$4)&lt;&gt;"",P169&lt;IF(B169="JSE",$L$5,$L$4)),2,IF(P169&lt;0,1,0))),IF(N169="",0,IF(AND(N169&gt;=50,N169&lt;=70),2,IF(OR(AND(N169&gt;=40,N169&lt;50),AND(N169&gt;70,N169&lt;=75)),1,0)))+IF(P169="",0,IF(AND(IF(B169="JSE",$L$5,$L$4)&lt;&gt;"",P169&gt;IF(B169="JSE",$L$5,$L$4)),2,IF(P169&gt;0,1,0)))))</f>
        <v/>
      </c>
      <c r="AD169" s="16" t="str">
        <f aca="false">IF(C169="","",IF(F169="Short",IF(R169="",0,IF(R169&lt;=0.1,2,IF(R169&lt;=0.25,1,0))),IF(Q169="",0,IF(Q169&gt;=-0.1,2,IF(Q169&gt;=-0.25,1,0)))))</f>
        <v/>
      </c>
      <c r="AE169" s="16" t="str">
        <f aca="false">IF(C169="","",IF(J169="",0,IF(J169&gt;=IF(B169="JSE",$L$7,$L$6),2,IF(J169&gt;=IF(B169="JSE",$L$7,$L$6)/4,1,0))))</f>
        <v/>
      </c>
      <c r="AF169" s="16" t="str">
        <f aca="false">IF(C169="","",IF(F169="Short",AND(T169&lt;&gt;"",N(T169)&lt;0),N(T169)&gt;0)+(N(S169)&gt;=1.5))</f>
        <v/>
      </c>
      <c r="AG169" s="16" t="str">
        <f aca="false">IF(C169="","",IF(AL169="",0,IF(AL169&gt;=3,4,IF(AL169&gt;=2,2,0))))</f>
        <v/>
      </c>
      <c r="AH169" s="16" t="str">
        <f aca="false">IF(C169="","",IF(AND(ISNUMBER(V169),ISNUMBER(A169),V169&gt;=A169,V169-A169&lt;=14),-2,0))</f>
        <v/>
      </c>
      <c r="AI169" s="16" t="str">
        <f aca="false">IF(C169="","",IF(AND(F169="Short",N(U169)&gt;=0.2),-1,0))</f>
        <v/>
      </c>
      <c r="AJ169" s="23" t="str">
        <f aca="false">IF(C169="","",SUM(AB169:AI169))</f>
        <v/>
      </c>
      <c r="AK169" s="24" t="str">
        <f aca="false">IF(C169="","",IF(AJ169&gt;=14,"A",IF(AJ169&gt;=10,"B","C")))</f>
        <v/>
      </c>
      <c r="AL169" s="39" t="str">
        <f aca="false">IFERROR(IF(OR(Y169="",Z169="",AA169=""),"",IF(F169="Short",IF(Z169&lt;=Y169,"",(Y169-AA169)/(Z169-Y169)),IF(Y169&lt;=Z169,"",(AA169-Y169)/(Y169-Z169)))),"")</f>
        <v/>
      </c>
      <c r="AM169" s="37" t="str">
        <f aca="false">IF(OR(Y169="",Z169="",N(Y169)=N(Z169)),"",IF(OR(AND(F169="Short",Z169&lt;Y169),AND(NOT(F169="Short"),Z169&gt;Y169)),"stop on wrong side",ABS(Y169-Z169)))</f>
        <v/>
      </c>
      <c r="AN169" s="40" t="str">
        <f aca="false">IFERROR(IF(OR(NOT(ISNUMBER(AM169)),$C$6=""),"",ROUNDDOWN($C$6*$C$7/AM169,2)),"")</f>
        <v/>
      </c>
      <c r="AO169" s="37" t="str">
        <f aca="false">IFERROR(IF(AN169="","",AN169*Y169),"")</f>
        <v/>
      </c>
      <c r="AP169" s="35"/>
      <c r="AQ169" s="19"/>
      <c r="AR169" s="26"/>
      <c r="AS169" s="41" t="str">
        <f aca="false">IFERROR(IF(OR(AR169="",Y169="",AQ169=""),"",IF(F169="Short",1-AR169/Y169,AR169/Y169-1)),"")</f>
        <v/>
      </c>
      <c r="AT169" s="42" t="str">
        <f aca="true">IF(AQ169="","",IF(ISNUMBER($C$4),$C$4,TODAY())-AQ169)</f>
        <v/>
      </c>
      <c r="AU169" s="14" t="str">
        <f aca="false">IF(C169="","",IF(AP169="Open position",IF(IF(F169="Short",AND(ISNUMBER(AR169),ISNUMBER(Z169),AR169&gt;=Z169),AND(ISNUMBER(AR169),ISNUMBER(Z169),AR169&lt;=Z169)),IF(F169="Short","COVER — stop hit (buy back)","SELL — stop hit"),IF(IF(F169="Short",AND(ISNUMBER(AR169),ISNUMBER(AA169),AR169&lt;=AA169),AND(ISNUMBER(AR169),ISNUMBER(AA169),AR169&gt;=AA169)),"TAKE PROFIT — target hit",IF(AND(ISNUMBER(AT169),AT169&gt;182),IF(F169="Short","COVER — 6-month time limit","SELL — 6-month time limit"),IF(AND(ISNUMBER(AT169),AT169&gt;42,ISNUMBER(AS169),AS169&lt;0.02),"REVIEW — no progress after 6 weeks",IF(IF(F169="Short",AND(L169&lt;&gt;"",N(L169)&gt;0),AND(L169&lt;&gt;"",N(L169)&lt;0)),IF(F169="Short","REVIEW — back above 50-day avg","REVIEW — below 50-day avg"),"HOLD"))))),IF(OR(AP169="Closed",AP169="Dropped"),"Closed",IF(AK169="A",IF(F169="Short","Run Technical Review — SHORT entry","Run Technical Review — LONG entry"),IF(AK169="B","Watch — wait for setup","Drop or re-check next week")))))</f>
        <v/>
      </c>
      <c r="AV169" s="35"/>
      <c r="AX169" s="43" t="str">
        <f aca="false">IF(AND(C169&lt;&gt;"",A169=$C$4,ISNUMBER(AJ169)),AJ169+ROW()/100000,"")</f>
        <v/>
      </c>
    </row>
    <row r="170" customFormat="false" ht="15" hidden="false" customHeight="false" outlineLevel="0" collapsed="false">
      <c r="A170" s="19"/>
      <c r="B170" s="35"/>
      <c r="C170" s="35"/>
      <c r="D170" s="35"/>
      <c r="E170" s="35"/>
      <c r="F170" s="35"/>
      <c r="G170" s="26"/>
      <c r="H170" s="26"/>
      <c r="I170" s="36"/>
      <c r="J170" s="37" t="str">
        <f aca="false">IF(OR(G170="",I170=""),"",G170*I170/1000000)</f>
        <v/>
      </c>
      <c r="K170" s="21"/>
      <c r="L170" s="21"/>
      <c r="M170" s="21"/>
      <c r="N170" s="25"/>
      <c r="O170" s="21"/>
      <c r="P170" s="21"/>
      <c r="Q170" s="21"/>
      <c r="R170" s="21"/>
      <c r="S170" s="38"/>
      <c r="T170" s="21"/>
      <c r="U170" s="21"/>
      <c r="V170" s="19"/>
      <c r="W170" s="26"/>
      <c r="X170" s="35"/>
      <c r="Y170" s="26"/>
      <c r="Z170" s="26"/>
      <c r="AA170" s="26"/>
      <c r="AB170" s="16" t="str">
        <f aca="false">IF(C170="","",IF(F170="Short",(AND(M170&lt;&gt;"",N(M170)&lt;0))+(AND(L170&lt;&gt;"",N(L170)&lt;0))+(AND(K170&lt;&gt;"",N(K170)&lt;0))+AND(L170&lt;&gt;"",M170&lt;&gt;"",N(M170)&lt;N(L170)),(N(M170)&gt;0)+(N(L170)&gt;0)+(N(K170)&gt;0)+AND(L170&lt;&gt;"",M170&lt;&gt;"",N(M170)&gt;N(L170))))</f>
        <v/>
      </c>
      <c r="AC170" s="16" t="str">
        <f aca="false">IF(C170="","",IF(F170="Short",IF(N170="",0,IF(AND(N170&gt;=30,N170&lt;=50),2,IF(OR(AND(N170&gt;=25,N170&lt;30),AND(N170&gt;50,N170&lt;=60)),1,0)))+IF(P170="",0,IF(AND(IF(B170="JSE",$L$5,$L$4)&lt;&gt;"",P170&lt;IF(B170="JSE",$L$5,$L$4)),2,IF(P170&lt;0,1,0))),IF(N170="",0,IF(AND(N170&gt;=50,N170&lt;=70),2,IF(OR(AND(N170&gt;=40,N170&lt;50),AND(N170&gt;70,N170&lt;=75)),1,0)))+IF(P170="",0,IF(AND(IF(B170="JSE",$L$5,$L$4)&lt;&gt;"",P170&gt;IF(B170="JSE",$L$5,$L$4)),2,IF(P170&gt;0,1,0)))))</f>
        <v/>
      </c>
      <c r="AD170" s="16" t="str">
        <f aca="false">IF(C170="","",IF(F170="Short",IF(R170="",0,IF(R170&lt;=0.1,2,IF(R170&lt;=0.25,1,0))),IF(Q170="",0,IF(Q170&gt;=-0.1,2,IF(Q170&gt;=-0.25,1,0)))))</f>
        <v/>
      </c>
      <c r="AE170" s="16" t="str">
        <f aca="false">IF(C170="","",IF(J170="",0,IF(J170&gt;=IF(B170="JSE",$L$7,$L$6),2,IF(J170&gt;=IF(B170="JSE",$L$7,$L$6)/4,1,0))))</f>
        <v/>
      </c>
      <c r="AF170" s="16" t="str">
        <f aca="false">IF(C170="","",IF(F170="Short",AND(T170&lt;&gt;"",N(T170)&lt;0),N(T170)&gt;0)+(N(S170)&gt;=1.5))</f>
        <v/>
      </c>
      <c r="AG170" s="16" t="str">
        <f aca="false">IF(C170="","",IF(AL170="",0,IF(AL170&gt;=3,4,IF(AL170&gt;=2,2,0))))</f>
        <v/>
      </c>
      <c r="AH170" s="16" t="str">
        <f aca="false">IF(C170="","",IF(AND(ISNUMBER(V170),ISNUMBER(A170),V170&gt;=A170,V170-A170&lt;=14),-2,0))</f>
        <v/>
      </c>
      <c r="AI170" s="16" t="str">
        <f aca="false">IF(C170="","",IF(AND(F170="Short",N(U170)&gt;=0.2),-1,0))</f>
        <v/>
      </c>
      <c r="AJ170" s="23" t="str">
        <f aca="false">IF(C170="","",SUM(AB170:AI170))</f>
        <v/>
      </c>
      <c r="AK170" s="24" t="str">
        <f aca="false">IF(C170="","",IF(AJ170&gt;=14,"A",IF(AJ170&gt;=10,"B","C")))</f>
        <v/>
      </c>
      <c r="AL170" s="39" t="str">
        <f aca="false">IFERROR(IF(OR(Y170="",Z170="",AA170=""),"",IF(F170="Short",IF(Z170&lt;=Y170,"",(Y170-AA170)/(Z170-Y170)),IF(Y170&lt;=Z170,"",(AA170-Y170)/(Y170-Z170)))),"")</f>
        <v/>
      </c>
      <c r="AM170" s="37" t="str">
        <f aca="false">IF(OR(Y170="",Z170="",N(Y170)=N(Z170)),"",IF(OR(AND(F170="Short",Z170&lt;Y170),AND(NOT(F170="Short"),Z170&gt;Y170)),"stop on wrong side",ABS(Y170-Z170)))</f>
        <v/>
      </c>
      <c r="AN170" s="40" t="str">
        <f aca="false">IFERROR(IF(OR(NOT(ISNUMBER(AM170)),$C$6=""),"",ROUNDDOWN($C$6*$C$7/AM170,2)),"")</f>
        <v/>
      </c>
      <c r="AO170" s="37" t="str">
        <f aca="false">IFERROR(IF(AN170="","",AN170*Y170),"")</f>
        <v/>
      </c>
      <c r="AP170" s="35"/>
      <c r="AQ170" s="19"/>
      <c r="AR170" s="26"/>
      <c r="AS170" s="41" t="str">
        <f aca="false">IFERROR(IF(OR(AR170="",Y170="",AQ170=""),"",IF(F170="Short",1-AR170/Y170,AR170/Y170-1)),"")</f>
        <v/>
      </c>
      <c r="AT170" s="42" t="str">
        <f aca="true">IF(AQ170="","",IF(ISNUMBER($C$4),$C$4,TODAY())-AQ170)</f>
        <v/>
      </c>
      <c r="AU170" s="14" t="str">
        <f aca="false">IF(C170="","",IF(AP170="Open position",IF(IF(F170="Short",AND(ISNUMBER(AR170),ISNUMBER(Z170),AR170&gt;=Z170),AND(ISNUMBER(AR170),ISNUMBER(Z170),AR170&lt;=Z170)),IF(F170="Short","COVER — stop hit (buy back)","SELL — stop hit"),IF(IF(F170="Short",AND(ISNUMBER(AR170),ISNUMBER(AA170),AR170&lt;=AA170),AND(ISNUMBER(AR170),ISNUMBER(AA170),AR170&gt;=AA170)),"TAKE PROFIT — target hit",IF(AND(ISNUMBER(AT170),AT170&gt;182),IF(F170="Short","COVER — 6-month time limit","SELL — 6-month time limit"),IF(AND(ISNUMBER(AT170),AT170&gt;42,ISNUMBER(AS170),AS170&lt;0.02),"REVIEW — no progress after 6 weeks",IF(IF(F170="Short",AND(L170&lt;&gt;"",N(L170)&gt;0),AND(L170&lt;&gt;"",N(L170)&lt;0)),IF(F170="Short","REVIEW — back above 50-day avg","REVIEW — below 50-day avg"),"HOLD"))))),IF(OR(AP170="Closed",AP170="Dropped"),"Closed",IF(AK170="A",IF(F170="Short","Run Technical Review — SHORT entry","Run Technical Review — LONG entry"),IF(AK170="B","Watch — wait for setup","Drop or re-check next week")))))</f>
        <v/>
      </c>
      <c r="AV170" s="35"/>
      <c r="AX170" s="43" t="str">
        <f aca="false">IF(AND(C170&lt;&gt;"",A170=$C$4,ISNUMBER(AJ170)),AJ170+ROW()/100000,"")</f>
        <v/>
      </c>
    </row>
    <row r="171" customFormat="false" ht="15" hidden="false" customHeight="false" outlineLevel="0" collapsed="false">
      <c r="A171" s="19"/>
      <c r="B171" s="35"/>
      <c r="C171" s="35"/>
      <c r="D171" s="35"/>
      <c r="E171" s="35"/>
      <c r="F171" s="35"/>
      <c r="G171" s="26"/>
      <c r="H171" s="26"/>
      <c r="I171" s="36"/>
      <c r="J171" s="37" t="str">
        <f aca="false">IF(OR(G171="",I171=""),"",G171*I171/1000000)</f>
        <v/>
      </c>
      <c r="K171" s="21"/>
      <c r="L171" s="21"/>
      <c r="M171" s="21"/>
      <c r="N171" s="25"/>
      <c r="O171" s="21"/>
      <c r="P171" s="21"/>
      <c r="Q171" s="21"/>
      <c r="R171" s="21"/>
      <c r="S171" s="38"/>
      <c r="T171" s="21"/>
      <c r="U171" s="21"/>
      <c r="V171" s="19"/>
      <c r="W171" s="26"/>
      <c r="X171" s="35"/>
      <c r="Y171" s="26"/>
      <c r="Z171" s="26"/>
      <c r="AA171" s="26"/>
      <c r="AB171" s="16" t="str">
        <f aca="false">IF(C171="","",IF(F171="Short",(AND(M171&lt;&gt;"",N(M171)&lt;0))+(AND(L171&lt;&gt;"",N(L171)&lt;0))+(AND(K171&lt;&gt;"",N(K171)&lt;0))+AND(L171&lt;&gt;"",M171&lt;&gt;"",N(M171)&lt;N(L171)),(N(M171)&gt;0)+(N(L171)&gt;0)+(N(K171)&gt;0)+AND(L171&lt;&gt;"",M171&lt;&gt;"",N(M171)&gt;N(L171))))</f>
        <v/>
      </c>
      <c r="AC171" s="16" t="str">
        <f aca="false">IF(C171="","",IF(F171="Short",IF(N171="",0,IF(AND(N171&gt;=30,N171&lt;=50),2,IF(OR(AND(N171&gt;=25,N171&lt;30),AND(N171&gt;50,N171&lt;=60)),1,0)))+IF(P171="",0,IF(AND(IF(B171="JSE",$L$5,$L$4)&lt;&gt;"",P171&lt;IF(B171="JSE",$L$5,$L$4)),2,IF(P171&lt;0,1,0))),IF(N171="",0,IF(AND(N171&gt;=50,N171&lt;=70),2,IF(OR(AND(N171&gt;=40,N171&lt;50),AND(N171&gt;70,N171&lt;=75)),1,0)))+IF(P171="",0,IF(AND(IF(B171="JSE",$L$5,$L$4)&lt;&gt;"",P171&gt;IF(B171="JSE",$L$5,$L$4)),2,IF(P171&gt;0,1,0)))))</f>
        <v/>
      </c>
      <c r="AD171" s="16" t="str">
        <f aca="false">IF(C171="","",IF(F171="Short",IF(R171="",0,IF(R171&lt;=0.1,2,IF(R171&lt;=0.25,1,0))),IF(Q171="",0,IF(Q171&gt;=-0.1,2,IF(Q171&gt;=-0.25,1,0)))))</f>
        <v/>
      </c>
      <c r="AE171" s="16" t="str">
        <f aca="false">IF(C171="","",IF(J171="",0,IF(J171&gt;=IF(B171="JSE",$L$7,$L$6),2,IF(J171&gt;=IF(B171="JSE",$L$7,$L$6)/4,1,0))))</f>
        <v/>
      </c>
      <c r="AF171" s="16" t="str">
        <f aca="false">IF(C171="","",IF(F171="Short",AND(T171&lt;&gt;"",N(T171)&lt;0),N(T171)&gt;0)+(N(S171)&gt;=1.5))</f>
        <v/>
      </c>
      <c r="AG171" s="16" t="str">
        <f aca="false">IF(C171="","",IF(AL171="",0,IF(AL171&gt;=3,4,IF(AL171&gt;=2,2,0))))</f>
        <v/>
      </c>
      <c r="AH171" s="16" t="str">
        <f aca="false">IF(C171="","",IF(AND(ISNUMBER(V171),ISNUMBER(A171),V171&gt;=A171,V171-A171&lt;=14),-2,0))</f>
        <v/>
      </c>
      <c r="AI171" s="16" t="str">
        <f aca="false">IF(C171="","",IF(AND(F171="Short",N(U171)&gt;=0.2),-1,0))</f>
        <v/>
      </c>
      <c r="AJ171" s="23" t="str">
        <f aca="false">IF(C171="","",SUM(AB171:AI171))</f>
        <v/>
      </c>
      <c r="AK171" s="24" t="str">
        <f aca="false">IF(C171="","",IF(AJ171&gt;=14,"A",IF(AJ171&gt;=10,"B","C")))</f>
        <v/>
      </c>
      <c r="AL171" s="39" t="str">
        <f aca="false">IFERROR(IF(OR(Y171="",Z171="",AA171=""),"",IF(F171="Short",IF(Z171&lt;=Y171,"",(Y171-AA171)/(Z171-Y171)),IF(Y171&lt;=Z171,"",(AA171-Y171)/(Y171-Z171)))),"")</f>
        <v/>
      </c>
      <c r="AM171" s="37" t="str">
        <f aca="false">IF(OR(Y171="",Z171="",N(Y171)=N(Z171)),"",IF(OR(AND(F171="Short",Z171&lt;Y171),AND(NOT(F171="Short"),Z171&gt;Y171)),"stop on wrong side",ABS(Y171-Z171)))</f>
        <v/>
      </c>
      <c r="AN171" s="40" t="str">
        <f aca="false">IFERROR(IF(OR(NOT(ISNUMBER(AM171)),$C$6=""),"",ROUNDDOWN($C$6*$C$7/AM171,2)),"")</f>
        <v/>
      </c>
      <c r="AO171" s="37" t="str">
        <f aca="false">IFERROR(IF(AN171="","",AN171*Y171),"")</f>
        <v/>
      </c>
      <c r="AP171" s="35"/>
      <c r="AQ171" s="19"/>
      <c r="AR171" s="26"/>
      <c r="AS171" s="41" t="str">
        <f aca="false">IFERROR(IF(OR(AR171="",Y171="",AQ171=""),"",IF(F171="Short",1-AR171/Y171,AR171/Y171-1)),"")</f>
        <v/>
      </c>
      <c r="AT171" s="42" t="str">
        <f aca="true">IF(AQ171="","",IF(ISNUMBER($C$4),$C$4,TODAY())-AQ171)</f>
        <v/>
      </c>
      <c r="AU171" s="14" t="str">
        <f aca="false">IF(C171="","",IF(AP171="Open position",IF(IF(F171="Short",AND(ISNUMBER(AR171),ISNUMBER(Z171),AR171&gt;=Z171),AND(ISNUMBER(AR171),ISNUMBER(Z171),AR171&lt;=Z171)),IF(F171="Short","COVER — stop hit (buy back)","SELL — stop hit"),IF(IF(F171="Short",AND(ISNUMBER(AR171),ISNUMBER(AA171),AR171&lt;=AA171),AND(ISNUMBER(AR171),ISNUMBER(AA171),AR171&gt;=AA171)),"TAKE PROFIT — target hit",IF(AND(ISNUMBER(AT171),AT171&gt;182),IF(F171="Short","COVER — 6-month time limit","SELL — 6-month time limit"),IF(AND(ISNUMBER(AT171),AT171&gt;42,ISNUMBER(AS171),AS171&lt;0.02),"REVIEW — no progress after 6 weeks",IF(IF(F171="Short",AND(L171&lt;&gt;"",N(L171)&gt;0),AND(L171&lt;&gt;"",N(L171)&lt;0)),IF(F171="Short","REVIEW — back above 50-day avg","REVIEW — below 50-day avg"),"HOLD"))))),IF(OR(AP171="Closed",AP171="Dropped"),"Closed",IF(AK171="A",IF(F171="Short","Run Technical Review — SHORT entry","Run Technical Review — LONG entry"),IF(AK171="B","Watch — wait for setup","Drop or re-check next week")))))</f>
        <v/>
      </c>
      <c r="AV171" s="35"/>
      <c r="AX171" s="43" t="str">
        <f aca="false">IF(AND(C171&lt;&gt;"",A171=$C$4,ISNUMBER(AJ171)),AJ171+ROW()/100000,"")</f>
        <v/>
      </c>
    </row>
    <row r="172" customFormat="false" ht="15" hidden="false" customHeight="false" outlineLevel="0" collapsed="false">
      <c r="A172" s="19"/>
      <c r="B172" s="35"/>
      <c r="C172" s="35"/>
      <c r="D172" s="35"/>
      <c r="E172" s="35"/>
      <c r="F172" s="35"/>
      <c r="G172" s="26"/>
      <c r="H172" s="26"/>
      <c r="I172" s="36"/>
      <c r="J172" s="37" t="str">
        <f aca="false">IF(OR(G172="",I172=""),"",G172*I172/1000000)</f>
        <v/>
      </c>
      <c r="K172" s="21"/>
      <c r="L172" s="21"/>
      <c r="M172" s="21"/>
      <c r="N172" s="25"/>
      <c r="O172" s="21"/>
      <c r="P172" s="21"/>
      <c r="Q172" s="21"/>
      <c r="R172" s="21"/>
      <c r="S172" s="38"/>
      <c r="T172" s="21"/>
      <c r="U172" s="21"/>
      <c r="V172" s="19"/>
      <c r="W172" s="26"/>
      <c r="X172" s="35"/>
      <c r="Y172" s="26"/>
      <c r="Z172" s="26"/>
      <c r="AA172" s="26"/>
      <c r="AB172" s="16" t="str">
        <f aca="false">IF(C172="","",IF(F172="Short",(AND(M172&lt;&gt;"",N(M172)&lt;0))+(AND(L172&lt;&gt;"",N(L172)&lt;0))+(AND(K172&lt;&gt;"",N(K172)&lt;0))+AND(L172&lt;&gt;"",M172&lt;&gt;"",N(M172)&lt;N(L172)),(N(M172)&gt;0)+(N(L172)&gt;0)+(N(K172)&gt;0)+AND(L172&lt;&gt;"",M172&lt;&gt;"",N(M172)&gt;N(L172))))</f>
        <v/>
      </c>
      <c r="AC172" s="16" t="str">
        <f aca="false">IF(C172="","",IF(F172="Short",IF(N172="",0,IF(AND(N172&gt;=30,N172&lt;=50),2,IF(OR(AND(N172&gt;=25,N172&lt;30),AND(N172&gt;50,N172&lt;=60)),1,0)))+IF(P172="",0,IF(AND(IF(B172="JSE",$L$5,$L$4)&lt;&gt;"",P172&lt;IF(B172="JSE",$L$5,$L$4)),2,IF(P172&lt;0,1,0))),IF(N172="",0,IF(AND(N172&gt;=50,N172&lt;=70),2,IF(OR(AND(N172&gt;=40,N172&lt;50),AND(N172&gt;70,N172&lt;=75)),1,0)))+IF(P172="",0,IF(AND(IF(B172="JSE",$L$5,$L$4)&lt;&gt;"",P172&gt;IF(B172="JSE",$L$5,$L$4)),2,IF(P172&gt;0,1,0)))))</f>
        <v/>
      </c>
      <c r="AD172" s="16" t="str">
        <f aca="false">IF(C172="","",IF(F172="Short",IF(R172="",0,IF(R172&lt;=0.1,2,IF(R172&lt;=0.25,1,0))),IF(Q172="",0,IF(Q172&gt;=-0.1,2,IF(Q172&gt;=-0.25,1,0)))))</f>
        <v/>
      </c>
      <c r="AE172" s="16" t="str">
        <f aca="false">IF(C172="","",IF(J172="",0,IF(J172&gt;=IF(B172="JSE",$L$7,$L$6),2,IF(J172&gt;=IF(B172="JSE",$L$7,$L$6)/4,1,0))))</f>
        <v/>
      </c>
      <c r="AF172" s="16" t="str">
        <f aca="false">IF(C172="","",IF(F172="Short",AND(T172&lt;&gt;"",N(T172)&lt;0),N(T172)&gt;0)+(N(S172)&gt;=1.5))</f>
        <v/>
      </c>
      <c r="AG172" s="16" t="str">
        <f aca="false">IF(C172="","",IF(AL172="",0,IF(AL172&gt;=3,4,IF(AL172&gt;=2,2,0))))</f>
        <v/>
      </c>
      <c r="AH172" s="16" t="str">
        <f aca="false">IF(C172="","",IF(AND(ISNUMBER(V172),ISNUMBER(A172),V172&gt;=A172,V172-A172&lt;=14),-2,0))</f>
        <v/>
      </c>
      <c r="AI172" s="16" t="str">
        <f aca="false">IF(C172="","",IF(AND(F172="Short",N(U172)&gt;=0.2),-1,0))</f>
        <v/>
      </c>
      <c r="AJ172" s="23" t="str">
        <f aca="false">IF(C172="","",SUM(AB172:AI172))</f>
        <v/>
      </c>
      <c r="AK172" s="24" t="str">
        <f aca="false">IF(C172="","",IF(AJ172&gt;=14,"A",IF(AJ172&gt;=10,"B","C")))</f>
        <v/>
      </c>
      <c r="AL172" s="39" t="str">
        <f aca="false">IFERROR(IF(OR(Y172="",Z172="",AA172=""),"",IF(F172="Short",IF(Z172&lt;=Y172,"",(Y172-AA172)/(Z172-Y172)),IF(Y172&lt;=Z172,"",(AA172-Y172)/(Y172-Z172)))),"")</f>
        <v/>
      </c>
      <c r="AM172" s="37" t="str">
        <f aca="false">IF(OR(Y172="",Z172="",N(Y172)=N(Z172)),"",IF(OR(AND(F172="Short",Z172&lt;Y172),AND(NOT(F172="Short"),Z172&gt;Y172)),"stop on wrong side",ABS(Y172-Z172)))</f>
        <v/>
      </c>
      <c r="AN172" s="40" t="str">
        <f aca="false">IFERROR(IF(OR(NOT(ISNUMBER(AM172)),$C$6=""),"",ROUNDDOWN($C$6*$C$7/AM172,2)),"")</f>
        <v/>
      </c>
      <c r="AO172" s="37" t="str">
        <f aca="false">IFERROR(IF(AN172="","",AN172*Y172),"")</f>
        <v/>
      </c>
      <c r="AP172" s="35"/>
      <c r="AQ172" s="19"/>
      <c r="AR172" s="26"/>
      <c r="AS172" s="41" t="str">
        <f aca="false">IFERROR(IF(OR(AR172="",Y172="",AQ172=""),"",IF(F172="Short",1-AR172/Y172,AR172/Y172-1)),"")</f>
        <v/>
      </c>
      <c r="AT172" s="42" t="str">
        <f aca="true">IF(AQ172="","",IF(ISNUMBER($C$4),$C$4,TODAY())-AQ172)</f>
        <v/>
      </c>
      <c r="AU172" s="14" t="str">
        <f aca="false">IF(C172="","",IF(AP172="Open position",IF(IF(F172="Short",AND(ISNUMBER(AR172),ISNUMBER(Z172),AR172&gt;=Z172),AND(ISNUMBER(AR172),ISNUMBER(Z172),AR172&lt;=Z172)),IF(F172="Short","COVER — stop hit (buy back)","SELL — stop hit"),IF(IF(F172="Short",AND(ISNUMBER(AR172),ISNUMBER(AA172),AR172&lt;=AA172),AND(ISNUMBER(AR172),ISNUMBER(AA172),AR172&gt;=AA172)),"TAKE PROFIT — target hit",IF(AND(ISNUMBER(AT172),AT172&gt;182),IF(F172="Short","COVER — 6-month time limit","SELL — 6-month time limit"),IF(AND(ISNUMBER(AT172),AT172&gt;42,ISNUMBER(AS172),AS172&lt;0.02),"REVIEW — no progress after 6 weeks",IF(IF(F172="Short",AND(L172&lt;&gt;"",N(L172)&gt;0),AND(L172&lt;&gt;"",N(L172)&lt;0)),IF(F172="Short","REVIEW — back above 50-day avg","REVIEW — below 50-day avg"),"HOLD"))))),IF(OR(AP172="Closed",AP172="Dropped"),"Closed",IF(AK172="A",IF(F172="Short","Run Technical Review — SHORT entry","Run Technical Review — LONG entry"),IF(AK172="B","Watch — wait for setup","Drop or re-check next week")))))</f>
        <v/>
      </c>
      <c r="AV172" s="35"/>
      <c r="AX172" s="43" t="str">
        <f aca="false">IF(AND(C172&lt;&gt;"",A172=$C$4,ISNUMBER(AJ172)),AJ172+ROW()/100000,"")</f>
        <v/>
      </c>
    </row>
    <row r="173" customFormat="false" ht="15" hidden="false" customHeight="false" outlineLevel="0" collapsed="false">
      <c r="A173" s="19"/>
      <c r="B173" s="35"/>
      <c r="C173" s="35"/>
      <c r="D173" s="35"/>
      <c r="E173" s="35"/>
      <c r="F173" s="35"/>
      <c r="G173" s="26"/>
      <c r="H173" s="26"/>
      <c r="I173" s="36"/>
      <c r="J173" s="37" t="str">
        <f aca="false">IF(OR(G173="",I173=""),"",G173*I173/1000000)</f>
        <v/>
      </c>
      <c r="K173" s="21"/>
      <c r="L173" s="21"/>
      <c r="M173" s="21"/>
      <c r="N173" s="25"/>
      <c r="O173" s="21"/>
      <c r="P173" s="21"/>
      <c r="Q173" s="21"/>
      <c r="R173" s="21"/>
      <c r="S173" s="38"/>
      <c r="T173" s="21"/>
      <c r="U173" s="21"/>
      <c r="V173" s="19"/>
      <c r="W173" s="26"/>
      <c r="X173" s="35"/>
      <c r="Y173" s="26"/>
      <c r="Z173" s="26"/>
      <c r="AA173" s="26"/>
      <c r="AB173" s="16" t="str">
        <f aca="false">IF(C173="","",IF(F173="Short",(AND(M173&lt;&gt;"",N(M173)&lt;0))+(AND(L173&lt;&gt;"",N(L173)&lt;0))+(AND(K173&lt;&gt;"",N(K173)&lt;0))+AND(L173&lt;&gt;"",M173&lt;&gt;"",N(M173)&lt;N(L173)),(N(M173)&gt;0)+(N(L173)&gt;0)+(N(K173)&gt;0)+AND(L173&lt;&gt;"",M173&lt;&gt;"",N(M173)&gt;N(L173))))</f>
        <v/>
      </c>
      <c r="AC173" s="16" t="str">
        <f aca="false">IF(C173="","",IF(F173="Short",IF(N173="",0,IF(AND(N173&gt;=30,N173&lt;=50),2,IF(OR(AND(N173&gt;=25,N173&lt;30),AND(N173&gt;50,N173&lt;=60)),1,0)))+IF(P173="",0,IF(AND(IF(B173="JSE",$L$5,$L$4)&lt;&gt;"",P173&lt;IF(B173="JSE",$L$5,$L$4)),2,IF(P173&lt;0,1,0))),IF(N173="",0,IF(AND(N173&gt;=50,N173&lt;=70),2,IF(OR(AND(N173&gt;=40,N173&lt;50),AND(N173&gt;70,N173&lt;=75)),1,0)))+IF(P173="",0,IF(AND(IF(B173="JSE",$L$5,$L$4)&lt;&gt;"",P173&gt;IF(B173="JSE",$L$5,$L$4)),2,IF(P173&gt;0,1,0)))))</f>
        <v/>
      </c>
      <c r="AD173" s="16" t="str">
        <f aca="false">IF(C173="","",IF(F173="Short",IF(R173="",0,IF(R173&lt;=0.1,2,IF(R173&lt;=0.25,1,0))),IF(Q173="",0,IF(Q173&gt;=-0.1,2,IF(Q173&gt;=-0.25,1,0)))))</f>
        <v/>
      </c>
      <c r="AE173" s="16" t="str">
        <f aca="false">IF(C173="","",IF(J173="",0,IF(J173&gt;=IF(B173="JSE",$L$7,$L$6),2,IF(J173&gt;=IF(B173="JSE",$L$7,$L$6)/4,1,0))))</f>
        <v/>
      </c>
      <c r="AF173" s="16" t="str">
        <f aca="false">IF(C173="","",IF(F173="Short",AND(T173&lt;&gt;"",N(T173)&lt;0),N(T173)&gt;0)+(N(S173)&gt;=1.5))</f>
        <v/>
      </c>
      <c r="AG173" s="16" t="str">
        <f aca="false">IF(C173="","",IF(AL173="",0,IF(AL173&gt;=3,4,IF(AL173&gt;=2,2,0))))</f>
        <v/>
      </c>
      <c r="AH173" s="16" t="str">
        <f aca="false">IF(C173="","",IF(AND(ISNUMBER(V173),ISNUMBER(A173),V173&gt;=A173,V173-A173&lt;=14),-2,0))</f>
        <v/>
      </c>
      <c r="AI173" s="16" t="str">
        <f aca="false">IF(C173="","",IF(AND(F173="Short",N(U173)&gt;=0.2),-1,0))</f>
        <v/>
      </c>
      <c r="AJ173" s="23" t="str">
        <f aca="false">IF(C173="","",SUM(AB173:AI173))</f>
        <v/>
      </c>
      <c r="AK173" s="24" t="str">
        <f aca="false">IF(C173="","",IF(AJ173&gt;=14,"A",IF(AJ173&gt;=10,"B","C")))</f>
        <v/>
      </c>
      <c r="AL173" s="39" t="str">
        <f aca="false">IFERROR(IF(OR(Y173="",Z173="",AA173=""),"",IF(F173="Short",IF(Z173&lt;=Y173,"",(Y173-AA173)/(Z173-Y173)),IF(Y173&lt;=Z173,"",(AA173-Y173)/(Y173-Z173)))),"")</f>
        <v/>
      </c>
      <c r="AM173" s="37" t="str">
        <f aca="false">IF(OR(Y173="",Z173="",N(Y173)=N(Z173)),"",IF(OR(AND(F173="Short",Z173&lt;Y173),AND(NOT(F173="Short"),Z173&gt;Y173)),"stop on wrong side",ABS(Y173-Z173)))</f>
        <v/>
      </c>
      <c r="AN173" s="40" t="str">
        <f aca="false">IFERROR(IF(OR(NOT(ISNUMBER(AM173)),$C$6=""),"",ROUNDDOWN($C$6*$C$7/AM173,2)),"")</f>
        <v/>
      </c>
      <c r="AO173" s="37" t="str">
        <f aca="false">IFERROR(IF(AN173="","",AN173*Y173),"")</f>
        <v/>
      </c>
      <c r="AP173" s="35"/>
      <c r="AQ173" s="19"/>
      <c r="AR173" s="26"/>
      <c r="AS173" s="41" t="str">
        <f aca="false">IFERROR(IF(OR(AR173="",Y173="",AQ173=""),"",IF(F173="Short",1-AR173/Y173,AR173/Y173-1)),"")</f>
        <v/>
      </c>
      <c r="AT173" s="42" t="str">
        <f aca="true">IF(AQ173="","",IF(ISNUMBER($C$4),$C$4,TODAY())-AQ173)</f>
        <v/>
      </c>
      <c r="AU173" s="14" t="str">
        <f aca="false">IF(C173="","",IF(AP173="Open position",IF(IF(F173="Short",AND(ISNUMBER(AR173),ISNUMBER(Z173),AR173&gt;=Z173),AND(ISNUMBER(AR173),ISNUMBER(Z173),AR173&lt;=Z173)),IF(F173="Short","COVER — stop hit (buy back)","SELL — stop hit"),IF(IF(F173="Short",AND(ISNUMBER(AR173),ISNUMBER(AA173),AR173&lt;=AA173),AND(ISNUMBER(AR173),ISNUMBER(AA173),AR173&gt;=AA173)),"TAKE PROFIT — target hit",IF(AND(ISNUMBER(AT173),AT173&gt;182),IF(F173="Short","COVER — 6-month time limit","SELL — 6-month time limit"),IF(AND(ISNUMBER(AT173),AT173&gt;42,ISNUMBER(AS173),AS173&lt;0.02),"REVIEW — no progress after 6 weeks",IF(IF(F173="Short",AND(L173&lt;&gt;"",N(L173)&gt;0),AND(L173&lt;&gt;"",N(L173)&lt;0)),IF(F173="Short","REVIEW — back above 50-day avg","REVIEW — below 50-day avg"),"HOLD"))))),IF(OR(AP173="Closed",AP173="Dropped"),"Closed",IF(AK173="A",IF(F173="Short","Run Technical Review — SHORT entry","Run Technical Review — LONG entry"),IF(AK173="B","Watch — wait for setup","Drop or re-check next week")))))</f>
        <v/>
      </c>
      <c r="AV173" s="35"/>
      <c r="AX173" s="43" t="str">
        <f aca="false">IF(AND(C173&lt;&gt;"",A173=$C$4,ISNUMBER(AJ173)),AJ173+ROW()/100000,"")</f>
        <v/>
      </c>
    </row>
    <row r="174" customFormat="false" ht="15" hidden="false" customHeight="false" outlineLevel="0" collapsed="false">
      <c r="A174" s="19"/>
      <c r="B174" s="35"/>
      <c r="C174" s="35"/>
      <c r="D174" s="35"/>
      <c r="E174" s="35"/>
      <c r="F174" s="35"/>
      <c r="G174" s="26"/>
      <c r="H174" s="26"/>
      <c r="I174" s="36"/>
      <c r="J174" s="37" t="str">
        <f aca="false">IF(OR(G174="",I174=""),"",G174*I174/1000000)</f>
        <v/>
      </c>
      <c r="K174" s="21"/>
      <c r="L174" s="21"/>
      <c r="M174" s="21"/>
      <c r="N174" s="25"/>
      <c r="O174" s="21"/>
      <c r="P174" s="21"/>
      <c r="Q174" s="21"/>
      <c r="R174" s="21"/>
      <c r="S174" s="38"/>
      <c r="T174" s="21"/>
      <c r="U174" s="21"/>
      <c r="V174" s="19"/>
      <c r="W174" s="26"/>
      <c r="X174" s="35"/>
      <c r="Y174" s="26"/>
      <c r="Z174" s="26"/>
      <c r="AA174" s="26"/>
      <c r="AB174" s="16" t="str">
        <f aca="false">IF(C174="","",IF(F174="Short",(AND(M174&lt;&gt;"",N(M174)&lt;0))+(AND(L174&lt;&gt;"",N(L174)&lt;0))+(AND(K174&lt;&gt;"",N(K174)&lt;0))+AND(L174&lt;&gt;"",M174&lt;&gt;"",N(M174)&lt;N(L174)),(N(M174)&gt;0)+(N(L174)&gt;0)+(N(K174)&gt;0)+AND(L174&lt;&gt;"",M174&lt;&gt;"",N(M174)&gt;N(L174))))</f>
        <v/>
      </c>
      <c r="AC174" s="16" t="str">
        <f aca="false">IF(C174="","",IF(F174="Short",IF(N174="",0,IF(AND(N174&gt;=30,N174&lt;=50),2,IF(OR(AND(N174&gt;=25,N174&lt;30),AND(N174&gt;50,N174&lt;=60)),1,0)))+IF(P174="",0,IF(AND(IF(B174="JSE",$L$5,$L$4)&lt;&gt;"",P174&lt;IF(B174="JSE",$L$5,$L$4)),2,IF(P174&lt;0,1,0))),IF(N174="",0,IF(AND(N174&gt;=50,N174&lt;=70),2,IF(OR(AND(N174&gt;=40,N174&lt;50),AND(N174&gt;70,N174&lt;=75)),1,0)))+IF(P174="",0,IF(AND(IF(B174="JSE",$L$5,$L$4)&lt;&gt;"",P174&gt;IF(B174="JSE",$L$5,$L$4)),2,IF(P174&gt;0,1,0)))))</f>
        <v/>
      </c>
      <c r="AD174" s="16" t="str">
        <f aca="false">IF(C174="","",IF(F174="Short",IF(R174="",0,IF(R174&lt;=0.1,2,IF(R174&lt;=0.25,1,0))),IF(Q174="",0,IF(Q174&gt;=-0.1,2,IF(Q174&gt;=-0.25,1,0)))))</f>
        <v/>
      </c>
      <c r="AE174" s="16" t="str">
        <f aca="false">IF(C174="","",IF(J174="",0,IF(J174&gt;=IF(B174="JSE",$L$7,$L$6),2,IF(J174&gt;=IF(B174="JSE",$L$7,$L$6)/4,1,0))))</f>
        <v/>
      </c>
      <c r="AF174" s="16" t="str">
        <f aca="false">IF(C174="","",IF(F174="Short",AND(T174&lt;&gt;"",N(T174)&lt;0),N(T174)&gt;0)+(N(S174)&gt;=1.5))</f>
        <v/>
      </c>
      <c r="AG174" s="16" t="str">
        <f aca="false">IF(C174="","",IF(AL174="",0,IF(AL174&gt;=3,4,IF(AL174&gt;=2,2,0))))</f>
        <v/>
      </c>
      <c r="AH174" s="16" t="str">
        <f aca="false">IF(C174="","",IF(AND(ISNUMBER(V174),ISNUMBER(A174),V174&gt;=A174,V174-A174&lt;=14),-2,0))</f>
        <v/>
      </c>
      <c r="AI174" s="16" t="str">
        <f aca="false">IF(C174="","",IF(AND(F174="Short",N(U174)&gt;=0.2),-1,0))</f>
        <v/>
      </c>
      <c r="AJ174" s="23" t="str">
        <f aca="false">IF(C174="","",SUM(AB174:AI174))</f>
        <v/>
      </c>
      <c r="AK174" s="24" t="str">
        <f aca="false">IF(C174="","",IF(AJ174&gt;=14,"A",IF(AJ174&gt;=10,"B","C")))</f>
        <v/>
      </c>
      <c r="AL174" s="39" t="str">
        <f aca="false">IFERROR(IF(OR(Y174="",Z174="",AA174=""),"",IF(F174="Short",IF(Z174&lt;=Y174,"",(Y174-AA174)/(Z174-Y174)),IF(Y174&lt;=Z174,"",(AA174-Y174)/(Y174-Z174)))),"")</f>
        <v/>
      </c>
      <c r="AM174" s="37" t="str">
        <f aca="false">IF(OR(Y174="",Z174="",N(Y174)=N(Z174)),"",IF(OR(AND(F174="Short",Z174&lt;Y174),AND(NOT(F174="Short"),Z174&gt;Y174)),"stop on wrong side",ABS(Y174-Z174)))</f>
        <v/>
      </c>
      <c r="AN174" s="40" t="str">
        <f aca="false">IFERROR(IF(OR(NOT(ISNUMBER(AM174)),$C$6=""),"",ROUNDDOWN($C$6*$C$7/AM174,2)),"")</f>
        <v/>
      </c>
      <c r="AO174" s="37" t="str">
        <f aca="false">IFERROR(IF(AN174="","",AN174*Y174),"")</f>
        <v/>
      </c>
      <c r="AP174" s="35"/>
      <c r="AQ174" s="19"/>
      <c r="AR174" s="26"/>
      <c r="AS174" s="41" t="str">
        <f aca="false">IFERROR(IF(OR(AR174="",Y174="",AQ174=""),"",IF(F174="Short",1-AR174/Y174,AR174/Y174-1)),"")</f>
        <v/>
      </c>
      <c r="AT174" s="42" t="str">
        <f aca="true">IF(AQ174="","",IF(ISNUMBER($C$4),$C$4,TODAY())-AQ174)</f>
        <v/>
      </c>
      <c r="AU174" s="14" t="str">
        <f aca="false">IF(C174="","",IF(AP174="Open position",IF(IF(F174="Short",AND(ISNUMBER(AR174),ISNUMBER(Z174),AR174&gt;=Z174),AND(ISNUMBER(AR174),ISNUMBER(Z174),AR174&lt;=Z174)),IF(F174="Short","COVER — stop hit (buy back)","SELL — stop hit"),IF(IF(F174="Short",AND(ISNUMBER(AR174),ISNUMBER(AA174),AR174&lt;=AA174),AND(ISNUMBER(AR174),ISNUMBER(AA174),AR174&gt;=AA174)),"TAKE PROFIT — target hit",IF(AND(ISNUMBER(AT174),AT174&gt;182),IF(F174="Short","COVER — 6-month time limit","SELL — 6-month time limit"),IF(AND(ISNUMBER(AT174),AT174&gt;42,ISNUMBER(AS174),AS174&lt;0.02),"REVIEW — no progress after 6 weeks",IF(IF(F174="Short",AND(L174&lt;&gt;"",N(L174)&gt;0),AND(L174&lt;&gt;"",N(L174)&lt;0)),IF(F174="Short","REVIEW — back above 50-day avg","REVIEW — below 50-day avg"),"HOLD"))))),IF(OR(AP174="Closed",AP174="Dropped"),"Closed",IF(AK174="A",IF(F174="Short","Run Technical Review — SHORT entry","Run Technical Review — LONG entry"),IF(AK174="B","Watch — wait for setup","Drop or re-check next week")))))</f>
        <v/>
      </c>
      <c r="AV174" s="35"/>
      <c r="AX174" s="43" t="str">
        <f aca="false">IF(AND(C174&lt;&gt;"",A174=$C$4,ISNUMBER(AJ174)),AJ174+ROW()/100000,"")</f>
        <v/>
      </c>
    </row>
    <row r="175" customFormat="false" ht="15" hidden="false" customHeight="false" outlineLevel="0" collapsed="false">
      <c r="A175" s="19"/>
      <c r="B175" s="35"/>
      <c r="C175" s="35"/>
      <c r="D175" s="35"/>
      <c r="E175" s="35"/>
      <c r="F175" s="35"/>
      <c r="G175" s="26"/>
      <c r="H175" s="26"/>
      <c r="I175" s="36"/>
      <c r="J175" s="37" t="str">
        <f aca="false">IF(OR(G175="",I175=""),"",G175*I175/1000000)</f>
        <v/>
      </c>
      <c r="K175" s="21"/>
      <c r="L175" s="21"/>
      <c r="M175" s="21"/>
      <c r="N175" s="25"/>
      <c r="O175" s="21"/>
      <c r="P175" s="21"/>
      <c r="Q175" s="21"/>
      <c r="R175" s="21"/>
      <c r="S175" s="38"/>
      <c r="T175" s="21"/>
      <c r="U175" s="21"/>
      <c r="V175" s="19"/>
      <c r="W175" s="26"/>
      <c r="X175" s="35"/>
      <c r="Y175" s="26"/>
      <c r="Z175" s="26"/>
      <c r="AA175" s="26"/>
      <c r="AB175" s="16" t="str">
        <f aca="false">IF(C175="","",IF(F175="Short",(AND(M175&lt;&gt;"",N(M175)&lt;0))+(AND(L175&lt;&gt;"",N(L175)&lt;0))+(AND(K175&lt;&gt;"",N(K175)&lt;0))+AND(L175&lt;&gt;"",M175&lt;&gt;"",N(M175)&lt;N(L175)),(N(M175)&gt;0)+(N(L175)&gt;0)+(N(K175)&gt;0)+AND(L175&lt;&gt;"",M175&lt;&gt;"",N(M175)&gt;N(L175))))</f>
        <v/>
      </c>
      <c r="AC175" s="16" t="str">
        <f aca="false">IF(C175="","",IF(F175="Short",IF(N175="",0,IF(AND(N175&gt;=30,N175&lt;=50),2,IF(OR(AND(N175&gt;=25,N175&lt;30),AND(N175&gt;50,N175&lt;=60)),1,0)))+IF(P175="",0,IF(AND(IF(B175="JSE",$L$5,$L$4)&lt;&gt;"",P175&lt;IF(B175="JSE",$L$5,$L$4)),2,IF(P175&lt;0,1,0))),IF(N175="",0,IF(AND(N175&gt;=50,N175&lt;=70),2,IF(OR(AND(N175&gt;=40,N175&lt;50),AND(N175&gt;70,N175&lt;=75)),1,0)))+IF(P175="",0,IF(AND(IF(B175="JSE",$L$5,$L$4)&lt;&gt;"",P175&gt;IF(B175="JSE",$L$5,$L$4)),2,IF(P175&gt;0,1,0)))))</f>
        <v/>
      </c>
      <c r="AD175" s="16" t="str">
        <f aca="false">IF(C175="","",IF(F175="Short",IF(R175="",0,IF(R175&lt;=0.1,2,IF(R175&lt;=0.25,1,0))),IF(Q175="",0,IF(Q175&gt;=-0.1,2,IF(Q175&gt;=-0.25,1,0)))))</f>
        <v/>
      </c>
      <c r="AE175" s="16" t="str">
        <f aca="false">IF(C175="","",IF(J175="",0,IF(J175&gt;=IF(B175="JSE",$L$7,$L$6),2,IF(J175&gt;=IF(B175="JSE",$L$7,$L$6)/4,1,0))))</f>
        <v/>
      </c>
      <c r="AF175" s="16" t="str">
        <f aca="false">IF(C175="","",IF(F175="Short",AND(T175&lt;&gt;"",N(T175)&lt;0),N(T175)&gt;0)+(N(S175)&gt;=1.5))</f>
        <v/>
      </c>
      <c r="AG175" s="16" t="str">
        <f aca="false">IF(C175="","",IF(AL175="",0,IF(AL175&gt;=3,4,IF(AL175&gt;=2,2,0))))</f>
        <v/>
      </c>
      <c r="AH175" s="16" t="str">
        <f aca="false">IF(C175="","",IF(AND(ISNUMBER(V175),ISNUMBER(A175),V175&gt;=A175,V175-A175&lt;=14),-2,0))</f>
        <v/>
      </c>
      <c r="AI175" s="16" t="str">
        <f aca="false">IF(C175="","",IF(AND(F175="Short",N(U175)&gt;=0.2),-1,0))</f>
        <v/>
      </c>
      <c r="AJ175" s="23" t="str">
        <f aca="false">IF(C175="","",SUM(AB175:AI175))</f>
        <v/>
      </c>
      <c r="AK175" s="24" t="str">
        <f aca="false">IF(C175="","",IF(AJ175&gt;=14,"A",IF(AJ175&gt;=10,"B","C")))</f>
        <v/>
      </c>
      <c r="AL175" s="39" t="str">
        <f aca="false">IFERROR(IF(OR(Y175="",Z175="",AA175=""),"",IF(F175="Short",IF(Z175&lt;=Y175,"",(Y175-AA175)/(Z175-Y175)),IF(Y175&lt;=Z175,"",(AA175-Y175)/(Y175-Z175)))),"")</f>
        <v/>
      </c>
      <c r="AM175" s="37" t="str">
        <f aca="false">IF(OR(Y175="",Z175="",N(Y175)=N(Z175)),"",IF(OR(AND(F175="Short",Z175&lt;Y175),AND(NOT(F175="Short"),Z175&gt;Y175)),"stop on wrong side",ABS(Y175-Z175)))</f>
        <v/>
      </c>
      <c r="AN175" s="40" t="str">
        <f aca="false">IFERROR(IF(OR(NOT(ISNUMBER(AM175)),$C$6=""),"",ROUNDDOWN($C$6*$C$7/AM175,2)),"")</f>
        <v/>
      </c>
      <c r="AO175" s="37" t="str">
        <f aca="false">IFERROR(IF(AN175="","",AN175*Y175),"")</f>
        <v/>
      </c>
      <c r="AP175" s="35"/>
      <c r="AQ175" s="19"/>
      <c r="AR175" s="26"/>
      <c r="AS175" s="41" t="str">
        <f aca="false">IFERROR(IF(OR(AR175="",Y175="",AQ175=""),"",IF(F175="Short",1-AR175/Y175,AR175/Y175-1)),"")</f>
        <v/>
      </c>
      <c r="AT175" s="42" t="str">
        <f aca="true">IF(AQ175="","",IF(ISNUMBER($C$4),$C$4,TODAY())-AQ175)</f>
        <v/>
      </c>
      <c r="AU175" s="14" t="str">
        <f aca="false">IF(C175="","",IF(AP175="Open position",IF(IF(F175="Short",AND(ISNUMBER(AR175),ISNUMBER(Z175),AR175&gt;=Z175),AND(ISNUMBER(AR175),ISNUMBER(Z175),AR175&lt;=Z175)),IF(F175="Short","COVER — stop hit (buy back)","SELL — stop hit"),IF(IF(F175="Short",AND(ISNUMBER(AR175),ISNUMBER(AA175),AR175&lt;=AA175),AND(ISNUMBER(AR175),ISNUMBER(AA175),AR175&gt;=AA175)),"TAKE PROFIT — target hit",IF(AND(ISNUMBER(AT175),AT175&gt;182),IF(F175="Short","COVER — 6-month time limit","SELL — 6-month time limit"),IF(AND(ISNUMBER(AT175),AT175&gt;42,ISNUMBER(AS175),AS175&lt;0.02),"REVIEW — no progress after 6 weeks",IF(IF(F175="Short",AND(L175&lt;&gt;"",N(L175)&gt;0),AND(L175&lt;&gt;"",N(L175)&lt;0)),IF(F175="Short","REVIEW — back above 50-day avg","REVIEW — below 50-day avg"),"HOLD"))))),IF(OR(AP175="Closed",AP175="Dropped"),"Closed",IF(AK175="A",IF(F175="Short","Run Technical Review — SHORT entry","Run Technical Review — LONG entry"),IF(AK175="B","Watch — wait for setup","Drop or re-check next week")))))</f>
        <v/>
      </c>
      <c r="AV175" s="35"/>
      <c r="AX175" s="43" t="str">
        <f aca="false">IF(AND(C175&lt;&gt;"",A175=$C$4,ISNUMBER(AJ175)),AJ175+ROW()/100000,"")</f>
        <v/>
      </c>
    </row>
    <row r="176" customFormat="false" ht="15" hidden="false" customHeight="false" outlineLevel="0" collapsed="false">
      <c r="A176" s="19"/>
      <c r="B176" s="35"/>
      <c r="C176" s="35"/>
      <c r="D176" s="35"/>
      <c r="E176" s="35"/>
      <c r="F176" s="35"/>
      <c r="G176" s="26"/>
      <c r="H176" s="26"/>
      <c r="I176" s="36"/>
      <c r="J176" s="37" t="str">
        <f aca="false">IF(OR(G176="",I176=""),"",G176*I176/1000000)</f>
        <v/>
      </c>
      <c r="K176" s="21"/>
      <c r="L176" s="21"/>
      <c r="M176" s="21"/>
      <c r="N176" s="25"/>
      <c r="O176" s="21"/>
      <c r="P176" s="21"/>
      <c r="Q176" s="21"/>
      <c r="R176" s="21"/>
      <c r="S176" s="38"/>
      <c r="T176" s="21"/>
      <c r="U176" s="21"/>
      <c r="V176" s="19"/>
      <c r="W176" s="26"/>
      <c r="X176" s="35"/>
      <c r="Y176" s="26"/>
      <c r="Z176" s="26"/>
      <c r="AA176" s="26"/>
      <c r="AB176" s="16" t="str">
        <f aca="false">IF(C176="","",IF(F176="Short",(AND(M176&lt;&gt;"",N(M176)&lt;0))+(AND(L176&lt;&gt;"",N(L176)&lt;0))+(AND(K176&lt;&gt;"",N(K176)&lt;0))+AND(L176&lt;&gt;"",M176&lt;&gt;"",N(M176)&lt;N(L176)),(N(M176)&gt;0)+(N(L176)&gt;0)+(N(K176)&gt;0)+AND(L176&lt;&gt;"",M176&lt;&gt;"",N(M176)&gt;N(L176))))</f>
        <v/>
      </c>
      <c r="AC176" s="16" t="str">
        <f aca="false">IF(C176="","",IF(F176="Short",IF(N176="",0,IF(AND(N176&gt;=30,N176&lt;=50),2,IF(OR(AND(N176&gt;=25,N176&lt;30),AND(N176&gt;50,N176&lt;=60)),1,0)))+IF(P176="",0,IF(AND(IF(B176="JSE",$L$5,$L$4)&lt;&gt;"",P176&lt;IF(B176="JSE",$L$5,$L$4)),2,IF(P176&lt;0,1,0))),IF(N176="",0,IF(AND(N176&gt;=50,N176&lt;=70),2,IF(OR(AND(N176&gt;=40,N176&lt;50),AND(N176&gt;70,N176&lt;=75)),1,0)))+IF(P176="",0,IF(AND(IF(B176="JSE",$L$5,$L$4)&lt;&gt;"",P176&gt;IF(B176="JSE",$L$5,$L$4)),2,IF(P176&gt;0,1,0)))))</f>
        <v/>
      </c>
      <c r="AD176" s="16" t="str">
        <f aca="false">IF(C176="","",IF(F176="Short",IF(R176="",0,IF(R176&lt;=0.1,2,IF(R176&lt;=0.25,1,0))),IF(Q176="",0,IF(Q176&gt;=-0.1,2,IF(Q176&gt;=-0.25,1,0)))))</f>
        <v/>
      </c>
      <c r="AE176" s="16" t="str">
        <f aca="false">IF(C176="","",IF(J176="",0,IF(J176&gt;=IF(B176="JSE",$L$7,$L$6),2,IF(J176&gt;=IF(B176="JSE",$L$7,$L$6)/4,1,0))))</f>
        <v/>
      </c>
      <c r="AF176" s="16" t="str">
        <f aca="false">IF(C176="","",IF(F176="Short",AND(T176&lt;&gt;"",N(T176)&lt;0),N(T176)&gt;0)+(N(S176)&gt;=1.5))</f>
        <v/>
      </c>
      <c r="AG176" s="16" t="str">
        <f aca="false">IF(C176="","",IF(AL176="",0,IF(AL176&gt;=3,4,IF(AL176&gt;=2,2,0))))</f>
        <v/>
      </c>
      <c r="AH176" s="16" t="str">
        <f aca="false">IF(C176="","",IF(AND(ISNUMBER(V176),ISNUMBER(A176),V176&gt;=A176,V176-A176&lt;=14),-2,0))</f>
        <v/>
      </c>
      <c r="AI176" s="16" t="str">
        <f aca="false">IF(C176="","",IF(AND(F176="Short",N(U176)&gt;=0.2),-1,0))</f>
        <v/>
      </c>
      <c r="AJ176" s="23" t="str">
        <f aca="false">IF(C176="","",SUM(AB176:AI176))</f>
        <v/>
      </c>
      <c r="AK176" s="24" t="str">
        <f aca="false">IF(C176="","",IF(AJ176&gt;=14,"A",IF(AJ176&gt;=10,"B","C")))</f>
        <v/>
      </c>
      <c r="AL176" s="39" t="str">
        <f aca="false">IFERROR(IF(OR(Y176="",Z176="",AA176=""),"",IF(F176="Short",IF(Z176&lt;=Y176,"",(Y176-AA176)/(Z176-Y176)),IF(Y176&lt;=Z176,"",(AA176-Y176)/(Y176-Z176)))),"")</f>
        <v/>
      </c>
      <c r="AM176" s="37" t="str">
        <f aca="false">IF(OR(Y176="",Z176="",N(Y176)=N(Z176)),"",IF(OR(AND(F176="Short",Z176&lt;Y176),AND(NOT(F176="Short"),Z176&gt;Y176)),"stop on wrong side",ABS(Y176-Z176)))</f>
        <v/>
      </c>
      <c r="AN176" s="40" t="str">
        <f aca="false">IFERROR(IF(OR(NOT(ISNUMBER(AM176)),$C$6=""),"",ROUNDDOWN($C$6*$C$7/AM176,2)),"")</f>
        <v/>
      </c>
      <c r="AO176" s="37" t="str">
        <f aca="false">IFERROR(IF(AN176="","",AN176*Y176),"")</f>
        <v/>
      </c>
      <c r="AP176" s="35"/>
      <c r="AQ176" s="19"/>
      <c r="AR176" s="26"/>
      <c r="AS176" s="41" t="str">
        <f aca="false">IFERROR(IF(OR(AR176="",Y176="",AQ176=""),"",IF(F176="Short",1-AR176/Y176,AR176/Y176-1)),"")</f>
        <v/>
      </c>
      <c r="AT176" s="42" t="str">
        <f aca="true">IF(AQ176="","",IF(ISNUMBER($C$4),$C$4,TODAY())-AQ176)</f>
        <v/>
      </c>
      <c r="AU176" s="14" t="str">
        <f aca="false">IF(C176="","",IF(AP176="Open position",IF(IF(F176="Short",AND(ISNUMBER(AR176),ISNUMBER(Z176),AR176&gt;=Z176),AND(ISNUMBER(AR176),ISNUMBER(Z176),AR176&lt;=Z176)),IF(F176="Short","COVER — stop hit (buy back)","SELL — stop hit"),IF(IF(F176="Short",AND(ISNUMBER(AR176),ISNUMBER(AA176),AR176&lt;=AA176),AND(ISNUMBER(AR176),ISNUMBER(AA176),AR176&gt;=AA176)),"TAKE PROFIT — target hit",IF(AND(ISNUMBER(AT176),AT176&gt;182),IF(F176="Short","COVER — 6-month time limit","SELL — 6-month time limit"),IF(AND(ISNUMBER(AT176),AT176&gt;42,ISNUMBER(AS176),AS176&lt;0.02),"REVIEW — no progress after 6 weeks",IF(IF(F176="Short",AND(L176&lt;&gt;"",N(L176)&gt;0),AND(L176&lt;&gt;"",N(L176)&lt;0)),IF(F176="Short","REVIEW — back above 50-day avg","REVIEW — below 50-day avg"),"HOLD"))))),IF(OR(AP176="Closed",AP176="Dropped"),"Closed",IF(AK176="A",IF(F176="Short","Run Technical Review — SHORT entry","Run Technical Review — LONG entry"),IF(AK176="B","Watch — wait for setup","Drop or re-check next week")))))</f>
        <v/>
      </c>
      <c r="AV176" s="35"/>
      <c r="AX176" s="43" t="str">
        <f aca="false">IF(AND(C176&lt;&gt;"",A176=$C$4,ISNUMBER(AJ176)),AJ176+ROW()/100000,"")</f>
        <v/>
      </c>
    </row>
    <row r="177" customFormat="false" ht="15" hidden="false" customHeight="false" outlineLevel="0" collapsed="false">
      <c r="A177" s="19"/>
      <c r="B177" s="35"/>
      <c r="C177" s="35"/>
      <c r="D177" s="35"/>
      <c r="E177" s="35"/>
      <c r="F177" s="35"/>
      <c r="G177" s="26"/>
      <c r="H177" s="26"/>
      <c r="I177" s="36"/>
      <c r="J177" s="37" t="str">
        <f aca="false">IF(OR(G177="",I177=""),"",G177*I177/1000000)</f>
        <v/>
      </c>
      <c r="K177" s="21"/>
      <c r="L177" s="21"/>
      <c r="M177" s="21"/>
      <c r="N177" s="25"/>
      <c r="O177" s="21"/>
      <c r="P177" s="21"/>
      <c r="Q177" s="21"/>
      <c r="R177" s="21"/>
      <c r="S177" s="38"/>
      <c r="T177" s="21"/>
      <c r="U177" s="21"/>
      <c r="V177" s="19"/>
      <c r="W177" s="26"/>
      <c r="X177" s="35"/>
      <c r="Y177" s="26"/>
      <c r="Z177" s="26"/>
      <c r="AA177" s="26"/>
      <c r="AB177" s="16" t="str">
        <f aca="false">IF(C177="","",IF(F177="Short",(AND(M177&lt;&gt;"",N(M177)&lt;0))+(AND(L177&lt;&gt;"",N(L177)&lt;0))+(AND(K177&lt;&gt;"",N(K177)&lt;0))+AND(L177&lt;&gt;"",M177&lt;&gt;"",N(M177)&lt;N(L177)),(N(M177)&gt;0)+(N(L177)&gt;0)+(N(K177)&gt;0)+AND(L177&lt;&gt;"",M177&lt;&gt;"",N(M177)&gt;N(L177))))</f>
        <v/>
      </c>
      <c r="AC177" s="16" t="str">
        <f aca="false">IF(C177="","",IF(F177="Short",IF(N177="",0,IF(AND(N177&gt;=30,N177&lt;=50),2,IF(OR(AND(N177&gt;=25,N177&lt;30),AND(N177&gt;50,N177&lt;=60)),1,0)))+IF(P177="",0,IF(AND(IF(B177="JSE",$L$5,$L$4)&lt;&gt;"",P177&lt;IF(B177="JSE",$L$5,$L$4)),2,IF(P177&lt;0,1,0))),IF(N177="",0,IF(AND(N177&gt;=50,N177&lt;=70),2,IF(OR(AND(N177&gt;=40,N177&lt;50),AND(N177&gt;70,N177&lt;=75)),1,0)))+IF(P177="",0,IF(AND(IF(B177="JSE",$L$5,$L$4)&lt;&gt;"",P177&gt;IF(B177="JSE",$L$5,$L$4)),2,IF(P177&gt;0,1,0)))))</f>
        <v/>
      </c>
      <c r="AD177" s="16" t="str">
        <f aca="false">IF(C177="","",IF(F177="Short",IF(R177="",0,IF(R177&lt;=0.1,2,IF(R177&lt;=0.25,1,0))),IF(Q177="",0,IF(Q177&gt;=-0.1,2,IF(Q177&gt;=-0.25,1,0)))))</f>
        <v/>
      </c>
      <c r="AE177" s="16" t="str">
        <f aca="false">IF(C177="","",IF(J177="",0,IF(J177&gt;=IF(B177="JSE",$L$7,$L$6),2,IF(J177&gt;=IF(B177="JSE",$L$7,$L$6)/4,1,0))))</f>
        <v/>
      </c>
      <c r="AF177" s="16" t="str">
        <f aca="false">IF(C177="","",IF(F177="Short",AND(T177&lt;&gt;"",N(T177)&lt;0),N(T177)&gt;0)+(N(S177)&gt;=1.5))</f>
        <v/>
      </c>
      <c r="AG177" s="16" t="str">
        <f aca="false">IF(C177="","",IF(AL177="",0,IF(AL177&gt;=3,4,IF(AL177&gt;=2,2,0))))</f>
        <v/>
      </c>
      <c r="AH177" s="16" t="str">
        <f aca="false">IF(C177="","",IF(AND(ISNUMBER(V177),ISNUMBER(A177),V177&gt;=A177,V177-A177&lt;=14),-2,0))</f>
        <v/>
      </c>
      <c r="AI177" s="16" t="str">
        <f aca="false">IF(C177="","",IF(AND(F177="Short",N(U177)&gt;=0.2),-1,0))</f>
        <v/>
      </c>
      <c r="AJ177" s="23" t="str">
        <f aca="false">IF(C177="","",SUM(AB177:AI177))</f>
        <v/>
      </c>
      <c r="AK177" s="24" t="str">
        <f aca="false">IF(C177="","",IF(AJ177&gt;=14,"A",IF(AJ177&gt;=10,"B","C")))</f>
        <v/>
      </c>
      <c r="AL177" s="39" t="str">
        <f aca="false">IFERROR(IF(OR(Y177="",Z177="",AA177=""),"",IF(F177="Short",IF(Z177&lt;=Y177,"",(Y177-AA177)/(Z177-Y177)),IF(Y177&lt;=Z177,"",(AA177-Y177)/(Y177-Z177)))),"")</f>
        <v/>
      </c>
      <c r="AM177" s="37" t="str">
        <f aca="false">IF(OR(Y177="",Z177="",N(Y177)=N(Z177)),"",IF(OR(AND(F177="Short",Z177&lt;Y177),AND(NOT(F177="Short"),Z177&gt;Y177)),"stop on wrong side",ABS(Y177-Z177)))</f>
        <v/>
      </c>
      <c r="AN177" s="40" t="str">
        <f aca="false">IFERROR(IF(OR(NOT(ISNUMBER(AM177)),$C$6=""),"",ROUNDDOWN($C$6*$C$7/AM177,2)),"")</f>
        <v/>
      </c>
      <c r="AO177" s="37" t="str">
        <f aca="false">IFERROR(IF(AN177="","",AN177*Y177),"")</f>
        <v/>
      </c>
      <c r="AP177" s="35"/>
      <c r="AQ177" s="19"/>
      <c r="AR177" s="26"/>
      <c r="AS177" s="41" t="str">
        <f aca="false">IFERROR(IF(OR(AR177="",Y177="",AQ177=""),"",IF(F177="Short",1-AR177/Y177,AR177/Y177-1)),"")</f>
        <v/>
      </c>
      <c r="AT177" s="42" t="str">
        <f aca="true">IF(AQ177="","",IF(ISNUMBER($C$4),$C$4,TODAY())-AQ177)</f>
        <v/>
      </c>
      <c r="AU177" s="14" t="str">
        <f aca="false">IF(C177="","",IF(AP177="Open position",IF(IF(F177="Short",AND(ISNUMBER(AR177),ISNUMBER(Z177),AR177&gt;=Z177),AND(ISNUMBER(AR177),ISNUMBER(Z177),AR177&lt;=Z177)),IF(F177="Short","COVER — stop hit (buy back)","SELL — stop hit"),IF(IF(F177="Short",AND(ISNUMBER(AR177),ISNUMBER(AA177),AR177&lt;=AA177),AND(ISNUMBER(AR177),ISNUMBER(AA177),AR177&gt;=AA177)),"TAKE PROFIT — target hit",IF(AND(ISNUMBER(AT177),AT177&gt;182),IF(F177="Short","COVER — 6-month time limit","SELL — 6-month time limit"),IF(AND(ISNUMBER(AT177),AT177&gt;42,ISNUMBER(AS177),AS177&lt;0.02),"REVIEW — no progress after 6 weeks",IF(IF(F177="Short",AND(L177&lt;&gt;"",N(L177)&gt;0),AND(L177&lt;&gt;"",N(L177)&lt;0)),IF(F177="Short","REVIEW — back above 50-day avg","REVIEW — below 50-day avg"),"HOLD"))))),IF(OR(AP177="Closed",AP177="Dropped"),"Closed",IF(AK177="A",IF(F177="Short","Run Technical Review — SHORT entry","Run Technical Review — LONG entry"),IF(AK177="B","Watch — wait for setup","Drop or re-check next week")))))</f>
        <v/>
      </c>
      <c r="AV177" s="35"/>
      <c r="AX177" s="43" t="str">
        <f aca="false">IF(AND(C177&lt;&gt;"",A177=$C$4,ISNUMBER(AJ177)),AJ177+ROW()/100000,"")</f>
        <v/>
      </c>
    </row>
    <row r="178" customFormat="false" ht="15" hidden="false" customHeight="false" outlineLevel="0" collapsed="false">
      <c r="A178" s="19"/>
      <c r="B178" s="35"/>
      <c r="C178" s="35"/>
      <c r="D178" s="35"/>
      <c r="E178" s="35"/>
      <c r="F178" s="35"/>
      <c r="G178" s="26"/>
      <c r="H178" s="26"/>
      <c r="I178" s="36"/>
      <c r="J178" s="37" t="str">
        <f aca="false">IF(OR(G178="",I178=""),"",G178*I178/1000000)</f>
        <v/>
      </c>
      <c r="K178" s="21"/>
      <c r="L178" s="21"/>
      <c r="M178" s="21"/>
      <c r="N178" s="25"/>
      <c r="O178" s="21"/>
      <c r="P178" s="21"/>
      <c r="Q178" s="21"/>
      <c r="R178" s="21"/>
      <c r="S178" s="38"/>
      <c r="T178" s="21"/>
      <c r="U178" s="21"/>
      <c r="V178" s="19"/>
      <c r="W178" s="26"/>
      <c r="X178" s="35"/>
      <c r="Y178" s="26"/>
      <c r="Z178" s="26"/>
      <c r="AA178" s="26"/>
      <c r="AB178" s="16" t="str">
        <f aca="false">IF(C178="","",IF(F178="Short",(AND(M178&lt;&gt;"",N(M178)&lt;0))+(AND(L178&lt;&gt;"",N(L178)&lt;0))+(AND(K178&lt;&gt;"",N(K178)&lt;0))+AND(L178&lt;&gt;"",M178&lt;&gt;"",N(M178)&lt;N(L178)),(N(M178)&gt;0)+(N(L178)&gt;0)+(N(K178)&gt;0)+AND(L178&lt;&gt;"",M178&lt;&gt;"",N(M178)&gt;N(L178))))</f>
        <v/>
      </c>
      <c r="AC178" s="16" t="str">
        <f aca="false">IF(C178="","",IF(F178="Short",IF(N178="",0,IF(AND(N178&gt;=30,N178&lt;=50),2,IF(OR(AND(N178&gt;=25,N178&lt;30),AND(N178&gt;50,N178&lt;=60)),1,0)))+IF(P178="",0,IF(AND(IF(B178="JSE",$L$5,$L$4)&lt;&gt;"",P178&lt;IF(B178="JSE",$L$5,$L$4)),2,IF(P178&lt;0,1,0))),IF(N178="",0,IF(AND(N178&gt;=50,N178&lt;=70),2,IF(OR(AND(N178&gt;=40,N178&lt;50),AND(N178&gt;70,N178&lt;=75)),1,0)))+IF(P178="",0,IF(AND(IF(B178="JSE",$L$5,$L$4)&lt;&gt;"",P178&gt;IF(B178="JSE",$L$5,$L$4)),2,IF(P178&gt;0,1,0)))))</f>
        <v/>
      </c>
      <c r="AD178" s="16" t="str">
        <f aca="false">IF(C178="","",IF(F178="Short",IF(R178="",0,IF(R178&lt;=0.1,2,IF(R178&lt;=0.25,1,0))),IF(Q178="",0,IF(Q178&gt;=-0.1,2,IF(Q178&gt;=-0.25,1,0)))))</f>
        <v/>
      </c>
      <c r="AE178" s="16" t="str">
        <f aca="false">IF(C178="","",IF(J178="",0,IF(J178&gt;=IF(B178="JSE",$L$7,$L$6),2,IF(J178&gt;=IF(B178="JSE",$L$7,$L$6)/4,1,0))))</f>
        <v/>
      </c>
      <c r="AF178" s="16" t="str">
        <f aca="false">IF(C178="","",IF(F178="Short",AND(T178&lt;&gt;"",N(T178)&lt;0),N(T178)&gt;0)+(N(S178)&gt;=1.5))</f>
        <v/>
      </c>
      <c r="AG178" s="16" t="str">
        <f aca="false">IF(C178="","",IF(AL178="",0,IF(AL178&gt;=3,4,IF(AL178&gt;=2,2,0))))</f>
        <v/>
      </c>
      <c r="AH178" s="16" t="str">
        <f aca="false">IF(C178="","",IF(AND(ISNUMBER(V178),ISNUMBER(A178),V178&gt;=A178,V178-A178&lt;=14),-2,0))</f>
        <v/>
      </c>
      <c r="AI178" s="16" t="str">
        <f aca="false">IF(C178="","",IF(AND(F178="Short",N(U178)&gt;=0.2),-1,0))</f>
        <v/>
      </c>
      <c r="AJ178" s="23" t="str">
        <f aca="false">IF(C178="","",SUM(AB178:AI178))</f>
        <v/>
      </c>
      <c r="AK178" s="24" t="str">
        <f aca="false">IF(C178="","",IF(AJ178&gt;=14,"A",IF(AJ178&gt;=10,"B","C")))</f>
        <v/>
      </c>
      <c r="AL178" s="39" t="str">
        <f aca="false">IFERROR(IF(OR(Y178="",Z178="",AA178=""),"",IF(F178="Short",IF(Z178&lt;=Y178,"",(Y178-AA178)/(Z178-Y178)),IF(Y178&lt;=Z178,"",(AA178-Y178)/(Y178-Z178)))),"")</f>
        <v/>
      </c>
      <c r="AM178" s="37" t="str">
        <f aca="false">IF(OR(Y178="",Z178="",N(Y178)=N(Z178)),"",IF(OR(AND(F178="Short",Z178&lt;Y178),AND(NOT(F178="Short"),Z178&gt;Y178)),"stop on wrong side",ABS(Y178-Z178)))</f>
        <v/>
      </c>
      <c r="AN178" s="40" t="str">
        <f aca="false">IFERROR(IF(OR(NOT(ISNUMBER(AM178)),$C$6=""),"",ROUNDDOWN($C$6*$C$7/AM178,2)),"")</f>
        <v/>
      </c>
      <c r="AO178" s="37" t="str">
        <f aca="false">IFERROR(IF(AN178="","",AN178*Y178),"")</f>
        <v/>
      </c>
      <c r="AP178" s="35"/>
      <c r="AQ178" s="19"/>
      <c r="AR178" s="26"/>
      <c r="AS178" s="41" t="str">
        <f aca="false">IFERROR(IF(OR(AR178="",Y178="",AQ178=""),"",IF(F178="Short",1-AR178/Y178,AR178/Y178-1)),"")</f>
        <v/>
      </c>
      <c r="AT178" s="42" t="str">
        <f aca="true">IF(AQ178="","",IF(ISNUMBER($C$4),$C$4,TODAY())-AQ178)</f>
        <v/>
      </c>
      <c r="AU178" s="14" t="str">
        <f aca="false">IF(C178="","",IF(AP178="Open position",IF(IF(F178="Short",AND(ISNUMBER(AR178),ISNUMBER(Z178),AR178&gt;=Z178),AND(ISNUMBER(AR178),ISNUMBER(Z178),AR178&lt;=Z178)),IF(F178="Short","COVER — stop hit (buy back)","SELL — stop hit"),IF(IF(F178="Short",AND(ISNUMBER(AR178),ISNUMBER(AA178),AR178&lt;=AA178),AND(ISNUMBER(AR178),ISNUMBER(AA178),AR178&gt;=AA178)),"TAKE PROFIT — target hit",IF(AND(ISNUMBER(AT178),AT178&gt;182),IF(F178="Short","COVER — 6-month time limit","SELL — 6-month time limit"),IF(AND(ISNUMBER(AT178),AT178&gt;42,ISNUMBER(AS178),AS178&lt;0.02),"REVIEW — no progress after 6 weeks",IF(IF(F178="Short",AND(L178&lt;&gt;"",N(L178)&gt;0),AND(L178&lt;&gt;"",N(L178)&lt;0)),IF(F178="Short","REVIEW — back above 50-day avg","REVIEW — below 50-day avg"),"HOLD"))))),IF(OR(AP178="Closed",AP178="Dropped"),"Closed",IF(AK178="A",IF(F178="Short","Run Technical Review — SHORT entry","Run Technical Review — LONG entry"),IF(AK178="B","Watch — wait for setup","Drop or re-check next week")))))</f>
        <v/>
      </c>
      <c r="AV178" s="35"/>
      <c r="AX178" s="43" t="str">
        <f aca="false">IF(AND(C178&lt;&gt;"",A178=$C$4,ISNUMBER(AJ178)),AJ178+ROW()/100000,"")</f>
        <v/>
      </c>
    </row>
    <row r="179" customFormat="false" ht="15" hidden="false" customHeight="false" outlineLevel="0" collapsed="false">
      <c r="A179" s="19"/>
      <c r="B179" s="35"/>
      <c r="C179" s="35"/>
      <c r="D179" s="35"/>
      <c r="E179" s="35"/>
      <c r="F179" s="35"/>
      <c r="G179" s="26"/>
      <c r="H179" s="26"/>
      <c r="I179" s="36"/>
      <c r="J179" s="37" t="str">
        <f aca="false">IF(OR(G179="",I179=""),"",G179*I179/1000000)</f>
        <v/>
      </c>
      <c r="K179" s="21"/>
      <c r="L179" s="21"/>
      <c r="M179" s="21"/>
      <c r="N179" s="25"/>
      <c r="O179" s="21"/>
      <c r="P179" s="21"/>
      <c r="Q179" s="21"/>
      <c r="R179" s="21"/>
      <c r="S179" s="38"/>
      <c r="T179" s="21"/>
      <c r="U179" s="21"/>
      <c r="V179" s="19"/>
      <c r="W179" s="26"/>
      <c r="X179" s="35"/>
      <c r="Y179" s="26"/>
      <c r="Z179" s="26"/>
      <c r="AA179" s="26"/>
      <c r="AB179" s="16" t="str">
        <f aca="false">IF(C179="","",IF(F179="Short",(AND(M179&lt;&gt;"",N(M179)&lt;0))+(AND(L179&lt;&gt;"",N(L179)&lt;0))+(AND(K179&lt;&gt;"",N(K179)&lt;0))+AND(L179&lt;&gt;"",M179&lt;&gt;"",N(M179)&lt;N(L179)),(N(M179)&gt;0)+(N(L179)&gt;0)+(N(K179)&gt;0)+AND(L179&lt;&gt;"",M179&lt;&gt;"",N(M179)&gt;N(L179))))</f>
        <v/>
      </c>
      <c r="AC179" s="16" t="str">
        <f aca="false">IF(C179="","",IF(F179="Short",IF(N179="",0,IF(AND(N179&gt;=30,N179&lt;=50),2,IF(OR(AND(N179&gt;=25,N179&lt;30),AND(N179&gt;50,N179&lt;=60)),1,0)))+IF(P179="",0,IF(AND(IF(B179="JSE",$L$5,$L$4)&lt;&gt;"",P179&lt;IF(B179="JSE",$L$5,$L$4)),2,IF(P179&lt;0,1,0))),IF(N179="",0,IF(AND(N179&gt;=50,N179&lt;=70),2,IF(OR(AND(N179&gt;=40,N179&lt;50),AND(N179&gt;70,N179&lt;=75)),1,0)))+IF(P179="",0,IF(AND(IF(B179="JSE",$L$5,$L$4)&lt;&gt;"",P179&gt;IF(B179="JSE",$L$5,$L$4)),2,IF(P179&gt;0,1,0)))))</f>
        <v/>
      </c>
      <c r="AD179" s="16" t="str">
        <f aca="false">IF(C179="","",IF(F179="Short",IF(R179="",0,IF(R179&lt;=0.1,2,IF(R179&lt;=0.25,1,0))),IF(Q179="",0,IF(Q179&gt;=-0.1,2,IF(Q179&gt;=-0.25,1,0)))))</f>
        <v/>
      </c>
      <c r="AE179" s="16" t="str">
        <f aca="false">IF(C179="","",IF(J179="",0,IF(J179&gt;=IF(B179="JSE",$L$7,$L$6),2,IF(J179&gt;=IF(B179="JSE",$L$7,$L$6)/4,1,0))))</f>
        <v/>
      </c>
      <c r="AF179" s="16" t="str">
        <f aca="false">IF(C179="","",IF(F179="Short",AND(T179&lt;&gt;"",N(T179)&lt;0),N(T179)&gt;0)+(N(S179)&gt;=1.5))</f>
        <v/>
      </c>
      <c r="AG179" s="16" t="str">
        <f aca="false">IF(C179="","",IF(AL179="",0,IF(AL179&gt;=3,4,IF(AL179&gt;=2,2,0))))</f>
        <v/>
      </c>
      <c r="AH179" s="16" t="str">
        <f aca="false">IF(C179="","",IF(AND(ISNUMBER(V179),ISNUMBER(A179),V179&gt;=A179,V179-A179&lt;=14),-2,0))</f>
        <v/>
      </c>
      <c r="AI179" s="16" t="str">
        <f aca="false">IF(C179="","",IF(AND(F179="Short",N(U179)&gt;=0.2),-1,0))</f>
        <v/>
      </c>
      <c r="AJ179" s="23" t="str">
        <f aca="false">IF(C179="","",SUM(AB179:AI179))</f>
        <v/>
      </c>
      <c r="AK179" s="24" t="str">
        <f aca="false">IF(C179="","",IF(AJ179&gt;=14,"A",IF(AJ179&gt;=10,"B","C")))</f>
        <v/>
      </c>
      <c r="AL179" s="39" t="str">
        <f aca="false">IFERROR(IF(OR(Y179="",Z179="",AA179=""),"",IF(F179="Short",IF(Z179&lt;=Y179,"",(Y179-AA179)/(Z179-Y179)),IF(Y179&lt;=Z179,"",(AA179-Y179)/(Y179-Z179)))),"")</f>
        <v/>
      </c>
      <c r="AM179" s="37" t="str">
        <f aca="false">IF(OR(Y179="",Z179="",N(Y179)=N(Z179)),"",IF(OR(AND(F179="Short",Z179&lt;Y179),AND(NOT(F179="Short"),Z179&gt;Y179)),"stop on wrong side",ABS(Y179-Z179)))</f>
        <v/>
      </c>
      <c r="AN179" s="40" t="str">
        <f aca="false">IFERROR(IF(OR(NOT(ISNUMBER(AM179)),$C$6=""),"",ROUNDDOWN($C$6*$C$7/AM179,2)),"")</f>
        <v/>
      </c>
      <c r="AO179" s="37" t="str">
        <f aca="false">IFERROR(IF(AN179="","",AN179*Y179),"")</f>
        <v/>
      </c>
      <c r="AP179" s="35"/>
      <c r="AQ179" s="19"/>
      <c r="AR179" s="26"/>
      <c r="AS179" s="41" t="str">
        <f aca="false">IFERROR(IF(OR(AR179="",Y179="",AQ179=""),"",IF(F179="Short",1-AR179/Y179,AR179/Y179-1)),"")</f>
        <v/>
      </c>
      <c r="AT179" s="42" t="str">
        <f aca="true">IF(AQ179="","",IF(ISNUMBER($C$4),$C$4,TODAY())-AQ179)</f>
        <v/>
      </c>
      <c r="AU179" s="14" t="str">
        <f aca="false">IF(C179="","",IF(AP179="Open position",IF(IF(F179="Short",AND(ISNUMBER(AR179),ISNUMBER(Z179),AR179&gt;=Z179),AND(ISNUMBER(AR179),ISNUMBER(Z179),AR179&lt;=Z179)),IF(F179="Short","COVER — stop hit (buy back)","SELL — stop hit"),IF(IF(F179="Short",AND(ISNUMBER(AR179),ISNUMBER(AA179),AR179&lt;=AA179),AND(ISNUMBER(AR179),ISNUMBER(AA179),AR179&gt;=AA179)),"TAKE PROFIT — target hit",IF(AND(ISNUMBER(AT179),AT179&gt;182),IF(F179="Short","COVER — 6-month time limit","SELL — 6-month time limit"),IF(AND(ISNUMBER(AT179),AT179&gt;42,ISNUMBER(AS179),AS179&lt;0.02),"REVIEW — no progress after 6 weeks",IF(IF(F179="Short",AND(L179&lt;&gt;"",N(L179)&gt;0),AND(L179&lt;&gt;"",N(L179)&lt;0)),IF(F179="Short","REVIEW — back above 50-day avg","REVIEW — below 50-day avg"),"HOLD"))))),IF(OR(AP179="Closed",AP179="Dropped"),"Closed",IF(AK179="A",IF(F179="Short","Run Technical Review — SHORT entry","Run Technical Review — LONG entry"),IF(AK179="B","Watch — wait for setup","Drop or re-check next week")))))</f>
        <v/>
      </c>
      <c r="AV179" s="35"/>
      <c r="AX179" s="43" t="str">
        <f aca="false">IF(AND(C179&lt;&gt;"",A179=$C$4,ISNUMBER(AJ179)),AJ179+ROW()/100000,"")</f>
        <v/>
      </c>
    </row>
    <row r="180" customFormat="false" ht="15" hidden="false" customHeight="false" outlineLevel="0" collapsed="false">
      <c r="A180" s="19"/>
      <c r="B180" s="35"/>
      <c r="C180" s="35"/>
      <c r="D180" s="35"/>
      <c r="E180" s="35"/>
      <c r="F180" s="35"/>
      <c r="G180" s="26"/>
      <c r="H180" s="26"/>
      <c r="I180" s="36"/>
      <c r="J180" s="37" t="str">
        <f aca="false">IF(OR(G180="",I180=""),"",G180*I180/1000000)</f>
        <v/>
      </c>
      <c r="K180" s="21"/>
      <c r="L180" s="21"/>
      <c r="M180" s="21"/>
      <c r="N180" s="25"/>
      <c r="O180" s="21"/>
      <c r="P180" s="21"/>
      <c r="Q180" s="21"/>
      <c r="R180" s="21"/>
      <c r="S180" s="38"/>
      <c r="T180" s="21"/>
      <c r="U180" s="21"/>
      <c r="V180" s="19"/>
      <c r="W180" s="26"/>
      <c r="X180" s="35"/>
      <c r="Y180" s="26"/>
      <c r="Z180" s="26"/>
      <c r="AA180" s="26"/>
      <c r="AB180" s="16" t="str">
        <f aca="false">IF(C180="","",IF(F180="Short",(AND(M180&lt;&gt;"",N(M180)&lt;0))+(AND(L180&lt;&gt;"",N(L180)&lt;0))+(AND(K180&lt;&gt;"",N(K180)&lt;0))+AND(L180&lt;&gt;"",M180&lt;&gt;"",N(M180)&lt;N(L180)),(N(M180)&gt;0)+(N(L180)&gt;0)+(N(K180)&gt;0)+AND(L180&lt;&gt;"",M180&lt;&gt;"",N(M180)&gt;N(L180))))</f>
        <v/>
      </c>
      <c r="AC180" s="16" t="str">
        <f aca="false">IF(C180="","",IF(F180="Short",IF(N180="",0,IF(AND(N180&gt;=30,N180&lt;=50),2,IF(OR(AND(N180&gt;=25,N180&lt;30),AND(N180&gt;50,N180&lt;=60)),1,0)))+IF(P180="",0,IF(AND(IF(B180="JSE",$L$5,$L$4)&lt;&gt;"",P180&lt;IF(B180="JSE",$L$5,$L$4)),2,IF(P180&lt;0,1,0))),IF(N180="",0,IF(AND(N180&gt;=50,N180&lt;=70),2,IF(OR(AND(N180&gt;=40,N180&lt;50),AND(N180&gt;70,N180&lt;=75)),1,0)))+IF(P180="",0,IF(AND(IF(B180="JSE",$L$5,$L$4)&lt;&gt;"",P180&gt;IF(B180="JSE",$L$5,$L$4)),2,IF(P180&gt;0,1,0)))))</f>
        <v/>
      </c>
      <c r="AD180" s="16" t="str">
        <f aca="false">IF(C180="","",IF(F180="Short",IF(R180="",0,IF(R180&lt;=0.1,2,IF(R180&lt;=0.25,1,0))),IF(Q180="",0,IF(Q180&gt;=-0.1,2,IF(Q180&gt;=-0.25,1,0)))))</f>
        <v/>
      </c>
      <c r="AE180" s="16" t="str">
        <f aca="false">IF(C180="","",IF(J180="",0,IF(J180&gt;=IF(B180="JSE",$L$7,$L$6),2,IF(J180&gt;=IF(B180="JSE",$L$7,$L$6)/4,1,0))))</f>
        <v/>
      </c>
      <c r="AF180" s="16" t="str">
        <f aca="false">IF(C180="","",IF(F180="Short",AND(T180&lt;&gt;"",N(T180)&lt;0),N(T180)&gt;0)+(N(S180)&gt;=1.5))</f>
        <v/>
      </c>
      <c r="AG180" s="16" t="str">
        <f aca="false">IF(C180="","",IF(AL180="",0,IF(AL180&gt;=3,4,IF(AL180&gt;=2,2,0))))</f>
        <v/>
      </c>
      <c r="AH180" s="16" t="str">
        <f aca="false">IF(C180="","",IF(AND(ISNUMBER(V180),ISNUMBER(A180),V180&gt;=A180,V180-A180&lt;=14),-2,0))</f>
        <v/>
      </c>
      <c r="AI180" s="16" t="str">
        <f aca="false">IF(C180="","",IF(AND(F180="Short",N(U180)&gt;=0.2),-1,0))</f>
        <v/>
      </c>
      <c r="AJ180" s="23" t="str">
        <f aca="false">IF(C180="","",SUM(AB180:AI180))</f>
        <v/>
      </c>
      <c r="AK180" s="24" t="str">
        <f aca="false">IF(C180="","",IF(AJ180&gt;=14,"A",IF(AJ180&gt;=10,"B","C")))</f>
        <v/>
      </c>
      <c r="AL180" s="39" t="str">
        <f aca="false">IFERROR(IF(OR(Y180="",Z180="",AA180=""),"",IF(F180="Short",IF(Z180&lt;=Y180,"",(Y180-AA180)/(Z180-Y180)),IF(Y180&lt;=Z180,"",(AA180-Y180)/(Y180-Z180)))),"")</f>
        <v/>
      </c>
      <c r="AM180" s="37" t="str">
        <f aca="false">IF(OR(Y180="",Z180="",N(Y180)=N(Z180)),"",IF(OR(AND(F180="Short",Z180&lt;Y180),AND(NOT(F180="Short"),Z180&gt;Y180)),"stop on wrong side",ABS(Y180-Z180)))</f>
        <v/>
      </c>
      <c r="AN180" s="40" t="str">
        <f aca="false">IFERROR(IF(OR(NOT(ISNUMBER(AM180)),$C$6=""),"",ROUNDDOWN($C$6*$C$7/AM180,2)),"")</f>
        <v/>
      </c>
      <c r="AO180" s="37" t="str">
        <f aca="false">IFERROR(IF(AN180="","",AN180*Y180),"")</f>
        <v/>
      </c>
      <c r="AP180" s="35"/>
      <c r="AQ180" s="19"/>
      <c r="AR180" s="26"/>
      <c r="AS180" s="41" t="str">
        <f aca="false">IFERROR(IF(OR(AR180="",Y180="",AQ180=""),"",IF(F180="Short",1-AR180/Y180,AR180/Y180-1)),"")</f>
        <v/>
      </c>
      <c r="AT180" s="42" t="str">
        <f aca="true">IF(AQ180="","",IF(ISNUMBER($C$4),$C$4,TODAY())-AQ180)</f>
        <v/>
      </c>
      <c r="AU180" s="14" t="str">
        <f aca="false">IF(C180="","",IF(AP180="Open position",IF(IF(F180="Short",AND(ISNUMBER(AR180),ISNUMBER(Z180),AR180&gt;=Z180),AND(ISNUMBER(AR180),ISNUMBER(Z180),AR180&lt;=Z180)),IF(F180="Short","COVER — stop hit (buy back)","SELL — stop hit"),IF(IF(F180="Short",AND(ISNUMBER(AR180),ISNUMBER(AA180),AR180&lt;=AA180),AND(ISNUMBER(AR180),ISNUMBER(AA180),AR180&gt;=AA180)),"TAKE PROFIT — target hit",IF(AND(ISNUMBER(AT180),AT180&gt;182),IF(F180="Short","COVER — 6-month time limit","SELL — 6-month time limit"),IF(AND(ISNUMBER(AT180),AT180&gt;42,ISNUMBER(AS180),AS180&lt;0.02),"REVIEW — no progress after 6 weeks",IF(IF(F180="Short",AND(L180&lt;&gt;"",N(L180)&gt;0),AND(L180&lt;&gt;"",N(L180)&lt;0)),IF(F180="Short","REVIEW — back above 50-day avg","REVIEW — below 50-day avg"),"HOLD"))))),IF(OR(AP180="Closed",AP180="Dropped"),"Closed",IF(AK180="A",IF(F180="Short","Run Technical Review — SHORT entry","Run Technical Review — LONG entry"),IF(AK180="B","Watch — wait for setup","Drop or re-check next week")))))</f>
        <v/>
      </c>
      <c r="AV180" s="35"/>
      <c r="AX180" s="43" t="str">
        <f aca="false">IF(AND(C180&lt;&gt;"",A180=$C$4,ISNUMBER(AJ180)),AJ180+ROW()/100000,"")</f>
        <v/>
      </c>
    </row>
    <row r="181" customFormat="false" ht="15" hidden="false" customHeight="false" outlineLevel="0" collapsed="false">
      <c r="A181" s="19"/>
      <c r="B181" s="35"/>
      <c r="C181" s="35"/>
      <c r="D181" s="35"/>
      <c r="E181" s="35"/>
      <c r="F181" s="35"/>
      <c r="G181" s="26"/>
      <c r="H181" s="26"/>
      <c r="I181" s="36"/>
      <c r="J181" s="37" t="str">
        <f aca="false">IF(OR(G181="",I181=""),"",G181*I181/1000000)</f>
        <v/>
      </c>
      <c r="K181" s="21"/>
      <c r="L181" s="21"/>
      <c r="M181" s="21"/>
      <c r="N181" s="25"/>
      <c r="O181" s="21"/>
      <c r="P181" s="21"/>
      <c r="Q181" s="21"/>
      <c r="R181" s="21"/>
      <c r="S181" s="38"/>
      <c r="T181" s="21"/>
      <c r="U181" s="21"/>
      <c r="V181" s="19"/>
      <c r="W181" s="26"/>
      <c r="X181" s="35"/>
      <c r="Y181" s="26"/>
      <c r="Z181" s="26"/>
      <c r="AA181" s="26"/>
      <c r="AB181" s="16" t="str">
        <f aca="false">IF(C181="","",IF(F181="Short",(AND(M181&lt;&gt;"",N(M181)&lt;0))+(AND(L181&lt;&gt;"",N(L181)&lt;0))+(AND(K181&lt;&gt;"",N(K181)&lt;0))+AND(L181&lt;&gt;"",M181&lt;&gt;"",N(M181)&lt;N(L181)),(N(M181)&gt;0)+(N(L181)&gt;0)+(N(K181)&gt;0)+AND(L181&lt;&gt;"",M181&lt;&gt;"",N(M181)&gt;N(L181))))</f>
        <v/>
      </c>
      <c r="AC181" s="16" t="str">
        <f aca="false">IF(C181="","",IF(F181="Short",IF(N181="",0,IF(AND(N181&gt;=30,N181&lt;=50),2,IF(OR(AND(N181&gt;=25,N181&lt;30),AND(N181&gt;50,N181&lt;=60)),1,0)))+IF(P181="",0,IF(AND(IF(B181="JSE",$L$5,$L$4)&lt;&gt;"",P181&lt;IF(B181="JSE",$L$5,$L$4)),2,IF(P181&lt;0,1,0))),IF(N181="",0,IF(AND(N181&gt;=50,N181&lt;=70),2,IF(OR(AND(N181&gt;=40,N181&lt;50),AND(N181&gt;70,N181&lt;=75)),1,0)))+IF(P181="",0,IF(AND(IF(B181="JSE",$L$5,$L$4)&lt;&gt;"",P181&gt;IF(B181="JSE",$L$5,$L$4)),2,IF(P181&gt;0,1,0)))))</f>
        <v/>
      </c>
      <c r="AD181" s="16" t="str">
        <f aca="false">IF(C181="","",IF(F181="Short",IF(R181="",0,IF(R181&lt;=0.1,2,IF(R181&lt;=0.25,1,0))),IF(Q181="",0,IF(Q181&gt;=-0.1,2,IF(Q181&gt;=-0.25,1,0)))))</f>
        <v/>
      </c>
      <c r="AE181" s="16" t="str">
        <f aca="false">IF(C181="","",IF(J181="",0,IF(J181&gt;=IF(B181="JSE",$L$7,$L$6),2,IF(J181&gt;=IF(B181="JSE",$L$7,$L$6)/4,1,0))))</f>
        <v/>
      </c>
      <c r="AF181" s="16" t="str">
        <f aca="false">IF(C181="","",IF(F181="Short",AND(T181&lt;&gt;"",N(T181)&lt;0),N(T181)&gt;0)+(N(S181)&gt;=1.5))</f>
        <v/>
      </c>
      <c r="AG181" s="16" t="str">
        <f aca="false">IF(C181="","",IF(AL181="",0,IF(AL181&gt;=3,4,IF(AL181&gt;=2,2,0))))</f>
        <v/>
      </c>
      <c r="AH181" s="16" t="str">
        <f aca="false">IF(C181="","",IF(AND(ISNUMBER(V181),ISNUMBER(A181),V181&gt;=A181,V181-A181&lt;=14),-2,0))</f>
        <v/>
      </c>
      <c r="AI181" s="16" t="str">
        <f aca="false">IF(C181="","",IF(AND(F181="Short",N(U181)&gt;=0.2),-1,0))</f>
        <v/>
      </c>
      <c r="AJ181" s="23" t="str">
        <f aca="false">IF(C181="","",SUM(AB181:AI181))</f>
        <v/>
      </c>
      <c r="AK181" s="24" t="str">
        <f aca="false">IF(C181="","",IF(AJ181&gt;=14,"A",IF(AJ181&gt;=10,"B","C")))</f>
        <v/>
      </c>
      <c r="AL181" s="39" t="str">
        <f aca="false">IFERROR(IF(OR(Y181="",Z181="",AA181=""),"",IF(F181="Short",IF(Z181&lt;=Y181,"",(Y181-AA181)/(Z181-Y181)),IF(Y181&lt;=Z181,"",(AA181-Y181)/(Y181-Z181)))),"")</f>
        <v/>
      </c>
      <c r="AM181" s="37" t="str">
        <f aca="false">IF(OR(Y181="",Z181="",N(Y181)=N(Z181)),"",IF(OR(AND(F181="Short",Z181&lt;Y181),AND(NOT(F181="Short"),Z181&gt;Y181)),"stop on wrong side",ABS(Y181-Z181)))</f>
        <v/>
      </c>
      <c r="AN181" s="40" t="str">
        <f aca="false">IFERROR(IF(OR(NOT(ISNUMBER(AM181)),$C$6=""),"",ROUNDDOWN($C$6*$C$7/AM181,2)),"")</f>
        <v/>
      </c>
      <c r="AO181" s="37" t="str">
        <f aca="false">IFERROR(IF(AN181="","",AN181*Y181),"")</f>
        <v/>
      </c>
      <c r="AP181" s="35"/>
      <c r="AQ181" s="19"/>
      <c r="AR181" s="26"/>
      <c r="AS181" s="41" t="str">
        <f aca="false">IFERROR(IF(OR(AR181="",Y181="",AQ181=""),"",IF(F181="Short",1-AR181/Y181,AR181/Y181-1)),"")</f>
        <v/>
      </c>
      <c r="AT181" s="42" t="str">
        <f aca="true">IF(AQ181="","",IF(ISNUMBER($C$4),$C$4,TODAY())-AQ181)</f>
        <v/>
      </c>
      <c r="AU181" s="14" t="str">
        <f aca="false">IF(C181="","",IF(AP181="Open position",IF(IF(F181="Short",AND(ISNUMBER(AR181),ISNUMBER(Z181),AR181&gt;=Z181),AND(ISNUMBER(AR181),ISNUMBER(Z181),AR181&lt;=Z181)),IF(F181="Short","COVER — stop hit (buy back)","SELL — stop hit"),IF(IF(F181="Short",AND(ISNUMBER(AR181),ISNUMBER(AA181),AR181&lt;=AA181),AND(ISNUMBER(AR181),ISNUMBER(AA181),AR181&gt;=AA181)),"TAKE PROFIT — target hit",IF(AND(ISNUMBER(AT181),AT181&gt;182),IF(F181="Short","COVER — 6-month time limit","SELL — 6-month time limit"),IF(AND(ISNUMBER(AT181),AT181&gt;42,ISNUMBER(AS181),AS181&lt;0.02),"REVIEW — no progress after 6 weeks",IF(IF(F181="Short",AND(L181&lt;&gt;"",N(L181)&gt;0),AND(L181&lt;&gt;"",N(L181)&lt;0)),IF(F181="Short","REVIEW — back above 50-day avg","REVIEW — below 50-day avg"),"HOLD"))))),IF(OR(AP181="Closed",AP181="Dropped"),"Closed",IF(AK181="A",IF(F181="Short","Run Technical Review — SHORT entry","Run Technical Review — LONG entry"),IF(AK181="B","Watch — wait for setup","Drop or re-check next week")))))</f>
        <v/>
      </c>
      <c r="AV181" s="35"/>
      <c r="AX181" s="43" t="str">
        <f aca="false">IF(AND(C181&lt;&gt;"",A181=$C$4,ISNUMBER(AJ181)),AJ181+ROW()/100000,"")</f>
        <v/>
      </c>
    </row>
    <row r="182" customFormat="false" ht="15" hidden="false" customHeight="false" outlineLevel="0" collapsed="false">
      <c r="A182" s="19"/>
      <c r="B182" s="35"/>
      <c r="C182" s="35"/>
      <c r="D182" s="35"/>
      <c r="E182" s="35"/>
      <c r="F182" s="35"/>
      <c r="G182" s="26"/>
      <c r="H182" s="26"/>
      <c r="I182" s="36"/>
      <c r="J182" s="37" t="str">
        <f aca="false">IF(OR(G182="",I182=""),"",G182*I182/1000000)</f>
        <v/>
      </c>
      <c r="K182" s="21"/>
      <c r="L182" s="21"/>
      <c r="M182" s="21"/>
      <c r="N182" s="25"/>
      <c r="O182" s="21"/>
      <c r="P182" s="21"/>
      <c r="Q182" s="21"/>
      <c r="R182" s="21"/>
      <c r="S182" s="38"/>
      <c r="T182" s="21"/>
      <c r="U182" s="21"/>
      <c r="V182" s="19"/>
      <c r="W182" s="26"/>
      <c r="X182" s="35"/>
      <c r="Y182" s="26"/>
      <c r="Z182" s="26"/>
      <c r="AA182" s="26"/>
      <c r="AB182" s="16" t="str">
        <f aca="false">IF(C182="","",IF(F182="Short",(AND(M182&lt;&gt;"",N(M182)&lt;0))+(AND(L182&lt;&gt;"",N(L182)&lt;0))+(AND(K182&lt;&gt;"",N(K182)&lt;0))+AND(L182&lt;&gt;"",M182&lt;&gt;"",N(M182)&lt;N(L182)),(N(M182)&gt;0)+(N(L182)&gt;0)+(N(K182)&gt;0)+AND(L182&lt;&gt;"",M182&lt;&gt;"",N(M182)&gt;N(L182))))</f>
        <v/>
      </c>
      <c r="AC182" s="16" t="str">
        <f aca="false">IF(C182="","",IF(F182="Short",IF(N182="",0,IF(AND(N182&gt;=30,N182&lt;=50),2,IF(OR(AND(N182&gt;=25,N182&lt;30),AND(N182&gt;50,N182&lt;=60)),1,0)))+IF(P182="",0,IF(AND(IF(B182="JSE",$L$5,$L$4)&lt;&gt;"",P182&lt;IF(B182="JSE",$L$5,$L$4)),2,IF(P182&lt;0,1,0))),IF(N182="",0,IF(AND(N182&gt;=50,N182&lt;=70),2,IF(OR(AND(N182&gt;=40,N182&lt;50),AND(N182&gt;70,N182&lt;=75)),1,0)))+IF(P182="",0,IF(AND(IF(B182="JSE",$L$5,$L$4)&lt;&gt;"",P182&gt;IF(B182="JSE",$L$5,$L$4)),2,IF(P182&gt;0,1,0)))))</f>
        <v/>
      </c>
      <c r="AD182" s="16" t="str">
        <f aca="false">IF(C182="","",IF(F182="Short",IF(R182="",0,IF(R182&lt;=0.1,2,IF(R182&lt;=0.25,1,0))),IF(Q182="",0,IF(Q182&gt;=-0.1,2,IF(Q182&gt;=-0.25,1,0)))))</f>
        <v/>
      </c>
      <c r="AE182" s="16" t="str">
        <f aca="false">IF(C182="","",IF(J182="",0,IF(J182&gt;=IF(B182="JSE",$L$7,$L$6),2,IF(J182&gt;=IF(B182="JSE",$L$7,$L$6)/4,1,0))))</f>
        <v/>
      </c>
      <c r="AF182" s="16" t="str">
        <f aca="false">IF(C182="","",IF(F182="Short",AND(T182&lt;&gt;"",N(T182)&lt;0),N(T182)&gt;0)+(N(S182)&gt;=1.5))</f>
        <v/>
      </c>
      <c r="AG182" s="16" t="str">
        <f aca="false">IF(C182="","",IF(AL182="",0,IF(AL182&gt;=3,4,IF(AL182&gt;=2,2,0))))</f>
        <v/>
      </c>
      <c r="AH182" s="16" t="str">
        <f aca="false">IF(C182="","",IF(AND(ISNUMBER(V182),ISNUMBER(A182),V182&gt;=A182,V182-A182&lt;=14),-2,0))</f>
        <v/>
      </c>
      <c r="AI182" s="16" t="str">
        <f aca="false">IF(C182="","",IF(AND(F182="Short",N(U182)&gt;=0.2),-1,0))</f>
        <v/>
      </c>
      <c r="AJ182" s="23" t="str">
        <f aca="false">IF(C182="","",SUM(AB182:AI182))</f>
        <v/>
      </c>
      <c r="AK182" s="24" t="str">
        <f aca="false">IF(C182="","",IF(AJ182&gt;=14,"A",IF(AJ182&gt;=10,"B","C")))</f>
        <v/>
      </c>
      <c r="AL182" s="39" t="str">
        <f aca="false">IFERROR(IF(OR(Y182="",Z182="",AA182=""),"",IF(F182="Short",IF(Z182&lt;=Y182,"",(Y182-AA182)/(Z182-Y182)),IF(Y182&lt;=Z182,"",(AA182-Y182)/(Y182-Z182)))),"")</f>
        <v/>
      </c>
      <c r="AM182" s="37" t="str">
        <f aca="false">IF(OR(Y182="",Z182="",N(Y182)=N(Z182)),"",IF(OR(AND(F182="Short",Z182&lt;Y182),AND(NOT(F182="Short"),Z182&gt;Y182)),"stop on wrong side",ABS(Y182-Z182)))</f>
        <v/>
      </c>
      <c r="AN182" s="40" t="str">
        <f aca="false">IFERROR(IF(OR(NOT(ISNUMBER(AM182)),$C$6=""),"",ROUNDDOWN($C$6*$C$7/AM182,2)),"")</f>
        <v/>
      </c>
      <c r="AO182" s="37" t="str">
        <f aca="false">IFERROR(IF(AN182="","",AN182*Y182),"")</f>
        <v/>
      </c>
      <c r="AP182" s="35"/>
      <c r="AQ182" s="19"/>
      <c r="AR182" s="26"/>
      <c r="AS182" s="41" t="str">
        <f aca="false">IFERROR(IF(OR(AR182="",Y182="",AQ182=""),"",IF(F182="Short",1-AR182/Y182,AR182/Y182-1)),"")</f>
        <v/>
      </c>
      <c r="AT182" s="42" t="str">
        <f aca="true">IF(AQ182="","",IF(ISNUMBER($C$4),$C$4,TODAY())-AQ182)</f>
        <v/>
      </c>
      <c r="AU182" s="14" t="str">
        <f aca="false">IF(C182="","",IF(AP182="Open position",IF(IF(F182="Short",AND(ISNUMBER(AR182),ISNUMBER(Z182),AR182&gt;=Z182),AND(ISNUMBER(AR182),ISNUMBER(Z182),AR182&lt;=Z182)),IF(F182="Short","COVER — stop hit (buy back)","SELL — stop hit"),IF(IF(F182="Short",AND(ISNUMBER(AR182),ISNUMBER(AA182),AR182&lt;=AA182),AND(ISNUMBER(AR182),ISNUMBER(AA182),AR182&gt;=AA182)),"TAKE PROFIT — target hit",IF(AND(ISNUMBER(AT182),AT182&gt;182),IF(F182="Short","COVER — 6-month time limit","SELL — 6-month time limit"),IF(AND(ISNUMBER(AT182),AT182&gt;42,ISNUMBER(AS182),AS182&lt;0.02),"REVIEW — no progress after 6 weeks",IF(IF(F182="Short",AND(L182&lt;&gt;"",N(L182)&gt;0),AND(L182&lt;&gt;"",N(L182)&lt;0)),IF(F182="Short","REVIEW — back above 50-day avg","REVIEW — below 50-day avg"),"HOLD"))))),IF(OR(AP182="Closed",AP182="Dropped"),"Closed",IF(AK182="A",IF(F182="Short","Run Technical Review — SHORT entry","Run Technical Review — LONG entry"),IF(AK182="B","Watch — wait for setup","Drop or re-check next week")))))</f>
        <v/>
      </c>
      <c r="AV182" s="35"/>
      <c r="AX182" s="43" t="str">
        <f aca="false">IF(AND(C182&lt;&gt;"",A182=$C$4,ISNUMBER(AJ182)),AJ182+ROW()/100000,"")</f>
        <v/>
      </c>
    </row>
    <row r="183" customFormat="false" ht="15" hidden="false" customHeight="false" outlineLevel="0" collapsed="false">
      <c r="A183" s="19"/>
      <c r="B183" s="35"/>
      <c r="C183" s="35"/>
      <c r="D183" s="35"/>
      <c r="E183" s="35"/>
      <c r="F183" s="35"/>
      <c r="G183" s="26"/>
      <c r="H183" s="26"/>
      <c r="I183" s="36"/>
      <c r="J183" s="37" t="str">
        <f aca="false">IF(OR(G183="",I183=""),"",G183*I183/1000000)</f>
        <v/>
      </c>
      <c r="K183" s="21"/>
      <c r="L183" s="21"/>
      <c r="M183" s="21"/>
      <c r="N183" s="25"/>
      <c r="O183" s="21"/>
      <c r="P183" s="21"/>
      <c r="Q183" s="21"/>
      <c r="R183" s="21"/>
      <c r="S183" s="38"/>
      <c r="T183" s="21"/>
      <c r="U183" s="21"/>
      <c r="V183" s="19"/>
      <c r="W183" s="26"/>
      <c r="X183" s="35"/>
      <c r="Y183" s="26"/>
      <c r="Z183" s="26"/>
      <c r="AA183" s="26"/>
      <c r="AB183" s="16" t="str">
        <f aca="false">IF(C183="","",IF(F183="Short",(AND(M183&lt;&gt;"",N(M183)&lt;0))+(AND(L183&lt;&gt;"",N(L183)&lt;0))+(AND(K183&lt;&gt;"",N(K183)&lt;0))+AND(L183&lt;&gt;"",M183&lt;&gt;"",N(M183)&lt;N(L183)),(N(M183)&gt;0)+(N(L183)&gt;0)+(N(K183)&gt;0)+AND(L183&lt;&gt;"",M183&lt;&gt;"",N(M183)&gt;N(L183))))</f>
        <v/>
      </c>
      <c r="AC183" s="16" t="str">
        <f aca="false">IF(C183="","",IF(F183="Short",IF(N183="",0,IF(AND(N183&gt;=30,N183&lt;=50),2,IF(OR(AND(N183&gt;=25,N183&lt;30),AND(N183&gt;50,N183&lt;=60)),1,0)))+IF(P183="",0,IF(AND(IF(B183="JSE",$L$5,$L$4)&lt;&gt;"",P183&lt;IF(B183="JSE",$L$5,$L$4)),2,IF(P183&lt;0,1,0))),IF(N183="",0,IF(AND(N183&gt;=50,N183&lt;=70),2,IF(OR(AND(N183&gt;=40,N183&lt;50),AND(N183&gt;70,N183&lt;=75)),1,0)))+IF(P183="",0,IF(AND(IF(B183="JSE",$L$5,$L$4)&lt;&gt;"",P183&gt;IF(B183="JSE",$L$5,$L$4)),2,IF(P183&gt;0,1,0)))))</f>
        <v/>
      </c>
      <c r="AD183" s="16" t="str">
        <f aca="false">IF(C183="","",IF(F183="Short",IF(R183="",0,IF(R183&lt;=0.1,2,IF(R183&lt;=0.25,1,0))),IF(Q183="",0,IF(Q183&gt;=-0.1,2,IF(Q183&gt;=-0.25,1,0)))))</f>
        <v/>
      </c>
      <c r="AE183" s="16" t="str">
        <f aca="false">IF(C183="","",IF(J183="",0,IF(J183&gt;=IF(B183="JSE",$L$7,$L$6),2,IF(J183&gt;=IF(B183="JSE",$L$7,$L$6)/4,1,0))))</f>
        <v/>
      </c>
      <c r="AF183" s="16" t="str">
        <f aca="false">IF(C183="","",IF(F183="Short",AND(T183&lt;&gt;"",N(T183)&lt;0),N(T183)&gt;0)+(N(S183)&gt;=1.5))</f>
        <v/>
      </c>
      <c r="AG183" s="16" t="str">
        <f aca="false">IF(C183="","",IF(AL183="",0,IF(AL183&gt;=3,4,IF(AL183&gt;=2,2,0))))</f>
        <v/>
      </c>
      <c r="AH183" s="16" t="str">
        <f aca="false">IF(C183="","",IF(AND(ISNUMBER(V183),ISNUMBER(A183),V183&gt;=A183,V183-A183&lt;=14),-2,0))</f>
        <v/>
      </c>
      <c r="AI183" s="16" t="str">
        <f aca="false">IF(C183="","",IF(AND(F183="Short",N(U183)&gt;=0.2),-1,0))</f>
        <v/>
      </c>
      <c r="AJ183" s="23" t="str">
        <f aca="false">IF(C183="","",SUM(AB183:AI183))</f>
        <v/>
      </c>
      <c r="AK183" s="24" t="str">
        <f aca="false">IF(C183="","",IF(AJ183&gt;=14,"A",IF(AJ183&gt;=10,"B","C")))</f>
        <v/>
      </c>
      <c r="AL183" s="39" t="str">
        <f aca="false">IFERROR(IF(OR(Y183="",Z183="",AA183=""),"",IF(F183="Short",IF(Z183&lt;=Y183,"",(Y183-AA183)/(Z183-Y183)),IF(Y183&lt;=Z183,"",(AA183-Y183)/(Y183-Z183)))),"")</f>
        <v/>
      </c>
      <c r="AM183" s="37" t="str">
        <f aca="false">IF(OR(Y183="",Z183="",N(Y183)=N(Z183)),"",IF(OR(AND(F183="Short",Z183&lt;Y183),AND(NOT(F183="Short"),Z183&gt;Y183)),"stop on wrong side",ABS(Y183-Z183)))</f>
        <v/>
      </c>
      <c r="AN183" s="40" t="str">
        <f aca="false">IFERROR(IF(OR(NOT(ISNUMBER(AM183)),$C$6=""),"",ROUNDDOWN($C$6*$C$7/AM183,2)),"")</f>
        <v/>
      </c>
      <c r="AO183" s="37" t="str">
        <f aca="false">IFERROR(IF(AN183="","",AN183*Y183),"")</f>
        <v/>
      </c>
      <c r="AP183" s="35"/>
      <c r="AQ183" s="19"/>
      <c r="AR183" s="26"/>
      <c r="AS183" s="41" t="str">
        <f aca="false">IFERROR(IF(OR(AR183="",Y183="",AQ183=""),"",IF(F183="Short",1-AR183/Y183,AR183/Y183-1)),"")</f>
        <v/>
      </c>
      <c r="AT183" s="42" t="str">
        <f aca="true">IF(AQ183="","",IF(ISNUMBER($C$4),$C$4,TODAY())-AQ183)</f>
        <v/>
      </c>
      <c r="AU183" s="14" t="str">
        <f aca="false">IF(C183="","",IF(AP183="Open position",IF(IF(F183="Short",AND(ISNUMBER(AR183),ISNUMBER(Z183),AR183&gt;=Z183),AND(ISNUMBER(AR183),ISNUMBER(Z183),AR183&lt;=Z183)),IF(F183="Short","COVER — stop hit (buy back)","SELL — stop hit"),IF(IF(F183="Short",AND(ISNUMBER(AR183),ISNUMBER(AA183),AR183&lt;=AA183),AND(ISNUMBER(AR183),ISNUMBER(AA183),AR183&gt;=AA183)),"TAKE PROFIT — target hit",IF(AND(ISNUMBER(AT183),AT183&gt;182),IF(F183="Short","COVER — 6-month time limit","SELL — 6-month time limit"),IF(AND(ISNUMBER(AT183),AT183&gt;42,ISNUMBER(AS183),AS183&lt;0.02),"REVIEW — no progress after 6 weeks",IF(IF(F183="Short",AND(L183&lt;&gt;"",N(L183)&gt;0),AND(L183&lt;&gt;"",N(L183)&lt;0)),IF(F183="Short","REVIEW — back above 50-day avg","REVIEW — below 50-day avg"),"HOLD"))))),IF(OR(AP183="Closed",AP183="Dropped"),"Closed",IF(AK183="A",IF(F183="Short","Run Technical Review — SHORT entry","Run Technical Review — LONG entry"),IF(AK183="B","Watch — wait for setup","Drop or re-check next week")))))</f>
        <v/>
      </c>
      <c r="AV183" s="35"/>
      <c r="AX183" s="43" t="str">
        <f aca="false">IF(AND(C183&lt;&gt;"",A183=$C$4,ISNUMBER(AJ183)),AJ183+ROW()/100000,"")</f>
        <v/>
      </c>
    </row>
    <row r="184" customFormat="false" ht="15" hidden="false" customHeight="false" outlineLevel="0" collapsed="false">
      <c r="A184" s="19"/>
      <c r="B184" s="35"/>
      <c r="C184" s="35"/>
      <c r="D184" s="35"/>
      <c r="E184" s="35"/>
      <c r="F184" s="35"/>
      <c r="G184" s="26"/>
      <c r="H184" s="26"/>
      <c r="I184" s="36"/>
      <c r="J184" s="37" t="str">
        <f aca="false">IF(OR(G184="",I184=""),"",G184*I184/1000000)</f>
        <v/>
      </c>
      <c r="K184" s="21"/>
      <c r="L184" s="21"/>
      <c r="M184" s="21"/>
      <c r="N184" s="25"/>
      <c r="O184" s="21"/>
      <c r="P184" s="21"/>
      <c r="Q184" s="21"/>
      <c r="R184" s="21"/>
      <c r="S184" s="38"/>
      <c r="T184" s="21"/>
      <c r="U184" s="21"/>
      <c r="V184" s="19"/>
      <c r="W184" s="26"/>
      <c r="X184" s="35"/>
      <c r="Y184" s="26"/>
      <c r="Z184" s="26"/>
      <c r="AA184" s="26"/>
      <c r="AB184" s="16" t="str">
        <f aca="false">IF(C184="","",IF(F184="Short",(AND(M184&lt;&gt;"",N(M184)&lt;0))+(AND(L184&lt;&gt;"",N(L184)&lt;0))+(AND(K184&lt;&gt;"",N(K184)&lt;0))+AND(L184&lt;&gt;"",M184&lt;&gt;"",N(M184)&lt;N(L184)),(N(M184)&gt;0)+(N(L184)&gt;0)+(N(K184)&gt;0)+AND(L184&lt;&gt;"",M184&lt;&gt;"",N(M184)&gt;N(L184))))</f>
        <v/>
      </c>
      <c r="AC184" s="16" t="str">
        <f aca="false">IF(C184="","",IF(F184="Short",IF(N184="",0,IF(AND(N184&gt;=30,N184&lt;=50),2,IF(OR(AND(N184&gt;=25,N184&lt;30),AND(N184&gt;50,N184&lt;=60)),1,0)))+IF(P184="",0,IF(AND(IF(B184="JSE",$L$5,$L$4)&lt;&gt;"",P184&lt;IF(B184="JSE",$L$5,$L$4)),2,IF(P184&lt;0,1,0))),IF(N184="",0,IF(AND(N184&gt;=50,N184&lt;=70),2,IF(OR(AND(N184&gt;=40,N184&lt;50),AND(N184&gt;70,N184&lt;=75)),1,0)))+IF(P184="",0,IF(AND(IF(B184="JSE",$L$5,$L$4)&lt;&gt;"",P184&gt;IF(B184="JSE",$L$5,$L$4)),2,IF(P184&gt;0,1,0)))))</f>
        <v/>
      </c>
      <c r="AD184" s="16" t="str">
        <f aca="false">IF(C184="","",IF(F184="Short",IF(R184="",0,IF(R184&lt;=0.1,2,IF(R184&lt;=0.25,1,0))),IF(Q184="",0,IF(Q184&gt;=-0.1,2,IF(Q184&gt;=-0.25,1,0)))))</f>
        <v/>
      </c>
      <c r="AE184" s="16" t="str">
        <f aca="false">IF(C184="","",IF(J184="",0,IF(J184&gt;=IF(B184="JSE",$L$7,$L$6),2,IF(J184&gt;=IF(B184="JSE",$L$7,$L$6)/4,1,0))))</f>
        <v/>
      </c>
      <c r="AF184" s="16" t="str">
        <f aca="false">IF(C184="","",IF(F184="Short",AND(T184&lt;&gt;"",N(T184)&lt;0),N(T184)&gt;0)+(N(S184)&gt;=1.5))</f>
        <v/>
      </c>
      <c r="AG184" s="16" t="str">
        <f aca="false">IF(C184="","",IF(AL184="",0,IF(AL184&gt;=3,4,IF(AL184&gt;=2,2,0))))</f>
        <v/>
      </c>
      <c r="AH184" s="16" t="str">
        <f aca="false">IF(C184="","",IF(AND(ISNUMBER(V184),ISNUMBER(A184),V184&gt;=A184,V184-A184&lt;=14),-2,0))</f>
        <v/>
      </c>
      <c r="AI184" s="16" t="str">
        <f aca="false">IF(C184="","",IF(AND(F184="Short",N(U184)&gt;=0.2),-1,0))</f>
        <v/>
      </c>
      <c r="AJ184" s="23" t="str">
        <f aca="false">IF(C184="","",SUM(AB184:AI184))</f>
        <v/>
      </c>
      <c r="AK184" s="24" t="str">
        <f aca="false">IF(C184="","",IF(AJ184&gt;=14,"A",IF(AJ184&gt;=10,"B","C")))</f>
        <v/>
      </c>
      <c r="AL184" s="39" t="str">
        <f aca="false">IFERROR(IF(OR(Y184="",Z184="",AA184=""),"",IF(F184="Short",IF(Z184&lt;=Y184,"",(Y184-AA184)/(Z184-Y184)),IF(Y184&lt;=Z184,"",(AA184-Y184)/(Y184-Z184)))),"")</f>
        <v/>
      </c>
      <c r="AM184" s="37" t="str">
        <f aca="false">IF(OR(Y184="",Z184="",N(Y184)=N(Z184)),"",IF(OR(AND(F184="Short",Z184&lt;Y184),AND(NOT(F184="Short"),Z184&gt;Y184)),"stop on wrong side",ABS(Y184-Z184)))</f>
        <v/>
      </c>
      <c r="AN184" s="40" t="str">
        <f aca="false">IFERROR(IF(OR(NOT(ISNUMBER(AM184)),$C$6=""),"",ROUNDDOWN($C$6*$C$7/AM184,2)),"")</f>
        <v/>
      </c>
      <c r="AO184" s="37" t="str">
        <f aca="false">IFERROR(IF(AN184="","",AN184*Y184),"")</f>
        <v/>
      </c>
      <c r="AP184" s="35"/>
      <c r="AQ184" s="19"/>
      <c r="AR184" s="26"/>
      <c r="AS184" s="41" t="str">
        <f aca="false">IFERROR(IF(OR(AR184="",Y184="",AQ184=""),"",IF(F184="Short",1-AR184/Y184,AR184/Y184-1)),"")</f>
        <v/>
      </c>
      <c r="AT184" s="42" t="str">
        <f aca="true">IF(AQ184="","",IF(ISNUMBER($C$4),$C$4,TODAY())-AQ184)</f>
        <v/>
      </c>
      <c r="AU184" s="14" t="str">
        <f aca="false">IF(C184="","",IF(AP184="Open position",IF(IF(F184="Short",AND(ISNUMBER(AR184),ISNUMBER(Z184),AR184&gt;=Z184),AND(ISNUMBER(AR184),ISNUMBER(Z184),AR184&lt;=Z184)),IF(F184="Short","COVER — stop hit (buy back)","SELL — stop hit"),IF(IF(F184="Short",AND(ISNUMBER(AR184),ISNUMBER(AA184),AR184&lt;=AA184),AND(ISNUMBER(AR184),ISNUMBER(AA184),AR184&gt;=AA184)),"TAKE PROFIT — target hit",IF(AND(ISNUMBER(AT184),AT184&gt;182),IF(F184="Short","COVER — 6-month time limit","SELL — 6-month time limit"),IF(AND(ISNUMBER(AT184),AT184&gt;42,ISNUMBER(AS184),AS184&lt;0.02),"REVIEW — no progress after 6 weeks",IF(IF(F184="Short",AND(L184&lt;&gt;"",N(L184)&gt;0),AND(L184&lt;&gt;"",N(L184)&lt;0)),IF(F184="Short","REVIEW — back above 50-day avg","REVIEW — below 50-day avg"),"HOLD"))))),IF(OR(AP184="Closed",AP184="Dropped"),"Closed",IF(AK184="A",IF(F184="Short","Run Technical Review — SHORT entry","Run Technical Review — LONG entry"),IF(AK184="B","Watch — wait for setup","Drop or re-check next week")))))</f>
        <v/>
      </c>
      <c r="AV184" s="35"/>
      <c r="AX184" s="43" t="str">
        <f aca="false">IF(AND(C184&lt;&gt;"",A184=$C$4,ISNUMBER(AJ184)),AJ184+ROW()/100000,"")</f>
        <v/>
      </c>
    </row>
    <row r="185" customFormat="false" ht="15" hidden="false" customHeight="false" outlineLevel="0" collapsed="false">
      <c r="A185" s="19"/>
      <c r="B185" s="35"/>
      <c r="C185" s="35"/>
      <c r="D185" s="35"/>
      <c r="E185" s="35"/>
      <c r="F185" s="35"/>
      <c r="G185" s="26"/>
      <c r="H185" s="26"/>
      <c r="I185" s="36"/>
      <c r="J185" s="37" t="str">
        <f aca="false">IF(OR(G185="",I185=""),"",G185*I185/1000000)</f>
        <v/>
      </c>
      <c r="K185" s="21"/>
      <c r="L185" s="21"/>
      <c r="M185" s="21"/>
      <c r="N185" s="25"/>
      <c r="O185" s="21"/>
      <c r="P185" s="21"/>
      <c r="Q185" s="21"/>
      <c r="R185" s="21"/>
      <c r="S185" s="38"/>
      <c r="T185" s="21"/>
      <c r="U185" s="21"/>
      <c r="V185" s="19"/>
      <c r="W185" s="26"/>
      <c r="X185" s="35"/>
      <c r="Y185" s="26"/>
      <c r="Z185" s="26"/>
      <c r="AA185" s="26"/>
      <c r="AB185" s="16" t="str">
        <f aca="false">IF(C185="","",IF(F185="Short",(AND(M185&lt;&gt;"",N(M185)&lt;0))+(AND(L185&lt;&gt;"",N(L185)&lt;0))+(AND(K185&lt;&gt;"",N(K185)&lt;0))+AND(L185&lt;&gt;"",M185&lt;&gt;"",N(M185)&lt;N(L185)),(N(M185)&gt;0)+(N(L185)&gt;0)+(N(K185)&gt;0)+AND(L185&lt;&gt;"",M185&lt;&gt;"",N(M185)&gt;N(L185))))</f>
        <v/>
      </c>
      <c r="AC185" s="16" t="str">
        <f aca="false">IF(C185="","",IF(F185="Short",IF(N185="",0,IF(AND(N185&gt;=30,N185&lt;=50),2,IF(OR(AND(N185&gt;=25,N185&lt;30),AND(N185&gt;50,N185&lt;=60)),1,0)))+IF(P185="",0,IF(AND(IF(B185="JSE",$L$5,$L$4)&lt;&gt;"",P185&lt;IF(B185="JSE",$L$5,$L$4)),2,IF(P185&lt;0,1,0))),IF(N185="",0,IF(AND(N185&gt;=50,N185&lt;=70),2,IF(OR(AND(N185&gt;=40,N185&lt;50),AND(N185&gt;70,N185&lt;=75)),1,0)))+IF(P185="",0,IF(AND(IF(B185="JSE",$L$5,$L$4)&lt;&gt;"",P185&gt;IF(B185="JSE",$L$5,$L$4)),2,IF(P185&gt;0,1,0)))))</f>
        <v/>
      </c>
      <c r="AD185" s="16" t="str">
        <f aca="false">IF(C185="","",IF(F185="Short",IF(R185="",0,IF(R185&lt;=0.1,2,IF(R185&lt;=0.25,1,0))),IF(Q185="",0,IF(Q185&gt;=-0.1,2,IF(Q185&gt;=-0.25,1,0)))))</f>
        <v/>
      </c>
      <c r="AE185" s="16" t="str">
        <f aca="false">IF(C185="","",IF(J185="",0,IF(J185&gt;=IF(B185="JSE",$L$7,$L$6),2,IF(J185&gt;=IF(B185="JSE",$L$7,$L$6)/4,1,0))))</f>
        <v/>
      </c>
      <c r="AF185" s="16" t="str">
        <f aca="false">IF(C185="","",IF(F185="Short",AND(T185&lt;&gt;"",N(T185)&lt;0),N(T185)&gt;0)+(N(S185)&gt;=1.5))</f>
        <v/>
      </c>
      <c r="AG185" s="16" t="str">
        <f aca="false">IF(C185="","",IF(AL185="",0,IF(AL185&gt;=3,4,IF(AL185&gt;=2,2,0))))</f>
        <v/>
      </c>
      <c r="AH185" s="16" t="str">
        <f aca="false">IF(C185="","",IF(AND(ISNUMBER(V185),ISNUMBER(A185),V185&gt;=A185,V185-A185&lt;=14),-2,0))</f>
        <v/>
      </c>
      <c r="AI185" s="16" t="str">
        <f aca="false">IF(C185="","",IF(AND(F185="Short",N(U185)&gt;=0.2),-1,0))</f>
        <v/>
      </c>
      <c r="AJ185" s="23" t="str">
        <f aca="false">IF(C185="","",SUM(AB185:AI185))</f>
        <v/>
      </c>
      <c r="AK185" s="24" t="str">
        <f aca="false">IF(C185="","",IF(AJ185&gt;=14,"A",IF(AJ185&gt;=10,"B","C")))</f>
        <v/>
      </c>
      <c r="AL185" s="39" t="str">
        <f aca="false">IFERROR(IF(OR(Y185="",Z185="",AA185=""),"",IF(F185="Short",IF(Z185&lt;=Y185,"",(Y185-AA185)/(Z185-Y185)),IF(Y185&lt;=Z185,"",(AA185-Y185)/(Y185-Z185)))),"")</f>
        <v/>
      </c>
      <c r="AM185" s="37" t="str">
        <f aca="false">IF(OR(Y185="",Z185="",N(Y185)=N(Z185)),"",IF(OR(AND(F185="Short",Z185&lt;Y185),AND(NOT(F185="Short"),Z185&gt;Y185)),"stop on wrong side",ABS(Y185-Z185)))</f>
        <v/>
      </c>
      <c r="AN185" s="40" t="str">
        <f aca="false">IFERROR(IF(OR(NOT(ISNUMBER(AM185)),$C$6=""),"",ROUNDDOWN($C$6*$C$7/AM185,2)),"")</f>
        <v/>
      </c>
      <c r="AO185" s="37" t="str">
        <f aca="false">IFERROR(IF(AN185="","",AN185*Y185),"")</f>
        <v/>
      </c>
      <c r="AP185" s="35"/>
      <c r="AQ185" s="19"/>
      <c r="AR185" s="26"/>
      <c r="AS185" s="41" t="str">
        <f aca="false">IFERROR(IF(OR(AR185="",Y185="",AQ185=""),"",IF(F185="Short",1-AR185/Y185,AR185/Y185-1)),"")</f>
        <v/>
      </c>
      <c r="AT185" s="42" t="str">
        <f aca="true">IF(AQ185="","",IF(ISNUMBER($C$4),$C$4,TODAY())-AQ185)</f>
        <v/>
      </c>
      <c r="AU185" s="14" t="str">
        <f aca="false">IF(C185="","",IF(AP185="Open position",IF(IF(F185="Short",AND(ISNUMBER(AR185),ISNUMBER(Z185),AR185&gt;=Z185),AND(ISNUMBER(AR185),ISNUMBER(Z185),AR185&lt;=Z185)),IF(F185="Short","COVER — stop hit (buy back)","SELL — stop hit"),IF(IF(F185="Short",AND(ISNUMBER(AR185),ISNUMBER(AA185),AR185&lt;=AA185),AND(ISNUMBER(AR185),ISNUMBER(AA185),AR185&gt;=AA185)),"TAKE PROFIT — target hit",IF(AND(ISNUMBER(AT185),AT185&gt;182),IF(F185="Short","COVER — 6-month time limit","SELL — 6-month time limit"),IF(AND(ISNUMBER(AT185),AT185&gt;42,ISNUMBER(AS185),AS185&lt;0.02),"REVIEW — no progress after 6 weeks",IF(IF(F185="Short",AND(L185&lt;&gt;"",N(L185)&gt;0),AND(L185&lt;&gt;"",N(L185)&lt;0)),IF(F185="Short","REVIEW — back above 50-day avg","REVIEW — below 50-day avg"),"HOLD"))))),IF(OR(AP185="Closed",AP185="Dropped"),"Closed",IF(AK185="A",IF(F185="Short","Run Technical Review — SHORT entry","Run Technical Review — LONG entry"),IF(AK185="B","Watch — wait for setup","Drop or re-check next week")))))</f>
        <v/>
      </c>
      <c r="AV185" s="35"/>
      <c r="AX185" s="43" t="str">
        <f aca="false">IF(AND(C185&lt;&gt;"",A185=$C$4,ISNUMBER(AJ185)),AJ185+ROW()/100000,"")</f>
        <v/>
      </c>
    </row>
    <row r="186" customFormat="false" ht="15" hidden="false" customHeight="false" outlineLevel="0" collapsed="false">
      <c r="A186" s="19"/>
      <c r="B186" s="35"/>
      <c r="C186" s="35"/>
      <c r="D186" s="35"/>
      <c r="E186" s="35"/>
      <c r="F186" s="35"/>
      <c r="G186" s="26"/>
      <c r="H186" s="26"/>
      <c r="I186" s="36"/>
      <c r="J186" s="37" t="str">
        <f aca="false">IF(OR(G186="",I186=""),"",G186*I186/1000000)</f>
        <v/>
      </c>
      <c r="K186" s="21"/>
      <c r="L186" s="21"/>
      <c r="M186" s="21"/>
      <c r="N186" s="25"/>
      <c r="O186" s="21"/>
      <c r="P186" s="21"/>
      <c r="Q186" s="21"/>
      <c r="R186" s="21"/>
      <c r="S186" s="38"/>
      <c r="T186" s="21"/>
      <c r="U186" s="21"/>
      <c r="V186" s="19"/>
      <c r="W186" s="26"/>
      <c r="X186" s="35"/>
      <c r="Y186" s="26"/>
      <c r="Z186" s="26"/>
      <c r="AA186" s="26"/>
      <c r="AB186" s="16" t="str">
        <f aca="false">IF(C186="","",IF(F186="Short",(AND(M186&lt;&gt;"",N(M186)&lt;0))+(AND(L186&lt;&gt;"",N(L186)&lt;0))+(AND(K186&lt;&gt;"",N(K186)&lt;0))+AND(L186&lt;&gt;"",M186&lt;&gt;"",N(M186)&lt;N(L186)),(N(M186)&gt;0)+(N(L186)&gt;0)+(N(K186)&gt;0)+AND(L186&lt;&gt;"",M186&lt;&gt;"",N(M186)&gt;N(L186))))</f>
        <v/>
      </c>
      <c r="AC186" s="16" t="str">
        <f aca="false">IF(C186="","",IF(F186="Short",IF(N186="",0,IF(AND(N186&gt;=30,N186&lt;=50),2,IF(OR(AND(N186&gt;=25,N186&lt;30),AND(N186&gt;50,N186&lt;=60)),1,0)))+IF(P186="",0,IF(AND(IF(B186="JSE",$L$5,$L$4)&lt;&gt;"",P186&lt;IF(B186="JSE",$L$5,$L$4)),2,IF(P186&lt;0,1,0))),IF(N186="",0,IF(AND(N186&gt;=50,N186&lt;=70),2,IF(OR(AND(N186&gt;=40,N186&lt;50),AND(N186&gt;70,N186&lt;=75)),1,0)))+IF(P186="",0,IF(AND(IF(B186="JSE",$L$5,$L$4)&lt;&gt;"",P186&gt;IF(B186="JSE",$L$5,$L$4)),2,IF(P186&gt;0,1,0)))))</f>
        <v/>
      </c>
      <c r="AD186" s="16" t="str">
        <f aca="false">IF(C186="","",IF(F186="Short",IF(R186="",0,IF(R186&lt;=0.1,2,IF(R186&lt;=0.25,1,0))),IF(Q186="",0,IF(Q186&gt;=-0.1,2,IF(Q186&gt;=-0.25,1,0)))))</f>
        <v/>
      </c>
      <c r="AE186" s="16" t="str">
        <f aca="false">IF(C186="","",IF(J186="",0,IF(J186&gt;=IF(B186="JSE",$L$7,$L$6),2,IF(J186&gt;=IF(B186="JSE",$L$7,$L$6)/4,1,0))))</f>
        <v/>
      </c>
      <c r="AF186" s="16" t="str">
        <f aca="false">IF(C186="","",IF(F186="Short",AND(T186&lt;&gt;"",N(T186)&lt;0),N(T186)&gt;0)+(N(S186)&gt;=1.5))</f>
        <v/>
      </c>
      <c r="AG186" s="16" t="str">
        <f aca="false">IF(C186="","",IF(AL186="",0,IF(AL186&gt;=3,4,IF(AL186&gt;=2,2,0))))</f>
        <v/>
      </c>
      <c r="AH186" s="16" t="str">
        <f aca="false">IF(C186="","",IF(AND(ISNUMBER(V186),ISNUMBER(A186),V186&gt;=A186,V186-A186&lt;=14),-2,0))</f>
        <v/>
      </c>
      <c r="AI186" s="16" t="str">
        <f aca="false">IF(C186="","",IF(AND(F186="Short",N(U186)&gt;=0.2),-1,0))</f>
        <v/>
      </c>
      <c r="AJ186" s="23" t="str">
        <f aca="false">IF(C186="","",SUM(AB186:AI186))</f>
        <v/>
      </c>
      <c r="AK186" s="24" t="str">
        <f aca="false">IF(C186="","",IF(AJ186&gt;=14,"A",IF(AJ186&gt;=10,"B","C")))</f>
        <v/>
      </c>
      <c r="AL186" s="39" t="str">
        <f aca="false">IFERROR(IF(OR(Y186="",Z186="",AA186=""),"",IF(F186="Short",IF(Z186&lt;=Y186,"",(Y186-AA186)/(Z186-Y186)),IF(Y186&lt;=Z186,"",(AA186-Y186)/(Y186-Z186)))),"")</f>
        <v/>
      </c>
      <c r="AM186" s="37" t="str">
        <f aca="false">IF(OR(Y186="",Z186="",N(Y186)=N(Z186)),"",IF(OR(AND(F186="Short",Z186&lt;Y186),AND(NOT(F186="Short"),Z186&gt;Y186)),"stop on wrong side",ABS(Y186-Z186)))</f>
        <v/>
      </c>
      <c r="AN186" s="40" t="str">
        <f aca="false">IFERROR(IF(OR(NOT(ISNUMBER(AM186)),$C$6=""),"",ROUNDDOWN($C$6*$C$7/AM186,2)),"")</f>
        <v/>
      </c>
      <c r="AO186" s="37" t="str">
        <f aca="false">IFERROR(IF(AN186="","",AN186*Y186),"")</f>
        <v/>
      </c>
      <c r="AP186" s="35"/>
      <c r="AQ186" s="19"/>
      <c r="AR186" s="26"/>
      <c r="AS186" s="41" t="str">
        <f aca="false">IFERROR(IF(OR(AR186="",Y186="",AQ186=""),"",IF(F186="Short",1-AR186/Y186,AR186/Y186-1)),"")</f>
        <v/>
      </c>
      <c r="AT186" s="42" t="str">
        <f aca="true">IF(AQ186="","",IF(ISNUMBER($C$4),$C$4,TODAY())-AQ186)</f>
        <v/>
      </c>
      <c r="AU186" s="14" t="str">
        <f aca="false">IF(C186="","",IF(AP186="Open position",IF(IF(F186="Short",AND(ISNUMBER(AR186),ISNUMBER(Z186),AR186&gt;=Z186),AND(ISNUMBER(AR186),ISNUMBER(Z186),AR186&lt;=Z186)),IF(F186="Short","COVER — stop hit (buy back)","SELL — stop hit"),IF(IF(F186="Short",AND(ISNUMBER(AR186),ISNUMBER(AA186),AR186&lt;=AA186),AND(ISNUMBER(AR186),ISNUMBER(AA186),AR186&gt;=AA186)),"TAKE PROFIT — target hit",IF(AND(ISNUMBER(AT186),AT186&gt;182),IF(F186="Short","COVER — 6-month time limit","SELL — 6-month time limit"),IF(AND(ISNUMBER(AT186),AT186&gt;42,ISNUMBER(AS186),AS186&lt;0.02),"REVIEW — no progress after 6 weeks",IF(IF(F186="Short",AND(L186&lt;&gt;"",N(L186)&gt;0),AND(L186&lt;&gt;"",N(L186)&lt;0)),IF(F186="Short","REVIEW — back above 50-day avg","REVIEW — below 50-day avg"),"HOLD"))))),IF(OR(AP186="Closed",AP186="Dropped"),"Closed",IF(AK186="A",IF(F186="Short","Run Technical Review — SHORT entry","Run Technical Review — LONG entry"),IF(AK186="B","Watch — wait for setup","Drop or re-check next week")))))</f>
        <v/>
      </c>
      <c r="AV186" s="35"/>
      <c r="AX186" s="43" t="str">
        <f aca="false">IF(AND(C186&lt;&gt;"",A186=$C$4,ISNUMBER(AJ186)),AJ186+ROW()/100000,"")</f>
        <v/>
      </c>
    </row>
    <row r="187" customFormat="false" ht="15" hidden="false" customHeight="false" outlineLevel="0" collapsed="false">
      <c r="A187" s="19"/>
      <c r="B187" s="35"/>
      <c r="C187" s="35"/>
      <c r="D187" s="35"/>
      <c r="E187" s="35"/>
      <c r="F187" s="35"/>
      <c r="G187" s="26"/>
      <c r="H187" s="26"/>
      <c r="I187" s="36"/>
      <c r="J187" s="37" t="str">
        <f aca="false">IF(OR(G187="",I187=""),"",G187*I187/1000000)</f>
        <v/>
      </c>
      <c r="K187" s="21"/>
      <c r="L187" s="21"/>
      <c r="M187" s="21"/>
      <c r="N187" s="25"/>
      <c r="O187" s="21"/>
      <c r="P187" s="21"/>
      <c r="Q187" s="21"/>
      <c r="R187" s="21"/>
      <c r="S187" s="38"/>
      <c r="T187" s="21"/>
      <c r="U187" s="21"/>
      <c r="V187" s="19"/>
      <c r="W187" s="26"/>
      <c r="X187" s="35"/>
      <c r="Y187" s="26"/>
      <c r="Z187" s="26"/>
      <c r="AA187" s="26"/>
      <c r="AB187" s="16" t="str">
        <f aca="false">IF(C187="","",IF(F187="Short",(AND(M187&lt;&gt;"",N(M187)&lt;0))+(AND(L187&lt;&gt;"",N(L187)&lt;0))+(AND(K187&lt;&gt;"",N(K187)&lt;0))+AND(L187&lt;&gt;"",M187&lt;&gt;"",N(M187)&lt;N(L187)),(N(M187)&gt;0)+(N(L187)&gt;0)+(N(K187)&gt;0)+AND(L187&lt;&gt;"",M187&lt;&gt;"",N(M187)&gt;N(L187))))</f>
        <v/>
      </c>
      <c r="AC187" s="16" t="str">
        <f aca="false">IF(C187="","",IF(F187="Short",IF(N187="",0,IF(AND(N187&gt;=30,N187&lt;=50),2,IF(OR(AND(N187&gt;=25,N187&lt;30),AND(N187&gt;50,N187&lt;=60)),1,0)))+IF(P187="",0,IF(AND(IF(B187="JSE",$L$5,$L$4)&lt;&gt;"",P187&lt;IF(B187="JSE",$L$5,$L$4)),2,IF(P187&lt;0,1,0))),IF(N187="",0,IF(AND(N187&gt;=50,N187&lt;=70),2,IF(OR(AND(N187&gt;=40,N187&lt;50),AND(N187&gt;70,N187&lt;=75)),1,0)))+IF(P187="",0,IF(AND(IF(B187="JSE",$L$5,$L$4)&lt;&gt;"",P187&gt;IF(B187="JSE",$L$5,$L$4)),2,IF(P187&gt;0,1,0)))))</f>
        <v/>
      </c>
      <c r="AD187" s="16" t="str">
        <f aca="false">IF(C187="","",IF(F187="Short",IF(R187="",0,IF(R187&lt;=0.1,2,IF(R187&lt;=0.25,1,0))),IF(Q187="",0,IF(Q187&gt;=-0.1,2,IF(Q187&gt;=-0.25,1,0)))))</f>
        <v/>
      </c>
      <c r="AE187" s="16" t="str">
        <f aca="false">IF(C187="","",IF(J187="",0,IF(J187&gt;=IF(B187="JSE",$L$7,$L$6),2,IF(J187&gt;=IF(B187="JSE",$L$7,$L$6)/4,1,0))))</f>
        <v/>
      </c>
      <c r="AF187" s="16" t="str">
        <f aca="false">IF(C187="","",IF(F187="Short",AND(T187&lt;&gt;"",N(T187)&lt;0),N(T187)&gt;0)+(N(S187)&gt;=1.5))</f>
        <v/>
      </c>
      <c r="AG187" s="16" t="str">
        <f aca="false">IF(C187="","",IF(AL187="",0,IF(AL187&gt;=3,4,IF(AL187&gt;=2,2,0))))</f>
        <v/>
      </c>
      <c r="AH187" s="16" t="str">
        <f aca="false">IF(C187="","",IF(AND(ISNUMBER(V187),ISNUMBER(A187),V187&gt;=A187,V187-A187&lt;=14),-2,0))</f>
        <v/>
      </c>
      <c r="AI187" s="16" t="str">
        <f aca="false">IF(C187="","",IF(AND(F187="Short",N(U187)&gt;=0.2),-1,0))</f>
        <v/>
      </c>
      <c r="AJ187" s="23" t="str">
        <f aca="false">IF(C187="","",SUM(AB187:AI187))</f>
        <v/>
      </c>
      <c r="AK187" s="24" t="str">
        <f aca="false">IF(C187="","",IF(AJ187&gt;=14,"A",IF(AJ187&gt;=10,"B","C")))</f>
        <v/>
      </c>
      <c r="AL187" s="39" t="str">
        <f aca="false">IFERROR(IF(OR(Y187="",Z187="",AA187=""),"",IF(F187="Short",IF(Z187&lt;=Y187,"",(Y187-AA187)/(Z187-Y187)),IF(Y187&lt;=Z187,"",(AA187-Y187)/(Y187-Z187)))),"")</f>
        <v/>
      </c>
      <c r="AM187" s="37" t="str">
        <f aca="false">IF(OR(Y187="",Z187="",N(Y187)=N(Z187)),"",IF(OR(AND(F187="Short",Z187&lt;Y187),AND(NOT(F187="Short"),Z187&gt;Y187)),"stop on wrong side",ABS(Y187-Z187)))</f>
        <v/>
      </c>
      <c r="AN187" s="40" t="str">
        <f aca="false">IFERROR(IF(OR(NOT(ISNUMBER(AM187)),$C$6=""),"",ROUNDDOWN($C$6*$C$7/AM187,2)),"")</f>
        <v/>
      </c>
      <c r="AO187" s="37" t="str">
        <f aca="false">IFERROR(IF(AN187="","",AN187*Y187),"")</f>
        <v/>
      </c>
      <c r="AP187" s="35"/>
      <c r="AQ187" s="19"/>
      <c r="AR187" s="26"/>
      <c r="AS187" s="41" t="str">
        <f aca="false">IFERROR(IF(OR(AR187="",Y187="",AQ187=""),"",IF(F187="Short",1-AR187/Y187,AR187/Y187-1)),"")</f>
        <v/>
      </c>
      <c r="AT187" s="42" t="str">
        <f aca="true">IF(AQ187="","",IF(ISNUMBER($C$4),$C$4,TODAY())-AQ187)</f>
        <v/>
      </c>
      <c r="AU187" s="14" t="str">
        <f aca="false">IF(C187="","",IF(AP187="Open position",IF(IF(F187="Short",AND(ISNUMBER(AR187),ISNUMBER(Z187),AR187&gt;=Z187),AND(ISNUMBER(AR187),ISNUMBER(Z187),AR187&lt;=Z187)),IF(F187="Short","COVER — stop hit (buy back)","SELL — stop hit"),IF(IF(F187="Short",AND(ISNUMBER(AR187),ISNUMBER(AA187),AR187&lt;=AA187),AND(ISNUMBER(AR187),ISNUMBER(AA187),AR187&gt;=AA187)),"TAKE PROFIT — target hit",IF(AND(ISNUMBER(AT187),AT187&gt;182),IF(F187="Short","COVER — 6-month time limit","SELL — 6-month time limit"),IF(AND(ISNUMBER(AT187),AT187&gt;42,ISNUMBER(AS187),AS187&lt;0.02),"REVIEW — no progress after 6 weeks",IF(IF(F187="Short",AND(L187&lt;&gt;"",N(L187)&gt;0),AND(L187&lt;&gt;"",N(L187)&lt;0)),IF(F187="Short","REVIEW — back above 50-day avg","REVIEW — below 50-day avg"),"HOLD"))))),IF(OR(AP187="Closed",AP187="Dropped"),"Closed",IF(AK187="A",IF(F187="Short","Run Technical Review — SHORT entry","Run Technical Review — LONG entry"),IF(AK187="B","Watch — wait for setup","Drop or re-check next week")))))</f>
        <v/>
      </c>
      <c r="AV187" s="35"/>
      <c r="AX187" s="43" t="str">
        <f aca="false">IF(AND(C187&lt;&gt;"",A187=$C$4,ISNUMBER(AJ187)),AJ187+ROW()/100000,"")</f>
        <v/>
      </c>
    </row>
    <row r="188" customFormat="false" ht="15" hidden="false" customHeight="false" outlineLevel="0" collapsed="false">
      <c r="A188" s="19"/>
      <c r="B188" s="35"/>
      <c r="C188" s="35"/>
      <c r="D188" s="35"/>
      <c r="E188" s="35"/>
      <c r="F188" s="35"/>
      <c r="G188" s="26"/>
      <c r="H188" s="26"/>
      <c r="I188" s="36"/>
      <c r="J188" s="37" t="str">
        <f aca="false">IF(OR(G188="",I188=""),"",G188*I188/1000000)</f>
        <v/>
      </c>
      <c r="K188" s="21"/>
      <c r="L188" s="21"/>
      <c r="M188" s="21"/>
      <c r="N188" s="25"/>
      <c r="O188" s="21"/>
      <c r="P188" s="21"/>
      <c r="Q188" s="21"/>
      <c r="R188" s="21"/>
      <c r="S188" s="38"/>
      <c r="T188" s="21"/>
      <c r="U188" s="21"/>
      <c r="V188" s="19"/>
      <c r="W188" s="26"/>
      <c r="X188" s="35"/>
      <c r="Y188" s="26"/>
      <c r="Z188" s="26"/>
      <c r="AA188" s="26"/>
      <c r="AB188" s="16" t="str">
        <f aca="false">IF(C188="","",IF(F188="Short",(AND(M188&lt;&gt;"",N(M188)&lt;0))+(AND(L188&lt;&gt;"",N(L188)&lt;0))+(AND(K188&lt;&gt;"",N(K188)&lt;0))+AND(L188&lt;&gt;"",M188&lt;&gt;"",N(M188)&lt;N(L188)),(N(M188)&gt;0)+(N(L188)&gt;0)+(N(K188)&gt;0)+AND(L188&lt;&gt;"",M188&lt;&gt;"",N(M188)&gt;N(L188))))</f>
        <v/>
      </c>
      <c r="AC188" s="16" t="str">
        <f aca="false">IF(C188="","",IF(F188="Short",IF(N188="",0,IF(AND(N188&gt;=30,N188&lt;=50),2,IF(OR(AND(N188&gt;=25,N188&lt;30),AND(N188&gt;50,N188&lt;=60)),1,0)))+IF(P188="",0,IF(AND(IF(B188="JSE",$L$5,$L$4)&lt;&gt;"",P188&lt;IF(B188="JSE",$L$5,$L$4)),2,IF(P188&lt;0,1,0))),IF(N188="",0,IF(AND(N188&gt;=50,N188&lt;=70),2,IF(OR(AND(N188&gt;=40,N188&lt;50),AND(N188&gt;70,N188&lt;=75)),1,0)))+IF(P188="",0,IF(AND(IF(B188="JSE",$L$5,$L$4)&lt;&gt;"",P188&gt;IF(B188="JSE",$L$5,$L$4)),2,IF(P188&gt;0,1,0)))))</f>
        <v/>
      </c>
      <c r="AD188" s="16" t="str">
        <f aca="false">IF(C188="","",IF(F188="Short",IF(R188="",0,IF(R188&lt;=0.1,2,IF(R188&lt;=0.25,1,0))),IF(Q188="",0,IF(Q188&gt;=-0.1,2,IF(Q188&gt;=-0.25,1,0)))))</f>
        <v/>
      </c>
      <c r="AE188" s="16" t="str">
        <f aca="false">IF(C188="","",IF(J188="",0,IF(J188&gt;=IF(B188="JSE",$L$7,$L$6),2,IF(J188&gt;=IF(B188="JSE",$L$7,$L$6)/4,1,0))))</f>
        <v/>
      </c>
      <c r="AF188" s="16" t="str">
        <f aca="false">IF(C188="","",IF(F188="Short",AND(T188&lt;&gt;"",N(T188)&lt;0),N(T188)&gt;0)+(N(S188)&gt;=1.5))</f>
        <v/>
      </c>
      <c r="AG188" s="16" t="str">
        <f aca="false">IF(C188="","",IF(AL188="",0,IF(AL188&gt;=3,4,IF(AL188&gt;=2,2,0))))</f>
        <v/>
      </c>
      <c r="AH188" s="16" t="str">
        <f aca="false">IF(C188="","",IF(AND(ISNUMBER(V188),ISNUMBER(A188),V188&gt;=A188,V188-A188&lt;=14),-2,0))</f>
        <v/>
      </c>
      <c r="AI188" s="16" t="str">
        <f aca="false">IF(C188="","",IF(AND(F188="Short",N(U188)&gt;=0.2),-1,0))</f>
        <v/>
      </c>
      <c r="AJ188" s="23" t="str">
        <f aca="false">IF(C188="","",SUM(AB188:AI188))</f>
        <v/>
      </c>
      <c r="AK188" s="24" t="str">
        <f aca="false">IF(C188="","",IF(AJ188&gt;=14,"A",IF(AJ188&gt;=10,"B","C")))</f>
        <v/>
      </c>
      <c r="AL188" s="39" t="str">
        <f aca="false">IFERROR(IF(OR(Y188="",Z188="",AA188=""),"",IF(F188="Short",IF(Z188&lt;=Y188,"",(Y188-AA188)/(Z188-Y188)),IF(Y188&lt;=Z188,"",(AA188-Y188)/(Y188-Z188)))),"")</f>
        <v/>
      </c>
      <c r="AM188" s="37" t="str">
        <f aca="false">IF(OR(Y188="",Z188="",N(Y188)=N(Z188)),"",IF(OR(AND(F188="Short",Z188&lt;Y188),AND(NOT(F188="Short"),Z188&gt;Y188)),"stop on wrong side",ABS(Y188-Z188)))</f>
        <v/>
      </c>
      <c r="AN188" s="40" t="str">
        <f aca="false">IFERROR(IF(OR(NOT(ISNUMBER(AM188)),$C$6=""),"",ROUNDDOWN($C$6*$C$7/AM188,2)),"")</f>
        <v/>
      </c>
      <c r="AO188" s="37" t="str">
        <f aca="false">IFERROR(IF(AN188="","",AN188*Y188),"")</f>
        <v/>
      </c>
      <c r="AP188" s="35"/>
      <c r="AQ188" s="19"/>
      <c r="AR188" s="26"/>
      <c r="AS188" s="41" t="str">
        <f aca="false">IFERROR(IF(OR(AR188="",Y188="",AQ188=""),"",IF(F188="Short",1-AR188/Y188,AR188/Y188-1)),"")</f>
        <v/>
      </c>
      <c r="AT188" s="42" t="str">
        <f aca="true">IF(AQ188="","",IF(ISNUMBER($C$4),$C$4,TODAY())-AQ188)</f>
        <v/>
      </c>
      <c r="AU188" s="14" t="str">
        <f aca="false">IF(C188="","",IF(AP188="Open position",IF(IF(F188="Short",AND(ISNUMBER(AR188),ISNUMBER(Z188),AR188&gt;=Z188),AND(ISNUMBER(AR188),ISNUMBER(Z188),AR188&lt;=Z188)),IF(F188="Short","COVER — stop hit (buy back)","SELL — stop hit"),IF(IF(F188="Short",AND(ISNUMBER(AR188),ISNUMBER(AA188),AR188&lt;=AA188),AND(ISNUMBER(AR188),ISNUMBER(AA188),AR188&gt;=AA188)),"TAKE PROFIT — target hit",IF(AND(ISNUMBER(AT188),AT188&gt;182),IF(F188="Short","COVER — 6-month time limit","SELL — 6-month time limit"),IF(AND(ISNUMBER(AT188),AT188&gt;42,ISNUMBER(AS188),AS188&lt;0.02),"REVIEW — no progress after 6 weeks",IF(IF(F188="Short",AND(L188&lt;&gt;"",N(L188)&gt;0),AND(L188&lt;&gt;"",N(L188)&lt;0)),IF(F188="Short","REVIEW — back above 50-day avg","REVIEW — below 50-day avg"),"HOLD"))))),IF(OR(AP188="Closed",AP188="Dropped"),"Closed",IF(AK188="A",IF(F188="Short","Run Technical Review — SHORT entry","Run Technical Review — LONG entry"),IF(AK188="B","Watch — wait for setup","Drop or re-check next week")))))</f>
        <v/>
      </c>
      <c r="AV188" s="35"/>
      <c r="AX188" s="43" t="str">
        <f aca="false">IF(AND(C188&lt;&gt;"",A188=$C$4,ISNUMBER(AJ188)),AJ188+ROW()/100000,"")</f>
        <v/>
      </c>
    </row>
    <row r="189" customFormat="false" ht="15" hidden="false" customHeight="false" outlineLevel="0" collapsed="false">
      <c r="A189" s="19"/>
      <c r="B189" s="35"/>
      <c r="C189" s="35"/>
      <c r="D189" s="35"/>
      <c r="E189" s="35"/>
      <c r="F189" s="35"/>
      <c r="G189" s="26"/>
      <c r="H189" s="26"/>
      <c r="I189" s="36"/>
      <c r="J189" s="37" t="str">
        <f aca="false">IF(OR(G189="",I189=""),"",G189*I189/1000000)</f>
        <v/>
      </c>
      <c r="K189" s="21"/>
      <c r="L189" s="21"/>
      <c r="M189" s="21"/>
      <c r="N189" s="25"/>
      <c r="O189" s="21"/>
      <c r="P189" s="21"/>
      <c r="Q189" s="21"/>
      <c r="R189" s="21"/>
      <c r="S189" s="38"/>
      <c r="T189" s="21"/>
      <c r="U189" s="21"/>
      <c r="V189" s="19"/>
      <c r="W189" s="26"/>
      <c r="X189" s="35"/>
      <c r="Y189" s="26"/>
      <c r="Z189" s="26"/>
      <c r="AA189" s="26"/>
      <c r="AB189" s="16" t="str">
        <f aca="false">IF(C189="","",IF(F189="Short",(AND(M189&lt;&gt;"",N(M189)&lt;0))+(AND(L189&lt;&gt;"",N(L189)&lt;0))+(AND(K189&lt;&gt;"",N(K189)&lt;0))+AND(L189&lt;&gt;"",M189&lt;&gt;"",N(M189)&lt;N(L189)),(N(M189)&gt;0)+(N(L189)&gt;0)+(N(K189)&gt;0)+AND(L189&lt;&gt;"",M189&lt;&gt;"",N(M189)&gt;N(L189))))</f>
        <v/>
      </c>
      <c r="AC189" s="16" t="str">
        <f aca="false">IF(C189="","",IF(F189="Short",IF(N189="",0,IF(AND(N189&gt;=30,N189&lt;=50),2,IF(OR(AND(N189&gt;=25,N189&lt;30),AND(N189&gt;50,N189&lt;=60)),1,0)))+IF(P189="",0,IF(AND(IF(B189="JSE",$L$5,$L$4)&lt;&gt;"",P189&lt;IF(B189="JSE",$L$5,$L$4)),2,IF(P189&lt;0,1,0))),IF(N189="",0,IF(AND(N189&gt;=50,N189&lt;=70),2,IF(OR(AND(N189&gt;=40,N189&lt;50),AND(N189&gt;70,N189&lt;=75)),1,0)))+IF(P189="",0,IF(AND(IF(B189="JSE",$L$5,$L$4)&lt;&gt;"",P189&gt;IF(B189="JSE",$L$5,$L$4)),2,IF(P189&gt;0,1,0)))))</f>
        <v/>
      </c>
      <c r="AD189" s="16" t="str">
        <f aca="false">IF(C189="","",IF(F189="Short",IF(R189="",0,IF(R189&lt;=0.1,2,IF(R189&lt;=0.25,1,0))),IF(Q189="",0,IF(Q189&gt;=-0.1,2,IF(Q189&gt;=-0.25,1,0)))))</f>
        <v/>
      </c>
      <c r="AE189" s="16" t="str">
        <f aca="false">IF(C189="","",IF(J189="",0,IF(J189&gt;=IF(B189="JSE",$L$7,$L$6),2,IF(J189&gt;=IF(B189="JSE",$L$7,$L$6)/4,1,0))))</f>
        <v/>
      </c>
      <c r="AF189" s="16" t="str">
        <f aca="false">IF(C189="","",IF(F189="Short",AND(T189&lt;&gt;"",N(T189)&lt;0),N(T189)&gt;0)+(N(S189)&gt;=1.5))</f>
        <v/>
      </c>
      <c r="AG189" s="16" t="str">
        <f aca="false">IF(C189="","",IF(AL189="",0,IF(AL189&gt;=3,4,IF(AL189&gt;=2,2,0))))</f>
        <v/>
      </c>
      <c r="AH189" s="16" t="str">
        <f aca="false">IF(C189="","",IF(AND(ISNUMBER(V189),ISNUMBER(A189),V189&gt;=A189,V189-A189&lt;=14),-2,0))</f>
        <v/>
      </c>
      <c r="AI189" s="16" t="str">
        <f aca="false">IF(C189="","",IF(AND(F189="Short",N(U189)&gt;=0.2),-1,0))</f>
        <v/>
      </c>
      <c r="AJ189" s="23" t="str">
        <f aca="false">IF(C189="","",SUM(AB189:AI189))</f>
        <v/>
      </c>
      <c r="AK189" s="24" t="str">
        <f aca="false">IF(C189="","",IF(AJ189&gt;=14,"A",IF(AJ189&gt;=10,"B","C")))</f>
        <v/>
      </c>
      <c r="AL189" s="39" t="str">
        <f aca="false">IFERROR(IF(OR(Y189="",Z189="",AA189=""),"",IF(F189="Short",IF(Z189&lt;=Y189,"",(Y189-AA189)/(Z189-Y189)),IF(Y189&lt;=Z189,"",(AA189-Y189)/(Y189-Z189)))),"")</f>
        <v/>
      </c>
      <c r="AM189" s="37" t="str">
        <f aca="false">IF(OR(Y189="",Z189="",N(Y189)=N(Z189)),"",IF(OR(AND(F189="Short",Z189&lt;Y189),AND(NOT(F189="Short"),Z189&gt;Y189)),"stop on wrong side",ABS(Y189-Z189)))</f>
        <v/>
      </c>
      <c r="AN189" s="40" t="str">
        <f aca="false">IFERROR(IF(OR(NOT(ISNUMBER(AM189)),$C$6=""),"",ROUNDDOWN($C$6*$C$7/AM189,2)),"")</f>
        <v/>
      </c>
      <c r="AO189" s="37" t="str">
        <f aca="false">IFERROR(IF(AN189="","",AN189*Y189),"")</f>
        <v/>
      </c>
      <c r="AP189" s="35"/>
      <c r="AQ189" s="19"/>
      <c r="AR189" s="26"/>
      <c r="AS189" s="41" t="str">
        <f aca="false">IFERROR(IF(OR(AR189="",Y189="",AQ189=""),"",IF(F189="Short",1-AR189/Y189,AR189/Y189-1)),"")</f>
        <v/>
      </c>
      <c r="AT189" s="42" t="str">
        <f aca="true">IF(AQ189="","",IF(ISNUMBER($C$4),$C$4,TODAY())-AQ189)</f>
        <v/>
      </c>
      <c r="AU189" s="14" t="str">
        <f aca="false">IF(C189="","",IF(AP189="Open position",IF(IF(F189="Short",AND(ISNUMBER(AR189),ISNUMBER(Z189),AR189&gt;=Z189),AND(ISNUMBER(AR189),ISNUMBER(Z189),AR189&lt;=Z189)),IF(F189="Short","COVER — stop hit (buy back)","SELL — stop hit"),IF(IF(F189="Short",AND(ISNUMBER(AR189),ISNUMBER(AA189),AR189&lt;=AA189),AND(ISNUMBER(AR189),ISNUMBER(AA189),AR189&gt;=AA189)),"TAKE PROFIT — target hit",IF(AND(ISNUMBER(AT189),AT189&gt;182),IF(F189="Short","COVER — 6-month time limit","SELL — 6-month time limit"),IF(AND(ISNUMBER(AT189),AT189&gt;42,ISNUMBER(AS189),AS189&lt;0.02),"REVIEW — no progress after 6 weeks",IF(IF(F189="Short",AND(L189&lt;&gt;"",N(L189)&gt;0),AND(L189&lt;&gt;"",N(L189)&lt;0)),IF(F189="Short","REVIEW — back above 50-day avg","REVIEW — below 50-day avg"),"HOLD"))))),IF(OR(AP189="Closed",AP189="Dropped"),"Closed",IF(AK189="A",IF(F189="Short","Run Technical Review — SHORT entry","Run Technical Review — LONG entry"),IF(AK189="B","Watch — wait for setup","Drop or re-check next week")))))</f>
        <v/>
      </c>
      <c r="AV189" s="35"/>
      <c r="AX189" s="43" t="str">
        <f aca="false">IF(AND(C189&lt;&gt;"",A189=$C$4,ISNUMBER(AJ189)),AJ189+ROW()/100000,"")</f>
        <v/>
      </c>
    </row>
    <row r="190" customFormat="false" ht="15" hidden="false" customHeight="false" outlineLevel="0" collapsed="false">
      <c r="A190" s="19"/>
      <c r="B190" s="35"/>
      <c r="C190" s="35"/>
      <c r="D190" s="35"/>
      <c r="E190" s="35"/>
      <c r="F190" s="35"/>
      <c r="G190" s="26"/>
      <c r="H190" s="26"/>
      <c r="I190" s="36"/>
      <c r="J190" s="37" t="str">
        <f aca="false">IF(OR(G190="",I190=""),"",G190*I190/1000000)</f>
        <v/>
      </c>
      <c r="K190" s="21"/>
      <c r="L190" s="21"/>
      <c r="M190" s="21"/>
      <c r="N190" s="25"/>
      <c r="O190" s="21"/>
      <c r="P190" s="21"/>
      <c r="Q190" s="21"/>
      <c r="R190" s="21"/>
      <c r="S190" s="38"/>
      <c r="T190" s="21"/>
      <c r="U190" s="21"/>
      <c r="V190" s="19"/>
      <c r="W190" s="26"/>
      <c r="X190" s="35"/>
      <c r="Y190" s="26"/>
      <c r="Z190" s="26"/>
      <c r="AA190" s="26"/>
      <c r="AB190" s="16" t="str">
        <f aca="false">IF(C190="","",IF(F190="Short",(AND(M190&lt;&gt;"",N(M190)&lt;0))+(AND(L190&lt;&gt;"",N(L190)&lt;0))+(AND(K190&lt;&gt;"",N(K190)&lt;0))+AND(L190&lt;&gt;"",M190&lt;&gt;"",N(M190)&lt;N(L190)),(N(M190)&gt;0)+(N(L190)&gt;0)+(N(K190)&gt;0)+AND(L190&lt;&gt;"",M190&lt;&gt;"",N(M190)&gt;N(L190))))</f>
        <v/>
      </c>
      <c r="AC190" s="16" t="str">
        <f aca="false">IF(C190="","",IF(F190="Short",IF(N190="",0,IF(AND(N190&gt;=30,N190&lt;=50),2,IF(OR(AND(N190&gt;=25,N190&lt;30),AND(N190&gt;50,N190&lt;=60)),1,0)))+IF(P190="",0,IF(AND(IF(B190="JSE",$L$5,$L$4)&lt;&gt;"",P190&lt;IF(B190="JSE",$L$5,$L$4)),2,IF(P190&lt;0,1,0))),IF(N190="",0,IF(AND(N190&gt;=50,N190&lt;=70),2,IF(OR(AND(N190&gt;=40,N190&lt;50),AND(N190&gt;70,N190&lt;=75)),1,0)))+IF(P190="",0,IF(AND(IF(B190="JSE",$L$5,$L$4)&lt;&gt;"",P190&gt;IF(B190="JSE",$L$5,$L$4)),2,IF(P190&gt;0,1,0)))))</f>
        <v/>
      </c>
      <c r="AD190" s="16" t="str">
        <f aca="false">IF(C190="","",IF(F190="Short",IF(R190="",0,IF(R190&lt;=0.1,2,IF(R190&lt;=0.25,1,0))),IF(Q190="",0,IF(Q190&gt;=-0.1,2,IF(Q190&gt;=-0.25,1,0)))))</f>
        <v/>
      </c>
      <c r="AE190" s="16" t="str">
        <f aca="false">IF(C190="","",IF(J190="",0,IF(J190&gt;=IF(B190="JSE",$L$7,$L$6),2,IF(J190&gt;=IF(B190="JSE",$L$7,$L$6)/4,1,0))))</f>
        <v/>
      </c>
      <c r="AF190" s="16" t="str">
        <f aca="false">IF(C190="","",IF(F190="Short",AND(T190&lt;&gt;"",N(T190)&lt;0),N(T190)&gt;0)+(N(S190)&gt;=1.5))</f>
        <v/>
      </c>
      <c r="AG190" s="16" t="str">
        <f aca="false">IF(C190="","",IF(AL190="",0,IF(AL190&gt;=3,4,IF(AL190&gt;=2,2,0))))</f>
        <v/>
      </c>
      <c r="AH190" s="16" t="str">
        <f aca="false">IF(C190="","",IF(AND(ISNUMBER(V190),ISNUMBER(A190),V190&gt;=A190,V190-A190&lt;=14),-2,0))</f>
        <v/>
      </c>
      <c r="AI190" s="16" t="str">
        <f aca="false">IF(C190="","",IF(AND(F190="Short",N(U190)&gt;=0.2),-1,0))</f>
        <v/>
      </c>
      <c r="AJ190" s="23" t="str">
        <f aca="false">IF(C190="","",SUM(AB190:AI190))</f>
        <v/>
      </c>
      <c r="AK190" s="24" t="str">
        <f aca="false">IF(C190="","",IF(AJ190&gt;=14,"A",IF(AJ190&gt;=10,"B","C")))</f>
        <v/>
      </c>
      <c r="AL190" s="39" t="str">
        <f aca="false">IFERROR(IF(OR(Y190="",Z190="",AA190=""),"",IF(F190="Short",IF(Z190&lt;=Y190,"",(Y190-AA190)/(Z190-Y190)),IF(Y190&lt;=Z190,"",(AA190-Y190)/(Y190-Z190)))),"")</f>
        <v/>
      </c>
      <c r="AM190" s="37" t="str">
        <f aca="false">IF(OR(Y190="",Z190="",N(Y190)=N(Z190)),"",IF(OR(AND(F190="Short",Z190&lt;Y190),AND(NOT(F190="Short"),Z190&gt;Y190)),"stop on wrong side",ABS(Y190-Z190)))</f>
        <v/>
      </c>
      <c r="AN190" s="40" t="str">
        <f aca="false">IFERROR(IF(OR(NOT(ISNUMBER(AM190)),$C$6=""),"",ROUNDDOWN($C$6*$C$7/AM190,2)),"")</f>
        <v/>
      </c>
      <c r="AO190" s="37" t="str">
        <f aca="false">IFERROR(IF(AN190="","",AN190*Y190),"")</f>
        <v/>
      </c>
      <c r="AP190" s="35"/>
      <c r="AQ190" s="19"/>
      <c r="AR190" s="26"/>
      <c r="AS190" s="41" t="str">
        <f aca="false">IFERROR(IF(OR(AR190="",Y190="",AQ190=""),"",IF(F190="Short",1-AR190/Y190,AR190/Y190-1)),"")</f>
        <v/>
      </c>
      <c r="AT190" s="42" t="str">
        <f aca="true">IF(AQ190="","",IF(ISNUMBER($C$4),$C$4,TODAY())-AQ190)</f>
        <v/>
      </c>
      <c r="AU190" s="14" t="str">
        <f aca="false">IF(C190="","",IF(AP190="Open position",IF(IF(F190="Short",AND(ISNUMBER(AR190),ISNUMBER(Z190),AR190&gt;=Z190),AND(ISNUMBER(AR190),ISNUMBER(Z190),AR190&lt;=Z190)),IF(F190="Short","COVER — stop hit (buy back)","SELL — stop hit"),IF(IF(F190="Short",AND(ISNUMBER(AR190),ISNUMBER(AA190),AR190&lt;=AA190),AND(ISNUMBER(AR190),ISNUMBER(AA190),AR190&gt;=AA190)),"TAKE PROFIT — target hit",IF(AND(ISNUMBER(AT190),AT190&gt;182),IF(F190="Short","COVER — 6-month time limit","SELL — 6-month time limit"),IF(AND(ISNUMBER(AT190),AT190&gt;42,ISNUMBER(AS190),AS190&lt;0.02),"REVIEW — no progress after 6 weeks",IF(IF(F190="Short",AND(L190&lt;&gt;"",N(L190)&gt;0),AND(L190&lt;&gt;"",N(L190)&lt;0)),IF(F190="Short","REVIEW — back above 50-day avg","REVIEW — below 50-day avg"),"HOLD"))))),IF(OR(AP190="Closed",AP190="Dropped"),"Closed",IF(AK190="A",IF(F190="Short","Run Technical Review — SHORT entry","Run Technical Review — LONG entry"),IF(AK190="B","Watch — wait for setup","Drop or re-check next week")))))</f>
        <v/>
      </c>
      <c r="AV190" s="35"/>
      <c r="AX190" s="43" t="str">
        <f aca="false">IF(AND(C190&lt;&gt;"",A190=$C$4,ISNUMBER(AJ190)),AJ190+ROW()/100000,"")</f>
        <v/>
      </c>
    </row>
    <row r="191" customFormat="false" ht="15" hidden="false" customHeight="false" outlineLevel="0" collapsed="false">
      <c r="A191" s="19"/>
      <c r="B191" s="35"/>
      <c r="C191" s="35"/>
      <c r="D191" s="35"/>
      <c r="E191" s="35"/>
      <c r="F191" s="35"/>
      <c r="G191" s="26"/>
      <c r="H191" s="26"/>
      <c r="I191" s="36"/>
      <c r="J191" s="37" t="str">
        <f aca="false">IF(OR(G191="",I191=""),"",G191*I191/1000000)</f>
        <v/>
      </c>
      <c r="K191" s="21"/>
      <c r="L191" s="21"/>
      <c r="M191" s="21"/>
      <c r="N191" s="25"/>
      <c r="O191" s="21"/>
      <c r="P191" s="21"/>
      <c r="Q191" s="21"/>
      <c r="R191" s="21"/>
      <c r="S191" s="38"/>
      <c r="T191" s="21"/>
      <c r="U191" s="21"/>
      <c r="V191" s="19"/>
      <c r="W191" s="26"/>
      <c r="X191" s="35"/>
      <c r="Y191" s="26"/>
      <c r="Z191" s="26"/>
      <c r="AA191" s="26"/>
      <c r="AB191" s="16" t="str">
        <f aca="false">IF(C191="","",IF(F191="Short",(AND(M191&lt;&gt;"",N(M191)&lt;0))+(AND(L191&lt;&gt;"",N(L191)&lt;0))+(AND(K191&lt;&gt;"",N(K191)&lt;0))+AND(L191&lt;&gt;"",M191&lt;&gt;"",N(M191)&lt;N(L191)),(N(M191)&gt;0)+(N(L191)&gt;0)+(N(K191)&gt;0)+AND(L191&lt;&gt;"",M191&lt;&gt;"",N(M191)&gt;N(L191))))</f>
        <v/>
      </c>
      <c r="AC191" s="16" t="str">
        <f aca="false">IF(C191="","",IF(F191="Short",IF(N191="",0,IF(AND(N191&gt;=30,N191&lt;=50),2,IF(OR(AND(N191&gt;=25,N191&lt;30),AND(N191&gt;50,N191&lt;=60)),1,0)))+IF(P191="",0,IF(AND(IF(B191="JSE",$L$5,$L$4)&lt;&gt;"",P191&lt;IF(B191="JSE",$L$5,$L$4)),2,IF(P191&lt;0,1,0))),IF(N191="",0,IF(AND(N191&gt;=50,N191&lt;=70),2,IF(OR(AND(N191&gt;=40,N191&lt;50),AND(N191&gt;70,N191&lt;=75)),1,0)))+IF(P191="",0,IF(AND(IF(B191="JSE",$L$5,$L$4)&lt;&gt;"",P191&gt;IF(B191="JSE",$L$5,$L$4)),2,IF(P191&gt;0,1,0)))))</f>
        <v/>
      </c>
      <c r="AD191" s="16" t="str">
        <f aca="false">IF(C191="","",IF(F191="Short",IF(R191="",0,IF(R191&lt;=0.1,2,IF(R191&lt;=0.25,1,0))),IF(Q191="",0,IF(Q191&gt;=-0.1,2,IF(Q191&gt;=-0.25,1,0)))))</f>
        <v/>
      </c>
      <c r="AE191" s="16" t="str">
        <f aca="false">IF(C191="","",IF(J191="",0,IF(J191&gt;=IF(B191="JSE",$L$7,$L$6),2,IF(J191&gt;=IF(B191="JSE",$L$7,$L$6)/4,1,0))))</f>
        <v/>
      </c>
      <c r="AF191" s="16" t="str">
        <f aca="false">IF(C191="","",IF(F191="Short",AND(T191&lt;&gt;"",N(T191)&lt;0),N(T191)&gt;0)+(N(S191)&gt;=1.5))</f>
        <v/>
      </c>
      <c r="AG191" s="16" t="str">
        <f aca="false">IF(C191="","",IF(AL191="",0,IF(AL191&gt;=3,4,IF(AL191&gt;=2,2,0))))</f>
        <v/>
      </c>
      <c r="AH191" s="16" t="str">
        <f aca="false">IF(C191="","",IF(AND(ISNUMBER(V191),ISNUMBER(A191),V191&gt;=A191,V191-A191&lt;=14),-2,0))</f>
        <v/>
      </c>
      <c r="AI191" s="16" t="str">
        <f aca="false">IF(C191="","",IF(AND(F191="Short",N(U191)&gt;=0.2),-1,0))</f>
        <v/>
      </c>
      <c r="AJ191" s="23" t="str">
        <f aca="false">IF(C191="","",SUM(AB191:AI191))</f>
        <v/>
      </c>
      <c r="AK191" s="24" t="str">
        <f aca="false">IF(C191="","",IF(AJ191&gt;=14,"A",IF(AJ191&gt;=10,"B","C")))</f>
        <v/>
      </c>
      <c r="AL191" s="39" t="str">
        <f aca="false">IFERROR(IF(OR(Y191="",Z191="",AA191=""),"",IF(F191="Short",IF(Z191&lt;=Y191,"",(Y191-AA191)/(Z191-Y191)),IF(Y191&lt;=Z191,"",(AA191-Y191)/(Y191-Z191)))),"")</f>
        <v/>
      </c>
      <c r="AM191" s="37" t="str">
        <f aca="false">IF(OR(Y191="",Z191="",N(Y191)=N(Z191)),"",IF(OR(AND(F191="Short",Z191&lt;Y191),AND(NOT(F191="Short"),Z191&gt;Y191)),"stop on wrong side",ABS(Y191-Z191)))</f>
        <v/>
      </c>
      <c r="AN191" s="40" t="str">
        <f aca="false">IFERROR(IF(OR(NOT(ISNUMBER(AM191)),$C$6=""),"",ROUNDDOWN($C$6*$C$7/AM191,2)),"")</f>
        <v/>
      </c>
      <c r="AO191" s="37" t="str">
        <f aca="false">IFERROR(IF(AN191="","",AN191*Y191),"")</f>
        <v/>
      </c>
      <c r="AP191" s="35"/>
      <c r="AQ191" s="19"/>
      <c r="AR191" s="26"/>
      <c r="AS191" s="41" t="str">
        <f aca="false">IFERROR(IF(OR(AR191="",Y191="",AQ191=""),"",IF(F191="Short",1-AR191/Y191,AR191/Y191-1)),"")</f>
        <v/>
      </c>
      <c r="AT191" s="42" t="str">
        <f aca="true">IF(AQ191="","",IF(ISNUMBER($C$4),$C$4,TODAY())-AQ191)</f>
        <v/>
      </c>
      <c r="AU191" s="14" t="str">
        <f aca="false">IF(C191="","",IF(AP191="Open position",IF(IF(F191="Short",AND(ISNUMBER(AR191),ISNUMBER(Z191),AR191&gt;=Z191),AND(ISNUMBER(AR191),ISNUMBER(Z191),AR191&lt;=Z191)),IF(F191="Short","COVER — stop hit (buy back)","SELL — stop hit"),IF(IF(F191="Short",AND(ISNUMBER(AR191),ISNUMBER(AA191),AR191&lt;=AA191),AND(ISNUMBER(AR191),ISNUMBER(AA191),AR191&gt;=AA191)),"TAKE PROFIT — target hit",IF(AND(ISNUMBER(AT191),AT191&gt;182),IF(F191="Short","COVER — 6-month time limit","SELL — 6-month time limit"),IF(AND(ISNUMBER(AT191),AT191&gt;42,ISNUMBER(AS191),AS191&lt;0.02),"REVIEW — no progress after 6 weeks",IF(IF(F191="Short",AND(L191&lt;&gt;"",N(L191)&gt;0),AND(L191&lt;&gt;"",N(L191)&lt;0)),IF(F191="Short","REVIEW — back above 50-day avg","REVIEW — below 50-day avg"),"HOLD"))))),IF(OR(AP191="Closed",AP191="Dropped"),"Closed",IF(AK191="A",IF(F191="Short","Run Technical Review — SHORT entry","Run Technical Review — LONG entry"),IF(AK191="B","Watch — wait for setup","Drop or re-check next week")))))</f>
        <v/>
      </c>
      <c r="AV191" s="35"/>
      <c r="AX191" s="43" t="str">
        <f aca="false">IF(AND(C191&lt;&gt;"",A191=$C$4,ISNUMBER(AJ191)),AJ191+ROW()/100000,"")</f>
        <v/>
      </c>
    </row>
    <row r="192" customFormat="false" ht="15" hidden="false" customHeight="false" outlineLevel="0" collapsed="false">
      <c r="A192" s="19"/>
      <c r="B192" s="35"/>
      <c r="C192" s="35"/>
      <c r="D192" s="35"/>
      <c r="E192" s="35"/>
      <c r="F192" s="35"/>
      <c r="G192" s="26"/>
      <c r="H192" s="26"/>
      <c r="I192" s="36"/>
      <c r="J192" s="37" t="str">
        <f aca="false">IF(OR(G192="",I192=""),"",G192*I192/1000000)</f>
        <v/>
      </c>
      <c r="K192" s="21"/>
      <c r="L192" s="21"/>
      <c r="M192" s="21"/>
      <c r="N192" s="25"/>
      <c r="O192" s="21"/>
      <c r="P192" s="21"/>
      <c r="Q192" s="21"/>
      <c r="R192" s="21"/>
      <c r="S192" s="38"/>
      <c r="T192" s="21"/>
      <c r="U192" s="21"/>
      <c r="V192" s="19"/>
      <c r="W192" s="26"/>
      <c r="X192" s="35"/>
      <c r="Y192" s="26"/>
      <c r="Z192" s="26"/>
      <c r="AA192" s="26"/>
      <c r="AB192" s="16" t="str">
        <f aca="false">IF(C192="","",IF(F192="Short",(AND(M192&lt;&gt;"",N(M192)&lt;0))+(AND(L192&lt;&gt;"",N(L192)&lt;0))+(AND(K192&lt;&gt;"",N(K192)&lt;0))+AND(L192&lt;&gt;"",M192&lt;&gt;"",N(M192)&lt;N(L192)),(N(M192)&gt;0)+(N(L192)&gt;0)+(N(K192)&gt;0)+AND(L192&lt;&gt;"",M192&lt;&gt;"",N(M192)&gt;N(L192))))</f>
        <v/>
      </c>
      <c r="AC192" s="16" t="str">
        <f aca="false">IF(C192="","",IF(F192="Short",IF(N192="",0,IF(AND(N192&gt;=30,N192&lt;=50),2,IF(OR(AND(N192&gt;=25,N192&lt;30),AND(N192&gt;50,N192&lt;=60)),1,0)))+IF(P192="",0,IF(AND(IF(B192="JSE",$L$5,$L$4)&lt;&gt;"",P192&lt;IF(B192="JSE",$L$5,$L$4)),2,IF(P192&lt;0,1,0))),IF(N192="",0,IF(AND(N192&gt;=50,N192&lt;=70),2,IF(OR(AND(N192&gt;=40,N192&lt;50),AND(N192&gt;70,N192&lt;=75)),1,0)))+IF(P192="",0,IF(AND(IF(B192="JSE",$L$5,$L$4)&lt;&gt;"",P192&gt;IF(B192="JSE",$L$5,$L$4)),2,IF(P192&gt;0,1,0)))))</f>
        <v/>
      </c>
      <c r="AD192" s="16" t="str">
        <f aca="false">IF(C192="","",IF(F192="Short",IF(R192="",0,IF(R192&lt;=0.1,2,IF(R192&lt;=0.25,1,0))),IF(Q192="",0,IF(Q192&gt;=-0.1,2,IF(Q192&gt;=-0.25,1,0)))))</f>
        <v/>
      </c>
      <c r="AE192" s="16" t="str">
        <f aca="false">IF(C192="","",IF(J192="",0,IF(J192&gt;=IF(B192="JSE",$L$7,$L$6),2,IF(J192&gt;=IF(B192="JSE",$L$7,$L$6)/4,1,0))))</f>
        <v/>
      </c>
      <c r="AF192" s="16" t="str">
        <f aca="false">IF(C192="","",IF(F192="Short",AND(T192&lt;&gt;"",N(T192)&lt;0),N(T192)&gt;0)+(N(S192)&gt;=1.5))</f>
        <v/>
      </c>
      <c r="AG192" s="16" t="str">
        <f aca="false">IF(C192="","",IF(AL192="",0,IF(AL192&gt;=3,4,IF(AL192&gt;=2,2,0))))</f>
        <v/>
      </c>
      <c r="AH192" s="16" t="str">
        <f aca="false">IF(C192="","",IF(AND(ISNUMBER(V192),ISNUMBER(A192),V192&gt;=A192,V192-A192&lt;=14),-2,0))</f>
        <v/>
      </c>
      <c r="AI192" s="16" t="str">
        <f aca="false">IF(C192="","",IF(AND(F192="Short",N(U192)&gt;=0.2),-1,0))</f>
        <v/>
      </c>
      <c r="AJ192" s="23" t="str">
        <f aca="false">IF(C192="","",SUM(AB192:AI192))</f>
        <v/>
      </c>
      <c r="AK192" s="24" t="str">
        <f aca="false">IF(C192="","",IF(AJ192&gt;=14,"A",IF(AJ192&gt;=10,"B","C")))</f>
        <v/>
      </c>
      <c r="AL192" s="39" t="str">
        <f aca="false">IFERROR(IF(OR(Y192="",Z192="",AA192=""),"",IF(F192="Short",IF(Z192&lt;=Y192,"",(Y192-AA192)/(Z192-Y192)),IF(Y192&lt;=Z192,"",(AA192-Y192)/(Y192-Z192)))),"")</f>
        <v/>
      </c>
      <c r="AM192" s="37" t="str">
        <f aca="false">IF(OR(Y192="",Z192="",N(Y192)=N(Z192)),"",IF(OR(AND(F192="Short",Z192&lt;Y192),AND(NOT(F192="Short"),Z192&gt;Y192)),"stop on wrong side",ABS(Y192-Z192)))</f>
        <v/>
      </c>
      <c r="AN192" s="40" t="str">
        <f aca="false">IFERROR(IF(OR(NOT(ISNUMBER(AM192)),$C$6=""),"",ROUNDDOWN($C$6*$C$7/AM192,2)),"")</f>
        <v/>
      </c>
      <c r="AO192" s="37" t="str">
        <f aca="false">IFERROR(IF(AN192="","",AN192*Y192),"")</f>
        <v/>
      </c>
      <c r="AP192" s="35"/>
      <c r="AQ192" s="19"/>
      <c r="AR192" s="26"/>
      <c r="AS192" s="41" t="str">
        <f aca="false">IFERROR(IF(OR(AR192="",Y192="",AQ192=""),"",IF(F192="Short",1-AR192/Y192,AR192/Y192-1)),"")</f>
        <v/>
      </c>
      <c r="AT192" s="42" t="str">
        <f aca="true">IF(AQ192="","",IF(ISNUMBER($C$4),$C$4,TODAY())-AQ192)</f>
        <v/>
      </c>
      <c r="AU192" s="14" t="str">
        <f aca="false">IF(C192="","",IF(AP192="Open position",IF(IF(F192="Short",AND(ISNUMBER(AR192),ISNUMBER(Z192),AR192&gt;=Z192),AND(ISNUMBER(AR192),ISNUMBER(Z192),AR192&lt;=Z192)),IF(F192="Short","COVER — stop hit (buy back)","SELL — stop hit"),IF(IF(F192="Short",AND(ISNUMBER(AR192),ISNUMBER(AA192),AR192&lt;=AA192),AND(ISNUMBER(AR192),ISNUMBER(AA192),AR192&gt;=AA192)),"TAKE PROFIT — target hit",IF(AND(ISNUMBER(AT192),AT192&gt;182),IF(F192="Short","COVER — 6-month time limit","SELL — 6-month time limit"),IF(AND(ISNUMBER(AT192),AT192&gt;42,ISNUMBER(AS192),AS192&lt;0.02),"REVIEW — no progress after 6 weeks",IF(IF(F192="Short",AND(L192&lt;&gt;"",N(L192)&gt;0),AND(L192&lt;&gt;"",N(L192)&lt;0)),IF(F192="Short","REVIEW — back above 50-day avg","REVIEW — below 50-day avg"),"HOLD"))))),IF(OR(AP192="Closed",AP192="Dropped"),"Closed",IF(AK192="A",IF(F192="Short","Run Technical Review — SHORT entry","Run Technical Review — LONG entry"),IF(AK192="B","Watch — wait for setup","Drop or re-check next week")))))</f>
        <v/>
      </c>
      <c r="AV192" s="35"/>
      <c r="AX192" s="43" t="str">
        <f aca="false">IF(AND(C192&lt;&gt;"",A192=$C$4,ISNUMBER(AJ192)),AJ192+ROW()/100000,"")</f>
        <v/>
      </c>
    </row>
    <row r="193" customFormat="false" ht="15" hidden="false" customHeight="false" outlineLevel="0" collapsed="false">
      <c r="A193" s="19"/>
      <c r="B193" s="35"/>
      <c r="C193" s="35"/>
      <c r="D193" s="35"/>
      <c r="E193" s="35"/>
      <c r="F193" s="35"/>
      <c r="G193" s="26"/>
      <c r="H193" s="26"/>
      <c r="I193" s="36"/>
      <c r="J193" s="37" t="str">
        <f aca="false">IF(OR(G193="",I193=""),"",G193*I193/1000000)</f>
        <v/>
      </c>
      <c r="K193" s="21"/>
      <c r="L193" s="21"/>
      <c r="M193" s="21"/>
      <c r="N193" s="25"/>
      <c r="O193" s="21"/>
      <c r="P193" s="21"/>
      <c r="Q193" s="21"/>
      <c r="R193" s="21"/>
      <c r="S193" s="38"/>
      <c r="T193" s="21"/>
      <c r="U193" s="21"/>
      <c r="V193" s="19"/>
      <c r="W193" s="26"/>
      <c r="X193" s="35"/>
      <c r="Y193" s="26"/>
      <c r="Z193" s="26"/>
      <c r="AA193" s="26"/>
      <c r="AB193" s="16" t="str">
        <f aca="false">IF(C193="","",IF(F193="Short",(AND(M193&lt;&gt;"",N(M193)&lt;0))+(AND(L193&lt;&gt;"",N(L193)&lt;0))+(AND(K193&lt;&gt;"",N(K193)&lt;0))+AND(L193&lt;&gt;"",M193&lt;&gt;"",N(M193)&lt;N(L193)),(N(M193)&gt;0)+(N(L193)&gt;0)+(N(K193)&gt;0)+AND(L193&lt;&gt;"",M193&lt;&gt;"",N(M193)&gt;N(L193))))</f>
        <v/>
      </c>
      <c r="AC193" s="16" t="str">
        <f aca="false">IF(C193="","",IF(F193="Short",IF(N193="",0,IF(AND(N193&gt;=30,N193&lt;=50),2,IF(OR(AND(N193&gt;=25,N193&lt;30),AND(N193&gt;50,N193&lt;=60)),1,0)))+IF(P193="",0,IF(AND(IF(B193="JSE",$L$5,$L$4)&lt;&gt;"",P193&lt;IF(B193="JSE",$L$5,$L$4)),2,IF(P193&lt;0,1,0))),IF(N193="",0,IF(AND(N193&gt;=50,N193&lt;=70),2,IF(OR(AND(N193&gt;=40,N193&lt;50),AND(N193&gt;70,N193&lt;=75)),1,0)))+IF(P193="",0,IF(AND(IF(B193="JSE",$L$5,$L$4)&lt;&gt;"",P193&gt;IF(B193="JSE",$L$5,$L$4)),2,IF(P193&gt;0,1,0)))))</f>
        <v/>
      </c>
      <c r="AD193" s="16" t="str">
        <f aca="false">IF(C193="","",IF(F193="Short",IF(R193="",0,IF(R193&lt;=0.1,2,IF(R193&lt;=0.25,1,0))),IF(Q193="",0,IF(Q193&gt;=-0.1,2,IF(Q193&gt;=-0.25,1,0)))))</f>
        <v/>
      </c>
      <c r="AE193" s="16" t="str">
        <f aca="false">IF(C193="","",IF(J193="",0,IF(J193&gt;=IF(B193="JSE",$L$7,$L$6),2,IF(J193&gt;=IF(B193="JSE",$L$7,$L$6)/4,1,0))))</f>
        <v/>
      </c>
      <c r="AF193" s="16" t="str">
        <f aca="false">IF(C193="","",IF(F193="Short",AND(T193&lt;&gt;"",N(T193)&lt;0),N(T193)&gt;0)+(N(S193)&gt;=1.5))</f>
        <v/>
      </c>
      <c r="AG193" s="16" t="str">
        <f aca="false">IF(C193="","",IF(AL193="",0,IF(AL193&gt;=3,4,IF(AL193&gt;=2,2,0))))</f>
        <v/>
      </c>
      <c r="AH193" s="16" t="str">
        <f aca="false">IF(C193="","",IF(AND(ISNUMBER(V193),ISNUMBER(A193),V193&gt;=A193,V193-A193&lt;=14),-2,0))</f>
        <v/>
      </c>
      <c r="AI193" s="16" t="str">
        <f aca="false">IF(C193="","",IF(AND(F193="Short",N(U193)&gt;=0.2),-1,0))</f>
        <v/>
      </c>
      <c r="AJ193" s="23" t="str">
        <f aca="false">IF(C193="","",SUM(AB193:AI193))</f>
        <v/>
      </c>
      <c r="AK193" s="24" t="str">
        <f aca="false">IF(C193="","",IF(AJ193&gt;=14,"A",IF(AJ193&gt;=10,"B","C")))</f>
        <v/>
      </c>
      <c r="AL193" s="39" t="str">
        <f aca="false">IFERROR(IF(OR(Y193="",Z193="",AA193=""),"",IF(F193="Short",IF(Z193&lt;=Y193,"",(Y193-AA193)/(Z193-Y193)),IF(Y193&lt;=Z193,"",(AA193-Y193)/(Y193-Z193)))),"")</f>
        <v/>
      </c>
      <c r="AM193" s="37" t="str">
        <f aca="false">IF(OR(Y193="",Z193="",N(Y193)=N(Z193)),"",IF(OR(AND(F193="Short",Z193&lt;Y193),AND(NOT(F193="Short"),Z193&gt;Y193)),"stop on wrong side",ABS(Y193-Z193)))</f>
        <v/>
      </c>
      <c r="AN193" s="40" t="str">
        <f aca="false">IFERROR(IF(OR(NOT(ISNUMBER(AM193)),$C$6=""),"",ROUNDDOWN($C$6*$C$7/AM193,2)),"")</f>
        <v/>
      </c>
      <c r="AO193" s="37" t="str">
        <f aca="false">IFERROR(IF(AN193="","",AN193*Y193),"")</f>
        <v/>
      </c>
      <c r="AP193" s="35"/>
      <c r="AQ193" s="19"/>
      <c r="AR193" s="26"/>
      <c r="AS193" s="41" t="str">
        <f aca="false">IFERROR(IF(OR(AR193="",Y193="",AQ193=""),"",IF(F193="Short",1-AR193/Y193,AR193/Y193-1)),"")</f>
        <v/>
      </c>
      <c r="AT193" s="42" t="str">
        <f aca="true">IF(AQ193="","",IF(ISNUMBER($C$4),$C$4,TODAY())-AQ193)</f>
        <v/>
      </c>
      <c r="AU193" s="14" t="str">
        <f aca="false">IF(C193="","",IF(AP193="Open position",IF(IF(F193="Short",AND(ISNUMBER(AR193),ISNUMBER(Z193),AR193&gt;=Z193),AND(ISNUMBER(AR193),ISNUMBER(Z193),AR193&lt;=Z193)),IF(F193="Short","COVER — stop hit (buy back)","SELL — stop hit"),IF(IF(F193="Short",AND(ISNUMBER(AR193),ISNUMBER(AA193),AR193&lt;=AA193),AND(ISNUMBER(AR193),ISNUMBER(AA193),AR193&gt;=AA193)),"TAKE PROFIT — target hit",IF(AND(ISNUMBER(AT193),AT193&gt;182),IF(F193="Short","COVER — 6-month time limit","SELL — 6-month time limit"),IF(AND(ISNUMBER(AT193),AT193&gt;42,ISNUMBER(AS193),AS193&lt;0.02),"REVIEW — no progress after 6 weeks",IF(IF(F193="Short",AND(L193&lt;&gt;"",N(L193)&gt;0),AND(L193&lt;&gt;"",N(L193)&lt;0)),IF(F193="Short","REVIEW — back above 50-day avg","REVIEW — below 50-day avg"),"HOLD"))))),IF(OR(AP193="Closed",AP193="Dropped"),"Closed",IF(AK193="A",IF(F193="Short","Run Technical Review — SHORT entry","Run Technical Review — LONG entry"),IF(AK193="B","Watch — wait for setup","Drop or re-check next week")))))</f>
        <v/>
      </c>
      <c r="AV193" s="35"/>
      <c r="AX193" s="43" t="str">
        <f aca="false">IF(AND(C193&lt;&gt;"",A193=$C$4,ISNUMBER(AJ193)),AJ193+ROW()/100000,"")</f>
        <v/>
      </c>
    </row>
    <row r="194" customFormat="false" ht="15" hidden="false" customHeight="false" outlineLevel="0" collapsed="false">
      <c r="A194" s="19"/>
      <c r="B194" s="35"/>
      <c r="C194" s="35"/>
      <c r="D194" s="35"/>
      <c r="E194" s="35"/>
      <c r="F194" s="35"/>
      <c r="G194" s="26"/>
      <c r="H194" s="26"/>
      <c r="I194" s="36"/>
      <c r="J194" s="37" t="str">
        <f aca="false">IF(OR(G194="",I194=""),"",G194*I194/1000000)</f>
        <v/>
      </c>
      <c r="K194" s="21"/>
      <c r="L194" s="21"/>
      <c r="M194" s="21"/>
      <c r="N194" s="25"/>
      <c r="O194" s="21"/>
      <c r="P194" s="21"/>
      <c r="Q194" s="21"/>
      <c r="R194" s="21"/>
      <c r="S194" s="38"/>
      <c r="T194" s="21"/>
      <c r="U194" s="21"/>
      <c r="V194" s="19"/>
      <c r="W194" s="26"/>
      <c r="X194" s="35"/>
      <c r="Y194" s="26"/>
      <c r="Z194" s="26"/>
      <c r="AA194" s="26"/>
      <c r="AB194" s="16" t="str">
        <f aca="false">IF(C194="","",IF(F194="Short",(AND(M194&lt;&gt;"",N(M194)&lt;0))+(AND(L194&lt;&gt;"",N(L194)&lt;0))+(AND(K194&lt;&gt;"",N(K194)&lt;0))+AND(L194&lt;&gt;"",M194&lt;&gt;"",N(M194)&lt;N(L194)),(N(M194)&gt;0)+(N(L194)&gt;0)+(N(K194)&gt;0)+AND(L194&lt;&gt;"",M194&lt;&gt;"",N(M194)&gt;N(L194))))</f>
        <v/>
      </c>
      <c r="AC194" s="16" t="str">
        <f aca="false">IF(C194="","",IF(F194="Short",IF(N194="",0,IF(AND(N194&gt;=30,N194&lt;=50),2,IF(OR(AND(N194&gt;=25,N194&lt;30),AND(N194&gt;50,N194&lt;=60)),1,0)))+IF(P194="",0,IF(AND(IF(B194="JSE",$L$5,$L$4)&lt;&gt;"",P194&lt;IF(B194="JSE",$L$5,$L$4)),2,IF(P194&lt;0,1,0))),IF(N194="",0,IF(AND(N194&gt;=50,N194&lt;=70),2,IF(OR(AND(N194&gt;=40,N194&lt;50),AND(N194&gt;70,N194&lt;=75)),1,0)))+IF(P194="",0,IF(AND(IF(B194="JSE",$L$5,$L$4)&lt;&gt;"",P194&gt;IF(B194="JSE",$L$5,$L$4)),2,IF(P194&gt;0,1,0)))))</f>
        <v/>
      </c>
      <c r="AD194" s="16" t="str">
        <f aca="false">IF(C194="","",IF(F194="Short",IF(R194="",0,IF(R194&lt;=0.1,2,IF(R194&lt;=0.25,1,0))),IF(Q194="",0,IF(Q194&gt;=-0.1,2,IF(Q194&gt;=-0.25,1,0)))))</f>
        <v/>
      </c>
      <c r="AE194" s="16" t="str">
        <f aca="false">IF(C194="","",IF(J194="",0,IF(J194&gt;=IF(B194="JSE",$L$7,$L$6),2,IF(J194&gt;=IF(B194="JSE",$L$7,$L$6)/4,1,0))))</f>
        <v/>
      </c>
      <c r="AF194" s="16" t="str">
        <f aca="false">IF(C194="","",IF(F194="Short",AND(T194&lt;&gt;"",N(T194)&lt;0),N(T194)&gt;0)+(N(S194)&gt;=1.5))</f>
        <v/>
      </c>
      <c r="AG194" s="16" t="str">
        <f aca="false">IF(C194="","",IF(AL194="",0,IF(AL194&gt;=3,4,IF(AL194&gt;=2,2,0))))</f>
        <v/>
      </c>
      <c r="AH194" s="16" t="str">
        <f aca="false">IF(C194="","",IF(AND(ISNUMBER(V194),ISNUMBER(A194),V194&gt;=A194,V194-A194&lt;=14),-2,0))</f>
        <v/>
      </c>
      <c r="AI194" s="16" t="str">
        <f aca="false">IF(C194="","",IF(AND(F194="Short",N(U194)&gt;=0.2),-1,0))</f>
        <v/>
      </c>
      <c r="AJ194" s="23" t="str">
        <f aca="false">IF(C194="","",SUM(AB194:AI194))</f>
        <v/>
      </c>
      <c r="AK194" s="24" t="str">
        <f aca="false">IF(C194="","",IF(AJ194&gt;=14,"A",IF(AJ194&gt;=10,"B","C")))</f>
        <v/>
      </c>
      <c r="AL194" s="39" t="str">
        <f aca="false">IFERROR(IF(OR(Y194="",Z194="",AA194=""),"",IF(F194="Short",IF(Z194&lt;=Y194,"",(Y194-AA194)/(Z194-Y194)),IF(Y194&lt;=Z194,"",(AA194-Y194)/(Y194-Z194)))),"")</f>
        <v/>
      </c>
      <c r="AM194" s="37" t="str">
        <f aca="false">IF(OR(Y194="",Z194="",N(Y194)=N(Z194)),"",IF(OR(AND(F194="Short",Z194&lt;Y194),AND(NOT(F194="Short"),Z194&gt;Y194)),"stop on wrong side",ABS(Y194-Z194)))</f>
        <v/>
      </c>
      <c r="AN194" s="40" t="str">
        <f aca="false">IFERROR(IF(OR(NOT(ISNUMBER(AM194)),$C$6=""),"",ROUNDDOWN($C$6*$C$7/AM194,2)),"")</f>
        <v/>
      </c>
      <c r="AO194" s="37" t="str">
        <f aca="false">IFERROR(IF(AN194="","",AN194*Y194),"")</f>
        <v/>
      </c>
      <c r="AP194" s="35"/>
      <c r="AQ194" s="19"/>
      <c r="AR194" s="26"/>
      <c r="AS194" s="41" t="str">
        <f aca="false">IFERROR(IF(OR(AR194="",Y194="",AQ194=""),"",IF(F194="Short",1-AR194/Y194,AR194/Y194-1)),"")</f>
        <v/>
      </c>
      <c r="AT194" s="42" t="str">
        <f aca="true">IF(AQ194="","",IF(ISNUMBER($C$4),$C$4,TODAY())-AQ194)</f>
        <v/>
      </c>
      <c r="AU194" s="14" t="str">
        <f aca="false">IF(C194="","",IF(AP194="Open position",IF(IF(F194="Short",AND(ISNUMBER(AR194),ISNUMBER(Z194),AR194&gt;=Z194),AND(ISNUMBER(AR194),ISNUMBER(Z194),AR194&lt;=Z194)),IF(F194="Short","COVER — stop hit (buy back)","SELL — stop hit"),IF(IF(F194="Short",AND(ISNUMBER(AR194),ISNUMBER(AA194),AR194&lt;=AA194),AND(ISNUMBER(AR194),ISNUMBER(AA194),AR194&gt;=AA194)),"TAKE PROFIT — target hit",IF(AND(ISNUMBER(AT194),AT194&gt;182),IF(F194="Short","COVER — 6-month time limit","SELL — 6-month time limit"),IF(AND(ISNUMBER(AT194),AT194&gt;42,ISNUMBER(AS194),AS194&lt;0.02),"REVIEW — no progress after 6 weeks",IF(IF(F194="Short",AND(L194&lt;&gt;"",N(L194)&gt;0),AND(L194&lt;&gt;"",N(L194)&lt;0)),IF(F194="Short","REVIEW — back above 50-day avg","REVIEW — below 50-day avg"),"HOLD"))))),IF(OR(AP194="Closed",AP194="Dropped"),"Closed",IF(AK194="A",IF(F194="Short","Run Technical Review — SHORT entry","Run Technical Review — LONG entry"),IF(AK194="B","Watch — wait for setup","Drop or re-check next week")))))</f>
        <v/>
      </c>
      <c r="AV194" s="35"/>
      <c r="AX194" s="43" t="str">
        <f aca="false">IF(AND(C194&lt;&gt;"",A194=$C$4,ISNUMBER(AJ194)),AJ194+ROW()/100000,"")</f>
        <v/>
      </c>
    </row>
    <row r="195" customFormat="false" ht="15" hidden="false" customHeight="false" outlineLevel="0" collapsed="false">
      <c r="A195" s="19"/>
      <c r="B195" s="35"/>
      <c r="C195" s="35"/>
      <c r="D195" s="35"/>
      <c r="E195" s="35"/>
      <c r="F195" s="35"/>
      <c r="G195" s="26"/>
      <c r="H195" s="26"/>
      <c r="I195" s="36"/>
      <c r="J195" s="37" t="str">
        <f aca="false">IF(OR(G195="",I195=""),"",G195*I195/1000000)</f>
        <v/>
      </c>
      <c r="K195" s="21"/>
      <c r="L195" s="21"/>
      <c r="M195" s="21"/>
      <c r="N195" s="25"/>
      <c r="O195" s="21"/>
      <c r="P195" s="21"/>
      <c r="Q195" s="21"/>
      <c r="R195" s="21"/>
      <c r="S195" s="38"/>
      <c r="T195" s="21"/>
      <c r="U195" s="21"/>
      <c r="V195" s="19"/>
      <c r="W195" s="26"/>
      <c r="X195" s="35"/>
      <c r="Y195" s="26"/>
      <c r="Z195" s="26"/>
      <c r="AA195" s="26"/>
      <c r="AB195" s="16" t="str">
        <f aca="false">IF(C195="","",IF(F195="Short",(AND(M195&lt;&gt;"",N(M195)&lt;0))+(AND(L195&lt;&gt;"",N(L195)&lt;0))+(AND(K195&lt;&gt;"",N(K195)&lt;0))+AND(L195&lt;&gt;"",M195&lt;&gt;"",N(M195)&lt;N(L195)),(N(M195)&gt;0)+(N(L195)&gt;0)+(N(K195)&gt;0)+AND(L195&lt;&gt;"",M195&lt;&gt;"",N(M195)&gt;N(L195))))</f>
        <v/>
      </c>
      <c r="AC195" s="16" t="str">
        <f aca="false">IF(C195="","",IF(F195="Short",IF(N195="",0,IF(AND(N195&gt;=30,N195&lt;=50),2,IF(OR(AND(N195&gt;=25,N195&lt;30),AND(N195&gt;50,N195&lt;=60)),1,0)))+IF(P195="",0,IF(AND(IF(B195="JSE",$L$5,$L$4)&lt;&gt;"",P195&lt;IF(B195="JSE",$L$5,$L$4)),2,IF(P195&lt;0,1,0))),IF(N195="",0,IF(AND(N195&gt;=50,N195&lt;=70),2,IF(OR(AND(N195&gt;=40,N195&lt;50),AND(N195&gt;70,N195&lt;=75)),1,0)))+IF(P195="",0,IF(AND(IF(B195="JSE",$L$5,$L$4)&lt;&gt;"",P195&gt;IF(B195="JSE",$L$5,$L$4)),2,IF(P195&gt;0,1,0)))))</f>
        <v/>
      </c>
      <c r="AD195" s="16" t="str">
        <f aca="false">IF(C195="","",IF(F195="Short",IF(R195="",0,IF(R195&lt;=0.1,2,IF(R195&lt;=0.25,1,0))),IF(Q195="",0,IF(Q195&gt;=-0.1,2,IF(Q195&gt;=-0.25,1,0)))))</f>
        <v/>
      </c>
      <c r="AE195" s="16" t="str">
        <f aca="false">IF(C195="","",IF(J195="",0,IF(J195&gt;=IF(B195="JSE",$L$7,$L$6),2,IF(J195&gt;=IF(B195="JSE",$L$7,$L$6)/4,1,0))))</f>
        <v/>
      </c>
      <c r="AF195" s="16" t="str">
        <f aca="false">IF(C195="","",IF(F195="Short",AND(T195&lt;&gt;"",N(T195)&lt;0),N(T195)&gt;0)+(N(S195)&gt;=1.5))</f>
        <v/>
      </c>
      <c r="AG195" s="16" t="str">
        <f aca="false">IF(C195="","",IF(AL195="",0,IF(AL195&gt;=3,4,IF(AL195&gt;=2,2,0))))</f>
        <v/>
      </c>
      <c r="AH195" s="16" t="str">
        <f aca="false">IF(C195="","",IF(AND(ISNUMBER(V195),ISNUMBER(A195),V195&gt;=A195,V195-A195&lt;=14),-2,0))</f>
        <v/>
      </c>
      <c r="AI195" s="16" t="str">
        <f aca="false">IF(C195="","",IF(AND(F195="Short",N(U195)&gt;=0.2),-1,0))</f>
        <v/>
      </c>
      <c r="AJ195" s="23" t="str">
        <f aca="false">IF(C195="","",SUM(AB195:AI195))</f>
        <v/>
      </c>
      <c r="AK195" s="24" t="str">
        <f aca="false">IF(C195="","",IF(AJ195&gt;=14,"A",IF(AJ195&gt;=10,"B","C")))</f>
        <v/>
      </c>
      <c r="AL195" s="39" t="str">
        <f aca="false">IFERROR(IF(OR(Y195="",Z195="",AA195=""),"",IF(F195="Short",IF(Z195&lt;=Y195,"",(Y195-AA195)/(Z195-Y195)),IF(Y195&lt;=Z195,"",(AA195-Y195)/(Y195-Z195)))),"")</f>
        <v/>
      </c>
      <c r="AM195" s="37" t="str">
        <f aca="false">IF(OR(Y195="",Z195="",N(Y195)=N(Z195)),"",IF(OR(AND(F195="Short",Z195&lt;Y195),AND(NOT(F195="Short"),Z195&gt;Y195)),"stop on wrong side",ABS(Y195-Z195)))</f>
        <v/>
      </c>
      <c r="AN195" s="40" t="str">
        <f aca="false">IFERROR(IF(OR(NOT(ISNUMBER(AM195)),$C$6=""),"",ROUNDDOWN($C$6*$C$7/AM195,2)),"")</f>
        <v/>
      </c>
      <c r="AO195" s="37" t="str">
        <f aca="false">IFERROR(IF(AN195="","",AN195*Y195),"")</f>
        <v/>
      </c>
      <c r="AP195" s="35"/>
      <c r="AQ195" s="19"/>
      <c r="AR195" s="26"/>
      <c r="AS195" s="41" t="str">
        <f aca="false">IFERROR(IF(OR(AR195="",Y195="",AQ195=""),"",IF(F195="Short",1-AR195/Y195,AR195/Y195-1)),"")</f>
        <v/>
      </c>
      <c r="AT195" s="42" t="str">
        <f aca="true">IF(AQ195="","",IF(ISNUMBER($C$4),$C$4,TODAY())-AQ195)</f>
        <v/>
      </c>
      <c r="AU195" s="14" t="str">
        <f aca="false">IF(C195="","",IF(AP195="Open position",IF(IF(F195="Short",AND(ISNUMBER(AR195),ISNUMBER(Z195),AR195&gt;=Z195),AND(ISNUMBER(AR195),ISNUMBER(Z195),AR195&lt;=Z195)),IF(F195="Short","COVER — stop hit (buy back)","SELL — stop hit"),IF(IF(F195="Short",AND(ISNUMBER(AR195),ISNUMBER(AA195),AR195&lt;=AA195),AND(ISNUMBER(AR195),ISNUMBER(AA195),AR195&gt;=AA195)),"TAKE PROFIT — target hit",IF(AND(ISNUMBER(AT195),AT195&gt;182),IF(F195="Short","COVER — 6-month time limit","SELL — 6-month time limit"),IF(AND(ISNUMBER(AT195),AT195&gt;42,ISNUMBER(AS195),AS195&lt;0.02),"REVIEW — no progress after 6 weeks",IF(IF(F195="Short",AND(L195&lt;&gt;"",N(L195)&gt;0),AND(L195&lt;&gt;"",N(L195)&lt;0)),IF(F195="Short","REVIEW — back above 50-day avg","REVIEW — below 50-day avg"),"HOLD"))))),IF(OR(AP195="Closed",AP195="Dropped"),"Closed",IF(AK195="A",IF(F195="Short","Run Technical Review — SHORT entry","Run Technical Review — LONG entry"),IF(AK195="B","Watch — wait for setup","Drop or re-check next week")))))</f>
        <v/>
      </c>
      <c r="AV195" s="35"/>
      <c r="AX195" s="43" t="str">
        <f aca="false">IF(AND(C195&lt;&gt;"",A195=$C$4,ISNUMBER(AJ195)),AJ195+ROW()/100000,"")</f>
        <v/>
      </c>
    </row>
    <row r="196" customFormat="false" ht="15" hidden="false" customHeight="false" outlineLevel="0" collapsed="false">
      <c r="A196" s="19"/>
      <c r="B196" s="35"/>
      <c r="C196" s="35"/>
      <c r="D196" s="35"/>
      <c r="E196" s="35"/>
      <c r="F196" s="35"/>
      <c r="G196" s="26"/>
      <c r="H196" s="26"/>
      <c r="I196" s="36"/>
      <c r="J196" s="37" t="str">
        <f aca="false">IF(OR(G196="",I196=""),"",G196*I196/1000000)</f>
        <v/>
      </c>
      <c r="K196" s="21"/>
      <c r="L196" s="21"/>
      <c r="M196" s="21"/>
      <c r="N196" s="25"/>
      <c r="O196" s="21"/>
      <c r="P196" s="21"/>
      <c r="Q196" s="21"/>
      <c r="R196" s="21"/>
      <c r="S196" s="38"/>
      <c r="T196" s="21"/>
      <c r="U196" s="21"/>
      <c r="V196" s="19"/>
      <c r="W196" s="26"/>
      <c r="X196" s="35"/>
      <c r="Y196" s="26"/>
      <c r="Z196" s="26"/>
      <c r="AA196" s="26"/>
      <c r="AB196" s="16" t="str">
        <f aca="false">IF(C196="","",IF(F196="Short",(AND(M196&lt;&gt;"",N(M196)&lt;0))+(AND(L196&lt;&gt;"",N(L196)&lt;0))+(AND(K196&lt;&gt;"",N(K196)&lt;0))+AND(L196&lt;&gt;"",M196&lt;&gt;"",N(M196)&lt;N(L196)),(N(M196)&gt;0)+(N(L196)&gt;0)+(N(K196)&gt;0)+AND(L196&lt;&gt;"",M196&lt;&gt;"",N(M196)&gt;N(L196))))</f>
        <v/>
      </c>
      <c r="AC196" s="16" t="str">
        <f aca="false">IF(C196="","",IF(F196="Short",IF(N196="",0,IF(AND(N196&gt;=30,N196&lt;=50),2,IF(OR(AND(N196&gt;=25,N196&lt;30),AND(N196&gt;50,N196&lt;=60)),1,0)))+IF(P196="",0,IF(AND(IF(B196="JSE",$L$5,$L$4)&lt;&gt;"",P196&lt;IF(B196="JSE",$L$5,$L$4)),2,IF(P196&lt;0,1,0))),IF(N196="",0,IF(AND(N196&gt;=50,N196&lt;=70),2,IF(OR(AND(N196&gt;=40,N196&lt;50),AND(N196&gt;70,N196&lt;=75)),1,0)))+IF(P196="",0,IF(AND(IF(B196="JSE",$L$5,$L$4)&lt;&gt;"",P196&gt;IF(B196="JSE",$L$5,$L$4)),2,IF(P196&gt;0,1,0)))))</f>
        <v/>
      </c>
      <c r="AD196" s="16" t="str">
        <f aca="false">IF(C196="","",IF(F196="Short",IF(R196="",0,IF(R196&lt;=0.1,2,IF(R196&lt;=0.25,1,0))),IF(Q196="",0,IF(Q196&gt;=-0.1,2,IF(Q196&gt;=-0.25,1,0)))))</f>
        <v/>
      </c>
      <c r="AE196" s="16" t="str">
        <f aca="false">IF(C196="","",IF(J196="",0,IF(J196&gt;=IF(B196="JSE",$L$7,$L$6),2,IF(J196&gt;=IF(B196="JSE",$L$7,$L$6)/4,1,0))))</f>
        <v/>
      </c>
      <c r="AF196" s="16" t="str">
        <f aca="false">IF(C196="","",IF(F196="Short",AND(T196&lt;&gt;"",N(T196)&lt;0),N(T196)&gt;0)+(N(S196)&gt;=1.5))</f>
        <v/>
      </c>
      <c r="AG196" s="16" t="str">
        <f aca="false">IF(C196="","",IF(AL196="",0,IF(AL196&gt;=3,4,IF(AL196&gt;=2,2,0))))</f>
        <v/>
      </c>
      <c r="AH196" s="16" t="str">
        <f aca="false">IF(C196="","",IF(AND(ISNUMBER(V196),ISNUMBER(A196),V196&gt;=A196,V196-A196&lt;=14),-2,0))</f>
        <v/>
      </c>
      <c r="AI196" s="16" t="str">
        <f aca="false">IF(C196="","",IF(AND(F196="Short",N(U196)&gt;=0.2),-1,0))</f>
        <v/>
      </c>
      <c r="AJ196" s="23" t="str">
        <f aca="false">IF(C196="","",SUM(AB196:AI196))</f>
        <v/>
      </c>
      <c r="AK196" s="24" t="str">
        <f aca="false">IF(C196="","",IF(AJ196&gt;=14,"A",IF(AJ196&gt;=10,"B","C")))</f>
        <v/>
      </c>
      <c r="AL196" s="39" t="str">
        <f aca="false">IFERROR(IF(OR(Y196="",Z196="",AA196=""),"",IF(F196="Short",IF(Z196&lt;=Y196,"",(Y196-AA196)/(Z196-Y196)),IF(Y196&lt;=Z196,"",(AA196-Y196)/(Y196-Z196)))),"")</f>
        <v/>
      </c>
      <c r="AM196" s="37" t="str">
        <f aca="false">IF(OR(Y196="",Z196="",N(Y196)=N(Z196)),"",IF(OR(AND(F196="Short",Z196&lt;Y196),AND(NOT(F196="Short"),Z196&gt;Y196)),"stop on wrong side",ABS(Y196-Z196)))</f>
        <v/>
      </c>
      <c r="AN196" s="40" t="str">
        <f aca="false">IFERROR(IF(OR(NOT(ISNUMBER(AM196)),$C$6=""),"",ROUNDDOWN($C$6*$C$7/AM196,2)),"")</f>
        <v/>
      </c>
      <c r="AO196" s="37" t="str">
        <f aca="false">IFERROR(IF(AN196="","",AN196*Y196),"")</f>
        <v/>
      </c>
      <c r="AP196" s="35"/>
      <c r="AQ196" s="19"/>
      <c r="AR196" s="26"/>
      <c r="AS196" s="41" t="str">
        <f aca="false">IFERROR(IF(OR(AR196="",Y196="",AQ196=""),"",IF(F196="Short",1-AR196/Y196,AR196/Y196-1)),"")</f>
        <v/>
      </c>
      <c r="AT196" s="42" t="str">
        <f aca="true">IF(AQ196="","",IF(ISNUMBER($C$4),$C$4,TODAY())-AQ196)</f>
        <v/>
      </c>
      <c r="AU196" s="14" t="str">
        <f aca="false">IF(C196="","",IF(AP196="Open position",IF(IF(F196="Short",AND(ISNUMBER(AR196),ISNUMBER(Z196),AR196&gt;=Z196),AND(ISNUMBER(AR196),ISNUMBER(Z196),AR196&lt;=Z196)),IF(F196="Short","COVER — stop hit (buy back)","SELL — stop hit"),IF(IF(F196="Short",AND(ISNUMBER(AR196),ISNUMBER(AA196),AR196&lt;=AA196),AND(ISNUMBER(AR196),ISNUMBER(AA196),AR196&gt;=AA196)),"TAKE PROFIT — target hit",IF(AND(ISNUMBER(AT196),AT196&gt;182),IF(F196="Short","COVER — 6-month time limit","SELL — 6-month time limit"),IF(AND(ISNUMBER(AT196),AT196&gt;42,ISNUMBER(AS196),AS196&lt;0.02),"REVIEW — no progress after 6 weeks",IF(IF(F196="Short",AND(L196&lt;&gt;"",N(L196)&gt;0),AND(L196&lt;&gt;"",N(L196)&lt;0)),IF(F196="Short","REVIEW — back above 50-day avg","REVIEW — below 50-day avg"),"HOLD"))))),IF(OR(AP196="Closed",AP196="Dropped"),"Closed",IF(AK196="A",IF(F196="Short","Run Technical Review — SHORT entry","Run Technical Review — LONG entry"),IF(AK196="B","Watch — wait for setup","Drop or re-check next week")))))</f>
        <v/>
      </c>
      <c r="AV196" s="35"/>
      <c r="AX196" s="43" t="str">
        <f aca="false">IF(AND(C196&lt;&gt;"",A196=$C$4,ISNUMBER(AJ196)),AJ196+ROW()/100000,"")</f>
        <v/>
      </c>
    </row>
    <row r="197" customFormat="false" ht="15" hidden="false" customHeight="false" outlineLevel="0" collapsed="false">
      <c r="A197" s="19"/>
      <c r="B197" s="35"/>
      <c r="C197" s="35"/>
      <c r="D197" s="35"/>
      <c r="E197" s="35"/>
      <c r="F197" s="35"/>
      <c r="G197" s="26"/>
      <c r="H197" s="26"/>
      <c r="I197" s="36"/>
      <c r="J197" s="37" t="str">
        <f aca="false">IF(OR(G197="",I197=""),"",G197*I197/1000000)</f>
        <v/>
      </c>
      <c r="K197" s="21"/>
      <c r="L197" s="21"/>
      <c r="M197" s="21"/>
      <c r="N197" s="25"/>
      <c r="O197" s="21"/>
      <c r="P197" s="21"/>
      <c r="Q197" s="21"/>
      <c r="R197" s="21"/>
      <c r="S197" s="38"/>
      <c r="T197" s="21"/>
      <c r="U197" s="21"/>
      <c r="V197" s="19"/>
      <c r="W197" s="26"/>
      <c r="X197" s="35"/>
      <c r="Y197" s="26"/>
      <c r="Z197" s="26"/>
      <c r="AA197" s="26"/>
      <c r="AB197" s="16" t="str">
        <f aca="false">IF(C197="","",IF(F197="Short",(AND(M197&lt;&gt;"",N(M197)&lt;0))+(AND(L197&lt;&gt;"",N(L197)&lt;0))+(AND(K197&lt;&gt;"",N(K197)&lt;0))+AND(L197&lt;&gt;"",M197&lt;&gt;"",N(M197)&lt;N(L197)),(N(M197)&gt;0)+(N(L197)&gt;0)+(N(K197)&gt;0)+AND(L197&lt;&gt;"",M197&lt;&gt;"",N(M197)&gt;N(L197))))</f>
        <v/>
      </c>
      <c r="AC197" s="16" t="str">
        <f aca="false">IF(C197="","",IF(F197="Short",IF(N197="",0,IF(AND(N197&gt;=30,N197&lt;=50),2,IF(OR(AND(N197&gt;=25,N197&lt;30),AND(N197&gt;50,N197&lt;=60)),1,0)))+IF(P197="",0,IF(AND(IF(B197="JSE",$L$5,$L$4)&lt;&gt;"",P197&lt;IF(B197="JSE",$L$5,$L$4)),2,IF(P197&lt;0,1,0))),IF(N197="",0,IF(AND(N197&gt;=50,N197&lt;=70),2,IF(OR(AND(N197&gt;=40,N197&lt;50),AND(N197&gt;70,N197&lt;=75)),1,0)))+IF(P197="",0,IF(AND(IF(B197="JSE",$L$5,$L$4)&lt;&gt;"",P197&gt;IF(B197="JSE",$L$5,$L$4)),2,IF(P197&gt;0,1,0)))))</f>
        <v/>
      </c>
      <c r="AD197" s="16" t="str">
        <f aca="false">IF(C197="","",IF(F197="Short",IF(R197="",0,IF(R197&lt;=0.1,2,IF(R197&lt;=0.25,1,0))),IF(Q197="",0,IF(Q197&gt;=-0.1,2,IF(Q197&gt;=-0.25,1,0)))))</f>
        <v/>
      </c>
      <c r="AE197" s="16" t="str">
        <f aca="false">IF(C197="","",IF(J197="",0,IF(J197&gt;=IF(B197="JSE",$L$7,$L$6),2,IF(J197&gt;=IF(B197="JSE",$L$7,$L$6)/4,1,0))))</f>
        <v/>
      </c>
      <c r="AF197" s="16" t="str">
        <f aca="false">IF(C197="","",IF(F197="Short",AND(T197&lt;&gt;"",N(T197)&lt;0),N(T197)&gt;0)+(N(S197)&gt;=1.5))</f>
        <v/>
      </c>
      <c r="AG197" s="16" t="str">
        <f aca="false">IF(C197="","",IF(AL197="",0,IF(AL197&gt;=3,4,IF(AL197&gt;=2,2,0))))</f>
        <v/>
      </c>
      <c r="AH197" s="16" t="str">
        <f aca="false">IF(C197="","",IF(AND(ISNUMBER(V197),ISNUMBER(A197),V197&gt;=A197,V197-A197&lt;=14),-2,0))</f>
        <v/>
      </c>
      <c r="AI197" s="16" t="str">
        <f aca="false">IF(C197="","",IF(AND(F197="Short",N(U197)&gt;=0.2),-1,0))</f>
        <v/>
      </c>
      <c r="AJ197" s="23" t="str">
        <f aca="false">IF(C197="","",SUM(AB197:AI197))</f>
        <v/>
      </c>
      <c r="AK197" s="24" t="str">
        <f aca="false">IF(C197="","",IF(AJ197&gt;=14,"A",IF(AJ197&gt;=10,"B","C")))</f>
        <v/>
      </c>
      <c r="AL197" s="39" t="str">
        <f aca="false">IFERROR(IF(OR(Y197="",Z197="",AA197=""),"",IF(F197="Short",IF(Z197&lt;=Y197,"",(Y197-AA197)/(Z197-Y197)),IF(Y197&lt;=Z197,"",(AA197-Y197)/(Y197-Z197)))),"")</f>
        <v/>
      </c>
      <c r="AM197" s="37" t="str">
        <f aca="false">IF(OR(Y197="",Z197="",N(Y197)=N(Z197)),"",IF(OR(AND(F197="Short",Z197&lt;Y197),AND(NOT(F197="Short"),Z197&gt;Y197)),"stop on wrong side",ABS(Y197-Z197)))</f>
        <v/>
      </c>
      <c r="AN197" s="40" t="str">
        <f aca="false">IFERROR(IF(OR(NOT(ISNUMBER(AM197)),$C$6=""),"",ROUNDDOWN($C$6*$C$7/AM197,2)),"")</f>
        <v/>
      </c>
      <c r="AO197" s="37" t="str">
        <f aca="false">IFERROR(IF(AN197="","",AN197*Y197),"")</f>
        <v/>
      </c>
      <c r="AP197" s="35"/>
      <c r="AQ197" s="19"/>
      <c r="AR197" s="26"/>
      <c r="AS197" s="41" t="str">
        <f aca="false">IFERROR(IF(OR(AR197="",Y197="",AQ197=""),"",IF(F197="Short",1-AR197/Y197,AR197/Y197-1)),"")</f>
        <v/>
      </c>
      <c r="AT197" s="42" t="str">
        <f aca="true">IF(AQ197="","",IF(ISNUMBER($C$4),$C$4,TODAY())-AQ197)</f>
        <v/>
      </c>
      <c r="AU197" s="14" t="str">
        <f aca="false">IF(C197="","",IF(AP197="Open position",IF(IF(F197="Short",AND(ISNUMBER(AR197),ISNUMBER(Z197),AR197&gt;=Z197),AND(ISNUMBER(AR197),ISNUMBER(Z197),AR197&lt;=Z197)),IF(F197="Short","COVER — stop hit (buy back)","SELL — stop hit"),IF(IF(F197="Short",AND(ISNUMBER(AR197),ISNUMBER(AA197),AR197&lt;=AA197),AND(ISNUMBER(AR197),ISNUMBER(AA197),AR197&gt;=AA197)),"TAKE PROFIT — target hit",IF(AND(ISNUMBER(AT197),AT197&gt;182),IF(F197="Short","COVER — 6-month time limit","SELL — 6-month time limit"),IF(AND(ISNUMBER(AT197),AT197&gt;42,ISNUMBER(AS197),AS197&lt;0.02),"REVIEW — no progress after 6 weeks",IF(IF(F197="Short",AND(L197&lt;&gt;"",N(L197)&gt;0),AND(L197&lt;&gt;"",N(L197)&lt;0)),IF(F197="Short","REVIEW — back above 50-day avg","REVIEW — below 50-day avg"),"HOLD"))))),IF(OR(AP197="Closed",AP197="Dropped"),"Closed",IF(AK197="A",IF(F197="Short","Run Technical Review — SHORT entry","Run Technical Review — LONG entry"),IF(AK197="B","Watch — wait for setup","Drop or re-check next week")))))</f>
        <v/>
      </c>
      <c r="AV197" s="35"/>
      <c r="AX197" s="43" t="str">
        <f aca="false">IF(AND(C197&lt;&gt;"",A197=$C$4,ISNUMBER(AJ197)),AJ197+ROW()/100000,"")</f>
        <v/>
      </c>
    </row>
    <row r="198" customFormat="false" ht="15" hidden="false" customHeight="false" outlineLevel="0" collapsed="false">
      <c r="A198" s="19"/>
      <c r="B198" s="35"/>
      <c r="C198" s="35"/>
      <c r="D198" s="35"/>
      <c r="E198" s="35"/>
      <c r="F198" s="35"/>
      <c r="G198" s="26"/>
      <c r="H198" s="26"/>
      <c r="I198" s="36"/>
      <c r="J198" s="37" t="str">
        <f aca="false">IF(OR(G198="",I198=""),"",G198*I198/1000000)</f>
        <v/>
      </c>
      <c r="K198" s="21"/>
      <c r="L198" s="21"/>
      <c r="M198" s="21"/>
      <c r="N198" s="25"/>
      <c r="O198" s="21"/>
      <c r="P198" s="21"/>
      <c r="Q198" s="21"/>
      <c r="R198" s="21"/>
      <c r="S198" s="38"/>
      <c r="T198" s="21"/>
      <c r="U198" s="21"/>
      <c r="V198" s="19"/>
      <c r="W198" s="26"/>
      <c r="X198" s="35"/>
      <c r="Y198" s="26"/>
      <c r="Z198" s="26"/>
      <c r="AA198" s="26"/>
      <c r="AB198" s="16" t="str">
        <f aca="false">IF(C198="","",IF(F198="Short",(AND(M198&lt;&gt;"",N(M198)&lt;0))+(AND(L198&lt;&gt;"",N(L198)&lt;0))+(AND(K198&lt;&gt;"",N(K198)&lt;0))+AND(L198&lt;&gt;"",M198&lt;&gt;"",N(M198)&lt;N(L198)),(N(M198)&gt;0)+(N(L198)&gt;0)+(N(K198)&gt;0)+AND(L198&lt;&gt;"",M198&lt;&gt;"",N(M198)&gt;N(L198))))</f>
        <v/>
      </c>
      <c r="AC198" s="16" t="str">
        <f aca="false">IF(C198="","",IF(F198="Short",IF(N198="",0,IF(AND(N198&gt;=30,N198&lt;=50),2,IF(OR(AND(N198&gt;=25,N198&lt;30),AND(N198&gt;50,N198&lt;=60)),1,0)))+IF(P198="",0,IF(AND(IF(B198="JSE",$L$5,$L$4)&lt;&gt;"",P198&lt;IF(B198="JSE",$L$5,$L$4)),2,IF(P198&lt;0,1,0))),IF(N198="",0,IF(AND(N198&gt;=50,N198&lt;=70),2,IF(OR(AND(N198&gt;=40,N198&lt;50),AND(N198&gt;70,N198&lt;=75)),1,0)))+IF(P198="",0,IF(AND(IF(B198="JSE",$L$5,$L$4)&lt;&gt;"",P198&gt;IF(B198="JSE",$L$5,$L$4)),2,IF(P198&gt;0,1,0)))))</f>
        <v/>
      </c>
      <c r="AD198" s="16" t="str">
        <f aca="false">IF(C198="","",IF(F198="Short",IF(R198="",0,IF(R198&lt;=0.1,2,IF(R198&lt;=0.25,1,0))),IF(Q198="",0,IF(Q198&gt;=-0.1,2,IF(Q198&gt;=-0.25,1,0)))))</f>
        <v/>
      </c>
      <c r="AE198" s="16" t="str">
        <f aca="false">IF(C198="","",IF(J198="",0,IF(J198&gt;=IF(B198="JSE",$L$7,$L$6),2,IF(J198&gt;=IF(B198="JSE",$L$7,$L$6)/4,1,0))))</f>
        <v/>
      </c>
      <c r="AF198" s="16" t="str">
        <f aca="false">IF(C198="","",IF(F198="Short",AND(T198&lt;&gt;"",N(T198)&lt;0),N(T198)&gt;0)+(N(S198)&gt;=1.5))</f>
        <v/>
      </c>
      <c r="AG198" s="16" t="str">
        <f aca="false">IF(C198="","",IF(AL198="",0,IF(AL198&gt;=3,4,IF(AL198&gt;=2,2,0))))</f>
        <v/>
      </c>
      <c r="AH198" s="16" t="str">
        <f aca="false">IF(C198="","",IF(AND(ISNUMBER(V198),ISNUMBER(A198),V198&gt;=A198,V198-A198&lt;=14),-2,0))</f>
        <v/>
      </c>
      <c r="AI198" s="16" t="str">
        <f aca="false">IF(C198="","",IF(AND(F198="Short",N(U198)&gt;=0.2),-1,0))</f>
        <v/>
      </c>
      <c r="AJ198" s="23" t="str">
        <f aca="false">IF(C198="","",SUM(AB198:AI198))</f>
        <v/>
      </c>
      <c r="AK198" s="24" t="str">
        <f aca="false">IF(C198="","",IF(AJ198&gt;=14,"A",IF(AJ198&gt;=10,"B","C")))</f>
        <v/>
      </c>
      <c r="AL198" s="39" t="str">
        <f aca="false">IFERROR(IF(OR(Y198="",Z198="",AA198=""),"",IF(F198="Short",IF(Z198&lt;=Y198,"",(Y198-AA198)/(Z198-Y198)),IF(Y198&lt;=Z198,"",(AA198-Y198)/(Y198-Z198)))),"")</f>
        <v/>
      </c>
      <c r="AM198" s="37" t="str">
        <f aca="false">IF(OR(Y198="",Z198="",N(Y198)=N(Z198)),"",IF(OR(AND(F198="Short",Z198&lt;Y198),AND(NOT(F198="Short"),Z198&gt;Y198)),"stop on wrong side",ABS(Y198-Z198)))</f>
        <v/>
      </c>
      <c r="AN198" s="40" t="str">
        <f aca="false">IFERROR(IF(OR(NOT(ISNUMBER(AM198)),$C$6=""),"",ROUNDDOWN($C$6*$C$7/AM198,2)),"")</f>
        <v/>
      </c>
      <c r="AO198" s="37" t="str">
        <f aca="false">IFERROR(IF(AN198="","",AN198*Y198),"")</f>
        <v/>
      </c>
      <c r="AP198" s="35"/>
      <c r="AQ198" s="19"/>
      <c r="AR198" s="26"/>
      <c r="AS198" s="41" t="str">
        <f aca="false">IFERROR(IF(OR(AR198="",Y198="",AQ198=""),"",IF(F198="Short",1-AR198/Y198,AR198/Y198-1)),"")</f>
        <v/>
      </c>
      <c r="AT198" s="42" t="str">
        <f aca="true">IF(AQ198="","",IF(ISNUMBER($C$4),$C$4,TODAY())-AQ198)</f>
        <v/>
      </c>
      <c r="AU198" s="14" t="str">
        <f aca="false">IF(C198="","",IF(AP198="Open position",IF(IF(F198="Short",AND(ISNUMBER(AR198),ISNUMBER(Z198),AR198&gt;=Z198),AND(ISNUMBER(AR198),ISNUMBER(Z198),AR198&lt;=Z198)),IF(F198="Short","COVER — stop hit (buy back)","SELL — stop hit"),IF(IF(F198="Short",AND(ISNUMBER(AR198),ISNUMBER(AA198),AR198&lt;=AA198),AND(ISNUMBER(AR198),ISNUMBER(AA198),AR198&gt;=AA198)),"TAKE PROFIT — target hit",IF(AND(ISNUMBER(AT198),AT198&gt;182),IF(F198="Short","COVER — 6-month time limit","SELL — 6-month time limit"),IF(AND(ISNUMBER(AT198),AT198&gt;42,ISNUMBER(AS198),AS198&lt;0.02),"REVIEW — no progress after 6 weeks",IF(IF(F198="Short",AND(L198&lt;&gt;"",N(L198)&gt;0),AND(L198&lt;&gt;"",N(L198)&lt;0)),IF(F198="Short","REVIEW — back above 50-day avg","REVIEW — below 50-day avg"),"HOLD"))))),IF(OR(AP198="Closed",AP198="Dropped"),"Closed",IF(AK198="A",IF(F198="Short","Run Technical Review — SHORT entry","Run Technical Review — LONG entry"),IF(AK198="B","Watch — wait for setup","Drop or re-check next week")))))</f>
        <v/>
      </c>
      <c r="AV198" s="35"/>
      <c r="AX198" s="43" t="str">
        <f aca="false">IF(AND(C198&lt;&gt;"",A198=$C$4,ISNUMBER(AJ198)),AJ198+ROW()/100000,"")</f>
        <v/>
      </c>
    </row>
    <row r="199" customFormat="false" ht="15" hidden="false" customHeight="false" outlineLevel="0" collapsed="false">
      <c r="A199" s="19"/>
      <c r="B199" s="35"/>
      <c r="C199" s="35"/>
      <c r="D199" s="35"/>
      <c r="E199" s="35"/>
      <c r="F199" s="35"/>
      <c r="G199" s="26"/>
      <c r="H199" s="26"/>
      <c r="I199" s="36"/>
      <c r="J199" s="37" t="str">
        <f aca="false">IF(OR(G199="",I199=""),"",G199*I199/1000000)</f>
        <v/>
      </c>
      <c r="K199" s="21"/>
      <c r="L199" s="21"/>
      <c r="M199" s="21"/>
      <c r="N199" s="25"/>
      <c r="O199" s="21"/>
      <c r="P199" s="21"/>
      <c r="Q199" s="21"/>
      <c r="R199" s="21"/>
      <c r="S199" s="38"/>
      <c r="T199" s="21"/>
      <c r="U199" s="21"/>
      <c r="V199" s="19"/>
      <c r="W199" s="26"/>
      <c r="X199" s="35"/>
      <c r="Y199" s="26"/>
      <c r="Z199" s="26"/>
      <c r="AA199" s="26"/>
      <c r="AB199" s="16" t="str">
        <f aca="false">IF(C199="","",IF(F199="Short",(AND(M199&lt;&gt;"",N(M199)&lt;0))+(AND(L199&lt;&gt;"",N(L199)&lt;0))+(AND(K199&lt;&gt;"",N(K199)&lt;0))+AND(L199&lt;&gt;"",M199&lt;&gt;"",N(M199)&lt;N(L199)),(N(M199)&gt;0)+(N(L199)&gt;0)+(N(K199)&gt;0)+AND(L199&lt;&gt;"",M199&lt;&gt;"",N(M199)&gt;N(L199))))</f>
        <v/>
      </c>
      <c r="AC199" s="16" t="str">
        <f aca="false">IF(C199="","",IF(F199="Short",IF(N199="",0,IF(AND(N199&gt;=30,N199&lt;=50),2,IF(OR(AND(N199&gt;=25,N199&lt;30),AND(N199&gt;50,N199&lt;=60)),1,0)))+IF(P199="",0,IF(AND(IF(B199="JSE",$L$5,$L$4)&lt;&gt;"",P199&lt;IF(B199="JSE",$L$5,$L$4)),2,IF(P199&lt;0,1,0))),IF(N199="",0,IF(AND(N199&gt;=50,N199&lt;=70),2,IF(OR(AND(N199&gt;=40,N199&lt;50),AND(N199&gt;70,N199&lt;=75)),1,0)))+IF(P199="",0,IF(AND(IF(B199="JSE",$L$5,$L$4)&lt;&gt;"",P199&gt;IF(B199="JSE",$L$5,$L$4)),2,IF(P199&gt;0,1,0)))))</f>
        <v/>
      </c>
      <c r="AD199" s="16" t="str">
        <f aca="false">IF(C199="","",IF(F199="Short",IF(R199="",0,IF(R199&lt;=0.1,2,IF(R199&lt;=0.25,1,0))),IF(Q199="",0,IF(Q199&gt;=-0.1,2,IF(Q199&gt;=-0.25,1,0)))))</f>
        <v/>
      </c>
      <c r="AE199" s="16" t="str">
        <f aca="false">IF(C199="","",IF(J199="",0,IF(J199&gt;=IF(B199="JSE",$L$7,$L$6),2,IF(J199&gt;=IF(B199="JSE",$L$7,$L$6)/4,1,0))))</f>
        <v/>
      </c>
      <c r="AF199" s="16" t="str">
        <f aca="false">IF(C199="","",IF(F199="Short",AND(T199&lt;&gt;"",N(T199)&lt;0),N(T199)&gt;0)+(N(S199)&gt;=1.5))</f>
        <v/>
      </c>
      <c r="AG199" s="16" t="str">
        <f aca="false">IF(C199="","",IF(AL199="",0,IF(AL199&gt;=3,4,IF(AL199&gt;=2,2,0))))</f>
        <v/>
      </c>
      <c r="AH199" s="16" t="str">
        <f aca="false">IF(C199="","",IF(AND(ISNUMBER(V199),ISNUMBER(A199),V199&gt;=A199,V199-A199&lt;=14),-2,0))</f>
        <v/>
      </c>
      <c r="AI199" s="16" t="str">
        <f aca="false">IF(C199="","",IF(AND(F199="Short",N(U199)&gt;=0.2),-1,0))</f>
        <v/>
      </c>
      <c r="AJ199" s="23" t="str">
        <f aca="false">IF(C199="","",SUM(AB199:AI199))</f>
        <v/>
      </c>
      <c r="AK199" s="24" t="str">
        <f aca="false">IF(C199="","",IF(AJ199&gt;=14,"A",IF(AJ199&gt;=10,"B","C")))</f>
        <v/>
      </c>
      <c r="AL199" s="39" t="str">
        <f aca="false">IFERROR(IF(OR(Y199="",Z199="",AA199=""),"",IF(F199="Short",IF(Z199&lt;=Y199,"",(Y199-AA199)/(Z199-Y199)),IF(Y199&lt;=Z199,"",(AA199-Y199)/(Y199-Z199)))),"")</f>
        <v/>
      </c>
      <c r="AM199" s="37" t="str">
        <f aca="false">IF(OR(Y199="",Z199="",N(Y199)=N(Z199)),"",IF(OR(AND(F199="Short",Z199&lt;Y199),AND(NOT(F199="Short"),Z199&gt;Y199)),"stop on wrong side",ABS(Y199-Z199)))</f>
        <v/>
      </c>
      <c r="AN199" s="40" t="str">
        <f aca="false">IFERROR(IF(OR(NOT(ISNUMBER(AM199)),$C$6=""),"",ROUNDDOWN($C$6*$C$7/AM199,2)),"")</f>
        <v/>
      </c>
      <c r="AO199" s="37" t="str">
        <f aca="false">IFERROR(IF(AN199="","",AN199*Y199),"")</f>
        <v/>
      </c>
      <c r="AP199" s="35"/>
      <c r="AQ199" s="19"/>
      <c r="AR199" s="26"/>
      <c r="AS199" s="41" t="str">
        <f aca="false">IFERROR(IF(OR(AR199="",Y199="",AQ199=""),"",IF(F199="Short",1-AR199/Y199,AR199/Y199-1)),"")</f>
        <v/>
      </c>
      <c r="AT199" s="42" t="str">
        <f aca="true">IF(AQ199="","",IF(ISNUMBER($C$4),$C$4,TODAY())-AQ199)</f>
        <v/>
      </c>
      <c r="AU199" s="14" t="str">
        <f aca="false">IF(C199="","",IF(AP199="Open position",IF(IF(F199="Short",AND(ISNUMBER(AR199),ISNUMBER(Z199),AR199&gt;=Z199),AND(ISNUMBER(AR199),ISNUMBER(Z199),AR199&lt;=Z199)),IF(F199="Short","COVER — stop hit (buy back)","SELL — stop hit"),IF(IF(F199="Short",AND(ISNUMBER(AR199),ISNUMBER(AA199),AR199&lt;=AA199),AND(ISNUMBER(AR199),ISNUMBER(AA199),AR199&gt;=AA199)),"TAKE PROFIT — target hit",IF(AND(ISNUMBER(AT199),AT199&gt;182),IF(F199="Short","COVER — 6-month time limit","SELL — 6-month time limit"),IF(AND(ISNUMBER(AT199),AT199&gt;42,ISNUMBER(AS199),AS199&lt;0.02),"REVIEW — no progress after 6 weeks",IF(IF(F199="Short",AND(L199&lt;&gt;"",N(L199)&gt;0),AND(L199&lt;&gt;"",N(L199)&lt;0)),IF(F199="Short","REVIEW — back above 50-day avg","REVIEW — below 50-day avg"),"HOLD"))))),IF(OR(AP199="Closed",AP199="Dropped"),"Closed",IF(AK199="A",IF(F199="Short","Run Technical Review — SHORT entry","Run Technical Review — LONG entry"),IF(AK199="B","Watch — wait for setup","Drop or re-check next week")))))</f>
        <v/>
      </c>
      <c r="AV199" s="35"/>
      <c r="AX199" s="43" t="str">
        <f aca="false">IF(AND(C199&lt;&gt;"",A199=$C$4,ISNUMBER(AJ199)),AJ199+ROW()/100000,"")</f>
        <v/>
      </c>
    </row>
    <row r="200" customFormat="false" ht="15" hidden="false" customHeight="false" outlineLevel="0" collapsed="false">
      <c r="A200" s="19"/>
      <c r="B200" s="35"/>
      <c r="C200" s="35"/>
      <c r="D200" s="35"/>
      <c r="E200" s="35"/>
      <c r="F200" s="35"/>
      <c r="G200" s="26"/>
      <c r="H200" s="26"/>
      <c r="I200" s="36"/>
      <c r="J200" s="37" t="str">
        <f aca="false">IF(OR(G200="",I200=""),"",G200*I200/1000000)</f>
        <v/>
      </c>
      <c r="K200" s="21"/>
      <c r="L200" s="21"/>
      <c r="M200" s="21"/>
      <c r="N200" s="25"/>
      <c r="O200" s="21"/>
      <c r="P200" s="21"/>
      <c r="Q200" s="21"/>
      <c r="R200" s="21"/>
      <c r="S200" s="38"/>
      <c r="T200" s="21"/>
      <c r="U200" s="21"/>
      <c r="V200" s="19"/>
      <c r="W200" s="26"/>
      <c r="X200" s="35"/>
      <c r="Y200" s="26"/>
      <c r="Z200" s="26"/>
      <c r="AA200" s="26"/>
      <c r="AB200" s="16" t="str">
        <f aca="false">IF(C200="","",IF(F200="Short",(AND(M200&lt;&gt;"",N(M200)&lt;0))+(AND(L200&lt;&gt;"",N(L200)&lt;0))+(AND(K200&lt;&gt;"",N(K200)&lt;0))+AND(L200&lt;&gt;"",M200&lt;&gt;"",N(M200)&lt;N(L200)),(N(M200)&gt;0)+(N(L200)&gt;0)+(N(K200)&gt;0)+AND(L200&lt;&gt;"",M200&lt;&gt;"",N(M200)&gt;N(L200))))</f>
        <v/>
      </c>
      <c r="AC200" s="16" t="str">
        <f aca="false">IF(C200="","",IF(F200="Short",IF(N200="",0,IF(AND(N200&gt;=30,N200&lt;=50),2,IF(OR(AND(N200&gt;=25,N200&lt;30),AND(N200&gt;50,N200&lt;=60)),1,0)))+IF(P200="",0,IF(AND(IF(B200="JSE",$L$5,$L$4)&lt;&gt;"",P200&lt;IF(B200="JSE",$L$5,$L$4)),2,IF(P200&lt;0,1,0))),IF(N200="",0,IF(AND(N200&gt;=50,N200&lt;=70),2,IF(OR(AND(N200&gt;=40,N200&lt;50),AND(N200&gt;70,N200&lt;=75)),1,0)))+IF(P200="",0,IF(AND(IF(B200="JSE",$L$5,$L$4)&lt;&gt;"",P200&gt;IF(B200="JSE",$L$5,$L$4)),2,IF(P200&gt;0,1,0)))))</f>
        <v/>
      </c>
      <c r="AD200" s="16" t="str">
        <f aca="false">IF(C200="","",IF(F200="Short",IF(R200="",0,IF(R200&lt;=0.1,2,IF(R200&lt;=0.25,1,0))),IF(Q200="",0,IF(Q200&gt;=-0.1,2,IF(Q200&gt;=-0.25,1,0)))))</f>
        <v/>
      </c>
      <c r="AE200" s="16" t="str">
        <f aca="false">IF(C200="","",IF(J200="",0,IF(J200&gt;=IF(B200="JSE",$L$7,$L$6),2,IF(J200&gt;=IF(B200="JSE",$L$7,$L$6)/4,1,0))))</f>
        <v/>
      </c>
      <c r="AF200" s="16" t="str">
        <f aca="false">IF(C200="","",IF(F200="Short",AND(T200&lt;&gt;"",N(T200)&lt;0),N(T200)&gt;0)+(N(S200)&gt;=1.5))</f>
        <v/>
      </c>
      <c r="AG200" s="16" t="str">
        <f aca="false">IF(C200="","",IF(AL200="",0,IF(AL200&gt;=3,4,IF(AL200&gt;=2,2,0))))</f>
        <v/>
      </c>
      <c r="AH200" s="16" t="str">
        <f aca="false">IF(C200="","",IF(AND(ISNUMBER(V200),ISNUMBER(A200),V200&gt;=A200,V200-A200&lt;=14),-2,0))</f>
        <v/>
      </c>
      <c r="AI200" s="16" t="str">
        <f aca="false">IF(C200="","",IF(AND(F200="Short",N(U200)&gt;=0.2),-1,0))</f>
        <v/>
      </c>
      <c r="AJ200" s="23" t="str">
        <f aca="false">IF(C200="","",SUM(AB200:AI200))</f>
        <v/>
      </c>
      <c r="AK200" s="24" t="str">
        <f aca="false">IF(C200="","",IF(AJ200&gt;=14,"A",IF(AJ200&gt;=10,"B","C")))</f>
        <v/>
      </c>
      <c r="AL200" s="39" t="str">
        <f aca="false">IFERROR(IF(OR(Y200="",Z200="",AA200=""),"",IF(F200="Short",IF(Z200&lt;=Y200,"",(Y200-AA200)/(Z200-Y200)),IF(Y200&lt;=Z200,"",(AA200-Y200)/(Y200-Z200)))),"")</f>
        <v/>
      </c>
      <c r="AM200" s="37" t="str">
        <f aca="false">IF(OR(Y200="",Z200="",N(Y200)=N(Z200)),"",IF(OR(AND(F200="Short",Z200&lt;Y200),AND(NOT(F200="Short"),Z200&gt;Y200)),"stop on wrong side",ABS(Y200-Z200)))</f>
        <v/>
      </c>
      <c r="AN200" s="40" t="str">
        <f aca="false">IFERROR(IF(OR(NOT(ISNUMBER(AM200)),$C$6=""),"",ROUNDDOWN($C$6*$C$7/AM200,2)),"")</f>
        <v/>
      </c>
      <c r="AO200" s="37" t="str">
        <f aca="false">IFERROR(IF(AN200="","",AN200*Y200),"")</f>
        <v/>
      </c>
      <c r="AP200" s="35"/>
      <c r="AQ200" s="19"/>
      <c r="AR200" s="26"/>
      <c r="AS200" s="41" t="str">
        <f aca="false">IFERROR(IF(OR(AR200="",Y200="",AQ200=""),"",IF(F200="Short",1-AR200/Y200,AR200/Y200-1)),"")</f>
        <v/>
      </c>
      <c r="AT200" s="42" t="str">
        <f aca="true">IF(AQ200="","",IF(ISNUMBER($C$4),$C$4,TODAY())-AQ200)</f>
        <v/>
      </c>
      <c r="AU200" s="14" t="str">
        <f aca="false">IF(C200="","",IF(AP200="Open position",IF(IF(F200="Short",AND(ISNUMBER(AR200),ISNUMBER(Z200),AR200&gt;=Z200),AND(ISNUMBER(AR200),ISNUMBER(Z200),AR200&lt;=Z200)),IF(F200="Short","COVER — stop hit (buy back)","SELL — stop hit"),IF(IF(F200="Short",AND(ISNUMBER(AR200),ISNUMBER(AA200),AR200&lt;=AA200),AND(ISNUMBER(AR200),ISNUMBER(AA200),AR200&gt;=AA200)),"TAKE PROFIT — target hit",IF(AND(ISNUMBER(AT200),AT200&gt;182),IF(F200="Short","COVER — 6-month time limit","SELL — 6-month time limit"),IF(AND(ISNUMBER(AT200),AT200&gt;42,ISNUMBER(AS200),AS200&lt;0.02),"REVIEW — no progress after 6 weeks",IF(IF(F200="Short",AND(L200&lt;&gt;"",N(L200)&gt;0),AND(L200&lt;&gt;"",N(L200)&lt;0)),IF(F200="Short","REVIEW — back above 50-day avg","REVIEW — below 50-day avg"),"HOLD"))))),IF(OR(AP200="Closed",AP200="Dropped"),"Closed",IF(AK200="A",IF(F200="Short","Run Technical Review — SHORT entry","Run Technical Review — LONG entry"),IF(AK200="B","Watch — wait for setup","Drop or re-check next week")))))</f>
        <v/>
      </c>
      <c r="AV200" s="35"/>
      <c r="AX200" s="43" t="str">
        <f aca="false">IF(AND(C200&lt;&gt;"",A200=$C$4,ISNUMBER(AJ200)),AJ200+ROW()/100000,"")</f>
        <v/>
      </c>
    </row>
    <row r="201" customFormat="false" ht="15" hidden="false" customHeight="false" outlineLevel="0" collapsed="false">
      <c r="A201" s="19"/>
      <c r="B201" s="35"/>
      <c r="C201" s="35"/>
      <c r="D201" s="35"/>
      <c r="E201" s="35"/>
      <c r="F201" s="35"/>
      <c r="G201" s="26"/>
      <c r="H201" s="26"/>
      <c r="I201" s="36"/>
      <c r="J201" s="37" t="str">
        <f aca="false">IF(OR(G201="",I201=""),"",G201*I201/1000000)</f>
        <v/>
      </c>
      <c r="K201" s="21"/>
      <c r="L201" s="21"/>
      <c r="M201" s="21"/>
      <c r="N201" s="25"/>
      <c r="O201" s="21"/>
      <c r="P201" s="21"/>
      <c r="Q201" s="21"/>
      <c r="R201" s="21"/>
      <c r="S201" s="38"/>
      <c r="T201" s="21"/>
      <c r="U201" s="21"/>
      <c r="V201" s="19"/>
      <c r="W201" s="26"/>
      <c r="X201" s="35"/>
      <c r="Y201" s="26"/>
      <c r="Z201" s="26"/>
      <c r="AA201" s="26"/>
      <c r="AB201" s="16" t="str">
        <f aca="false">IF(C201="","",IF(F201="Short",(AND(M201&lt;&gt;"",N(M201)&lt;0))+(AND(L201&lt;&gt;"",N(L201)&lt;0))+(AND(K201&lt;&gt;"",N(K201)&lt;0))+AND(L201&lt;&gt;"",M201&lt;&gt;"",N(M201)&lt;N(L201)),(N(M201)&gt;0)+(N(L201)&gt;0)+(N(K201)&gt;0)+AND(L201&lt;&gt;"",M201&lt;&gt;"",N(M201)&gt;N(L201))))</f>
        <v/>
      </c>
      <c r="AC201" s="16" t="str">
        <f aca="false">IF(C201="","",IF(F201="Short",IF(N201="",0,IF(AND(N201&gt;=30,N201&lt;=50),2,IF(OR(AND(N201&gt;=25,N201&lt;30),AND(N201&gt;50,N201&lt;=60)),1,0)))+IF(P201="",0,IF(AND(IF(B201="JSE",$L$5,$L$4)&lt;&gt;"",P201&lt;IF(B201="JSE",$L$5,$L$4)),2,IF(P201&lt;0,1,0))),IF(N201="",0,IF(AND(N201&gt;=50,N201&lt;=70),2,IF(OR(AND(N201&gt;=40,N201&lt;50),AND(N201&gt;70,N201&lt;=75)),1,0)))+IF(P201="",0,IF(AND(IF(B201="JSE",$L$5,$L$4)&lt;&gt;"",P201&gt;IF(B201="JSE",$L$5,$L$4)),2,IF(P201&gt;0,1,0)))))</f>
        <v/>
      </c>
      <c r="AD201" s="16" t="str">
        <f aca="false">IF(C201="","",IF(F201="Short",IF(R201="",0,IF(R201&lt;=0.1,2,IF(R201&lt;=0.25,1,0))),IF(Q201="",0,IF(Q201&gt;=-0.1,2,IF(Q201&gt;=-0.25,1,0)))))</f>
        <v/>
      </c>
      <c r="AE201" s="16" t="str">
        <f aca="false">IF(C201="","",IF(J201="",0,IF(J201&gt;=IF(B201="JSE",$L$7,$L$6),2,IF(J201&gt;=IF(B201="JSE",$L$7,$L$6)/4,1,0))))</f>
        <v/>
      </c>
      <c r="AF201" s="16" t="str">
        <f aca="false">IF(C201="","",IF(F201="Short",AND(T201&lt;&gt;"",N(T201)&lt;0),N(T201)&gt;0)+(N(S201)&gt;=1.5))</f>
        <v/>
      </c>
      <c r="AG201" s="16" t="str">
        <f aca="false">IF(C201="","",IF(AL201="",0,IF(AL201&gt;=3,4,IF(AL201&gt;=2,2,0))))</f>
        <v/>
      </c>
      <c r="AH201" s="16" t="str">
        <f aca="false">IF(C201="","",IF(AND(ISNUMBER(V201),ISNUMBER(A201),V201&gt;=A201,V201-A201&lt;=14),-2,0))</f>
        <v/>
      </c>
      <c r="AI201" s="16" t="str">
        <f aca="false">IF(C201="","",IF(AND(F201="Short",N(U201)&gt;=0.2),-1,0))</f>
        <v/>
      </c>
      <c r="AJ201" s="23" t="str">
        <f aca="false">IF(C201="","",SUM(AB201:AI201))</f>
        <v/>
      </c>
      <c r="AK201" s="24" t="str">
        <f aca="false">IF(C201="","",IF(AJ201&gt;=14,"A",IF(AJ201&gt;=10,"B","C")))</f>
        <v/>
      </c>
      <c r="AL201" s="39" t="str">
        <f aca="false">IFERROR(IF(OR(Y201="",Z201="",AA201=""),"",IF(F201="Short",IF(Z201&lt;=Y201,"",(Y201-AA201)/(Z201-Y201)),IF(Y201&lt;=Z201,"",(AA201-Y201)/(Y201-Z201)))),"")</f>
        <v/>
      </c>
      <c r="AM201" s="37" t="str">
        <f aca="false">IF(OR(Y201="",Z201="",N(Y201)=N(Z201)),"",IF(OR(AND(F201="Short",Z201&lt;Y201),AND(NOT(F201="Short"),Z201&gt;Y201)),"stop on wrong side",ABS(Y201-Z201)))</f>
        <v/>
      </c>
      <c r="AN201" s="40" t="str">
        <f aca="false">IFERROR(IF(OR(NOT(ISNUMBER(AM201)),$C$6=""),"",ROUNDDOWN($C$6*$C$7/AM201,2)),"")</f>
        <v/>
      </c>
      <c r="AO201" s="37" t="str">
        <f aca="false">IFERROR(IF(AN201="","",AN201*Y201),"")</f>
        <v/>
      </c>
      <c r="AP201" s="35"/>
      <c r="AQ201" s="19"/>
      <c r="AR201" s="26"/>
      <c r="AS201" s="41" t="str">
        <f aca="false">IFERROR(IF(OR(AR201="",Y201="",AQ201=""),"",IF(F201="Short",1-AR201/Y201,AR201/Y201-1)),"")</f>
        <v/>
      </c>
      <c r="AT201" s="42" t="str">
        <f aca="true">IF(AQ201="","",IF(ISNUMBER($C$4),$C$4,TODAY())-AQ201)</f>
        <v/>
      </c>
      <c r="AU201" s="14" t="str">
        <f aca="false">IF(C201="","",IF(AP201="Open position",IF(IF(F201="Short",AND(ISNUMBER(AR201),ISNUMBER(Z201),AR201&gt;=Z201),AND(ISNUMBER(AR201),ISNUMBER(Z201),AR201&lt;=Z201)),IF(F201="Short","COVER — stop hit (buy back)","SELL — stop hit"),IF(IF(F201="Short",AND(ISNUMBER(AR201),ISNUMBER(AA201),AR201&lt;=AA201),AND(ISNUMBER(AR201),ISNUMBER(AA201),AR201&gt;=AA201)),"TAKE PROFIT — target hit",IF(AND(ISNUMBER(AT201),AT201&gt;182),IF(F201="Short","COVER — 6-month time limit","SELL — 6-month time limit"),IF(AND(ISNUMBER(AT201),AT201&gt;42,ISNUMBER(AS201),AS201&lt;0.02),"REVIEW — no progress after 6 weeks",IF(IF(F201="Short",AND(L201&lt;&gt;"",N(L201)&gt;0),AND(L201&lt;&gt;"",N(L201)&lt;0)),IF(F201="Short","REVIEW — back above 50-day avg","REVIEW — below 50-day avg"),"HOLD"))))),IF(OR(AP201="Closed",AP201="Dropped"),"Closed",IF(AK201="A",IF(F201="Short","Run Technical Review — SHORT entry","Run Technical Review — LONG entry"),IF(AK201="B","Watch — wait for setup","Drop or re-check next week")))))</f>
        <v/>
      </c>
      <c r="AV201" s="35"/>
      <c r="AX201" s="43" t="str">
        <f aca="false">IF(AND(C201&lt;&gt;"",A201=$C$4,ISNUMBER(AJ201)),AJ201+ROW()/100000,"")</f>
        <v/>
      </c>
    </row>
    <row r="202" customFormat="false" ht="15" hidden="false" customHeight="false" outlineLevel="0" collapsed="false">
      <c r="A202" s="19"/>
      <c r="B202" s="35"/>
      <c r="C202" s="35"/>
      <c r="D202" s="35"/>
      <c r="E202" s="35"/>
      <c r="F202" s="35"/>
      <c r="G202" s="26"/>
      <c r="H202" s="26"/>
      <c r="I202" s="36"/>
      <c r="J202" s="37" t="str">
        <f aca="false">IF(OR(G202="",I202=""),"",G202*I202/1000000)</f>
        <v/>
      </c>
      <c r="K202" s="21"/>
      <c r="L202" s="21"/>
      <c r="M202" s="21"/>
      <c r="N202" s="25"/>
      <c r="O202" s="21"/>
      <c r="P202" s="21"/>
      <c r="Q202" s="21"/>
      <c r="R202" s="21"/>
      <c r="S202" s="38"/>
      <c r="T202" s="21"/>
      <c r="U202" s="21"/>
      <c r="V202" s="19"/>
      <c r="W202" s="26"/>
      <c r="X202" s="35"/>
      <c r="Y202" s="26"/>
      <c r="Z202" s="26"/>
      <c r="AA202" s="26"/>
      <c r="AB202" s="16" t="str">
        <f aca="false">IF(C202="","",IF(F202="Short",(AND(M202&lt;&gt;"",N(M202)&lt;0))+(AND(L202&lt;&gt;"",N(L202)&lt;0))+(AND(K202&lt;&gt;"",N(K202)&lt;0))+AND(L202&lt;&gt;"",M202&lt;&gt;"",N(M202)&lt;N(L202)),(N(M202)&gt;0)+(N(L202)&gt;0)+(N(K202)&gt;0)+AND(L202&lt;&gt;"",M202&lt;&gt;"",N(M202)&gt;N(L202))))</f>
        <v/>
      </c>
      <c r="AC202" s="16" t="str">
        <f aca="false">IF(C202="","",IF(F202="Short",IF(N202="",0,IF(AND(N202&gt;=30,N202&lt;=50),2,IF(OR(AND(N202&gt;=25,N202&lt;30),AND(N202&gt;50,N202&lt;=60)),1,0)))+IF(P202="",0,IF(AND(IF(B202="JSE",$L$5,$L$4)&lt;&gt;"",P202&lt;IF(B202="JSE",$L$5,$L$4)),2,IF(P202&lt;0,1,0))),IF(N202="",0,IF(AND(N202&gt;=50,N202&lt;=70),2,IF(OR(AND(N202&gt;=40,N202&lt;50),AND(N202&gt;70,N202&lt;=75)),1,0)))+IF(P202="",0,IF(AND(IF(B202="JSE",$L$5,$L$4)&lt;&gt;"",P202&gt;IF(B202="JSE",$L$5,$L$4)),2,IF(P202&gt;0,1,0)))))</f>
        <v/>
      </c>
      <c r="AD202" s="16" t="str">
        <f aca="false">IF(C202="","",IF(F202="Short",IF(R202="",0,IF(R202&lt;=0.1,2,IF(R202&lt;=0.25,1,0))),IF(Q202="",0,IF(Q202&gt;=-0.1,2,IF(Q202&gt;=-0.25,1,0)))))</f>
        <v/>
      </c>
      <c r="AE202" s="16" t="str">
        <f aca="false">IF(C202="","",IF(J202="",0,IF(J202&gt;=IF(B202="JSE",$L$7,$L$6),2,IF(J202&gt;=IF(B202="JSE",$L$7,$L$6)/4,1,0))))</f>
        <v/>
      </c>
      <c r="AF202" s="16" t="str">
        <f aca="false">IF(C202="","",IF(F202="Short",AND(T202&lt;&gt;"",N(T202)&lt;0),N(T202)&gt;0)+(N(S202)&gt;=1.5))</f>
        <v/>
      </c>
      <c r="AG202" s="16" t="str">
        <f aca="false">IF(C202="","",IF(AL202="",0,IF(AL202&gt;=3,4,IF(AL202&gt;=2,2,0))))</f>
        <v/>
      </c>
      <c r="AH202" s="16" t="str">
        <f aca="false">IF(C202="","",IF(AND(ISNUMBER(V202),ISNUMBER(A202),V202&gt;=A202,V202-A202&lt;=14),-2,0))</f>
        <v/>
      </c>
      <c r="AI202" s="16" t="str">
        <f aca="false">IF(C202="","",IF(AND(F202="Short",N(U202)&gt;=0.2),-1,0))</f>
        <v/>
      </c>
      <c r="AJ202" s="23" t="str">
        <f aca="false">IF(C202="","",SUM(AB202:AI202))</f>
        <v/>
      </c>
      <c r="AK202" s="24" t="str">
        <f aca="false">IF(C202="","",IF(AJ202&gt;=14,"A",IF(AJ202&gt;=10,"B","C")))</f>
        <v/>
      </c>
      <c r="AL202" s="39" t="str">
        <f aca="false">IFERROR(IF(OR(Y202="",Z202="",AA202=""),"",IF(F202="Short",IF(Z202&lt;=Y202,"",(Y202-AA202)/(Z202-Y202)),IF(Y202&lt;=Z202,"",(AA202-Y202)/(Y202-Z202)))),"")</f>
        <v/>
      </c>
      <c r="AM202" s="37" t="str">
        <f aca="false">IF(OR(Y202="",Z202="",N(Y202)=N(Z202)),"",IF(OR(AND(F202="Short",Z202&lt;Y202),AND(NOT(F202="Short"),Z202&gt;Y202)),"stop on wrong side",ABS(Y202-Z202)))</f>
        <v/>
      </c>
      <c r="AN202" s="40" t="str">
        <f aca="false">IFERROR(IF(OR(NOT(ISNUMBER(AM202)),$C$6=""),"",ROUNDDOWN($C$6*$C$7/AM202,2)),"")</f>
        <v/>
      </c>
      <c r="AO202" s="37" t="str">
        <f aca="false">IFERROR(IF(AN202="","",AN202*Y202),"")</f>
        <v/>
      </c>
      <c r="AP202" s="35"/>
      <c r="AQ202" s="19"/>
      <c r="AR202" s="26"/>
      <c r="AS202" s="41" t="str">
        <f aca="false">IFERROR(IF(OR(AR202="",Y202="",AQ202=""),"",IF(F202="Short",1-AR202/Y202,AR202/Y202-1)),"")</f>
        <v/>
      </c>
      <c r="AT202" s="42" t="str">
        <f aca="true">IF(AQ202="","",IF(ISNUMBER($C$4),$C$4,TODAY())-AQ202)</f>
        <v/>
      </c>
      <c r="AU202" s="14" t="str">
        <f aca="false">IF(C202="","",IF(AP202="Open position",IF(IF(F202="Short",AND(ISNUMBER(AR202),ISNUMBER(Z202),AR202&gt;=Z202),AND(ISNUMBER(AR202),ISNUMBER(Z202),AR202&lt;=Z202)),IF(F202="Short","COVER — stop hit (buy back)","SELL — stop hit"),IF(IF(F202="Short",AND(ISNUMBER(AR202),ISNUMBER(AA202),AR202&lt;=AA202),AND(ISNUMBER(AR202),ISNUMBER(AA202),AR202&gt;=AA202)),"TAKE PROFIT — target hit",IF(AND(ISNUMBER(AT202),AT202&gt;182),IF(F202="Short","COVER — 6-month time limit","SELL — 6-month time limit"),IF(AND(ISNUMBER(AT202),AT202&gt;42,ISNUMBER(AS202),AS202&lt;0.02),"REVIEW — no progress after 6 weeks",IF(IF(F202="Short",AND(L202&lt;&gt;"",N(L202)&gt;0),AND(L202&lt;&gt;"",N(L202)&lt;0)),IF(F202="Short","REVIEW — back above 50-day avg","REVIEW — below 50-day avg"),"HOLD"))))),IF(OR(AP202="Closed",AP202="Dropped"),"Closed",IF(AK202="A",IF(F202="Short","Run Technical Review — SHORT entry","Run Technical Review — LONG entry"),IF(AK202="B","Watch — wait for setup","Drop or re-check next week")))))</f>
        <v/>
      </c>
      <c r="AV202" s="35"/>
      <c r="AX202" s="43" t="str">
        <f aca="false">IF(AND(C202&lt;&gt;"",A202=$C$4,ISNUMBER(AJ202)),AJ202+ROW()/100000,"")</f>
        <v/>
      </c>
    </row>
    <row r="203" customFormat="false" ht="15" hidden="false" customHeight="false" outlineLevel="0" collapsed="false">
      <c r="A203" s="19"/>
      <c r="B203" s="35"/>
      <c r="C203" s="35"/>
      <c r="D203" s="35"/>
      <c r="E203" s="35"/>
      <c r="F203" s="35"/>
      <c r="G203" s="26"/>
      <c r="H203" s="26"/>
      <c r="I203" s="36"/>
      <c r="J203" s="37" t="str">
        <f aca="false">IF(OR(G203="",I203=""),"",G203*I203/1000000)</f>
        <v/>
      </c>
      <c r="K203" s="21"/>
      <c r="L203" s="21"/>
      <c r="M203" s="21"/>
      <c r="N203" s="25"/>
      <c r="O203" s="21"/>
      <c r="P203" s="21"/>
      <c r="Q203" s="21"/>
      <c r="R203" s="21"/>
      <c r="S203" s="38"/>
      <c r="T203" s="21"/>
      <c r="U203" s="21"/>
      <c r="V203" s="19"/>
      <c r="W203" s="26"/>
      <c r="X203" s="35"/>
      <c r="Y203" s="26"/>
      <c r="Z203" s="26"/>
      <c r="AA203" s="26"/>
      <c r="AB203" s="16" t="str">
        <f aca="false">IF(C203="","",IF(F203="Short",(AND(M203&lt;&gt;"",N(M203)&lt;0))+(AND(L203&lt;&gt;"",N(L203)&lt;0))+(AND(K203&lt;&gt;"",N(K203)&lt;0))+AND(L203&lt;&gt;"",M203&lt;&gt;"",N(M203)&lt;N(L203)),(N(M203)&gt;0)+(N(L203)&gt;0)+(N(K203)&gt;0)+AND(L203&lt;&gt;"",M203&lt;&gt;"",N(M203)&gt;N(L203))))</f>
        <v/>
      </c>
      <c r="AC203" s="16" t="str">
        <f aca="false">IF(C203="","",IF(F203="Short",IF(N203="",0,IF(AND(N203&gt;=30,N203&lt;=50),2,IF(OR(AND(N203&gt;=25,N203&lt;30),AND(N203&gt;50,N203&lt;=60)),1,0)))+IF(P203="",0,IF(AND(IF(B203="JSE",$L$5,$L$4)&lt;&gt;"",P203&lt;IF(B203="JSE",$L$5,$L$4)),2,IF(P203&lt;0,1,0))),IF(N203="",0,IF(AND(N203&gt;=50,N203&lt;=70),2,IF(OR(AND(N203&gt;=40,N203&lt;50),AND(N203&gt;70,N203&lt;=75)),1,0)))+IF(P203="",0,IF(AND(IF(B203="JSE",$L$5,$L$4)&lt;&gt;"",P203&gt;IF(B203="JSE",$L$5,$L$4)),2,IF(P203&gt;0,1,0)))))</f>
        <v/>
      </c>
      <c r="AD203" s="16" t="str">
        <f aca="false">IF(C203="","",IF(F203="Short",IF(R203="",0,IF(R203&lt;=0.1,2,IF(R203&lt;=0.25,1,0))),IF(Q203="",0,IF(Q203&gt;=-0.1,2,IF(Q203&gt;=-0.25,1,0)))))</f>
        <v/>
      </c>
      <c r="AE203" s="16" t="str">
        <f aca="false">IF(C203="","",IF(J203="",0,IF(J203&gt;=IF(B203="JSE",$L$7,$L$6),2,IF(J203&gt;=IF(B203="JSE",$L$7,$L$6)/4,1,0))))</f>
        <v/>
      </c>
      <c r="AF203" s="16" t="str">
        <f aca="false">IF(C203="","",IF(F203="Short",AND(T203&lt;&gt;"",N(T203)&lt;0),N(T203)&gt;0)+(N(S203)&gt;=1.5))</f>
        <v/>
      </c>
      <c r="AG203" s="16" t="str">
        <f aca="false">IF(C203="","",IF(AL203="",0,IF(AL203&gt;=3,4,IF(AL203&gt;=2,2,0))))</f>
        <v/>
      </c>
      <c r="AH203" s="16" t="str">
        <f aca="false">IF(C203="","",IF(AND(ISNUMBER(V203),ISNUMBER(A203),V203&gt;=A203,V203-A203&lt;=14),-2,0))</f>
        <v/>
      </c>
      <c r="AI203" s="16" t="str">
        <f aca="false">IF(C203="","",IF(AND(F203="Short",N(U203)&gt;=0.2),-1,0))</f>
        <v/>
      </c>
      <c r="AJ203" s="23" t="str">
        <f aca="false">IF(C203="","",SUM(AB203:AI203))</f>
        <v/>
      </c>
      <c r="AK203" s="24" t="str">
        <f aca="false">IF(C203="","",IF(AJ203&gt;=14,"A",IF(AJ203&gt;=10,"B","C")))</f>
        <v/>
      </c>
      <c r="AL203" s="39" t="str">
        <f aca="false">IFERROR(IF(OR(Y203="",Z203="",AA203=""),"",IF(F203="Short",IF(Z203&lt;=Y203,"",(Y203-AA203)/(Z203-Y203)),IF(Y203&lt;=Z203,"",(AA203-Y203)/(Y203-Z203)))),"")</f>
        <v/>
      </c>
      <c r="AM203" s="37" t="str">
        <f aca="false">IF(OR(Y203="",Z203="",N(Y203)=N(Z203)),"",IF(OR(AND(F203="Short",Z203&lt;Y203),AND(NOT(F203="Short"),Z203&gt;Y203)),"stop on wrong side",ABS(Y203-Z203)))</f>
        <v/>
      </c>
      <c r="AN203" s="40" t="str">
        <f aca="false">IFERROR(IF(OR(NOT(ISNUMBER(AM203)),$C$6=""),"",ROUNDDOWN($C$6*$C$7/AM203,2)),"")</f>
        <v/>
      </c>
      <c r="AO203" s="37" t="str">
        <f aca="false">IFERROR(IF(AN203="","",AN203*Y203),"")</f>
        <v/>
      </c>
      <c r="AP203" s="35"/>
      <c r="AQ203" s="19"/>
      <c r="AR203" s="26"/>
      <c r="AS203" s="41" t="str">
        <f aca="false">IFERROR(IF(OR(AR203="",Y203="",AQ203=""),"",IF(F203="Short",1-AR203/Y203,AR203/Y203-1)),"")</f>
        <v/>
      </c>
      <c r="AT203" s="42" t="str">
        <f aca="true">IF(AQ203="","",IF(ISNUMBER($C$4),$C$4,TODAY())-AQ203)</f>
        <v/>
      </c>
      <c r="AU203" s="14" t="str">
        <f aca="false">IF(C203="","",IF(AP203="Open position",IF(IF(F203="Short",AND(ISNUMBER(AR203),ISNUMBER(Z203),AR203&gt;=Z203),AND(ISNUMBER(AR203),ISNUMBER(Z203),AR203&lt;=Z203)),IF(F203="Short","COVER — stop hit (buy back)","SELL — stop hit"),IF(IF(F203="Short",AND(ISNUMBER(AR203),ISNUMBER(AA203),AR203&lt;=AA203),AND(ISNUMBER(AR203),ISNUMBER(AA203),AR203&gt;=AA203)),"TAKE PROFIT — target hit",IF(AND(ISNUMBER(AT203),AT203&gt;182),IF(F203="Short","COVER — 6-month time limit","SELL — 6-month time limit"),IF(AND(ISNUMBER(AT203),AT203&gt;42,ISNUMBER(AS203),AS203&lt;0.02),"REVIEW — no progress after 6 weeks",IF(IF(F203="Short",AND(L203&lt;&gt;"",N(L203)&gt;0),AND(L203&lt;&gt;"",N(L203)&lt;0)),IF(F203="Short","REVIEW — back above 50-day avg","REVIEW — below 50-day avg"),"HOLD"))))),IF(OR(AP203="Closed",AP203="Dropped"),"Closed",IF(AK203="A",IF(F203="Short","Run Technical Review — SHORT entry","Run Technical Review — LONG entry"),IF(AK203="B","Watch — wait for setup","Drop or re-check next week")))))</f>
        <v/>
      </c>
      <c r="AV203" s="35"/>
      <c r="AX203" s="43" t="str">
        <f aca="false">IF(AND(C203&lt;&gt;"",A203=$C$4,ISNUMBER(AJ203)),AJ203+ROW()/100000,"")</f>
        <v/>
      </c>
    </row>
    <row r="204" customFormat="false" ht="15" hidden="false" customHeight="false" outlineLevel="0" collapsed="false">
      <c r="A204" s="19"/>
      <c r="B204" s="35"/>
      <c r="C204" s="35"/>
      <c r="D204" s="35"/>
      <c r="E204" s="35"/>
      <c r="F204" s="35"/>
      <c r="G204" s="26"/>
      <c r="H204" s="26"/>
      <c r="I204" s="36"/>
      <c r="J204" s="37" t="str">
        <f aca="false">IF(OR(G204="",I204=""),"",G204*I204/1000000)</f>
        <v/>
      </c>
      <c r="K204" s="21"/>
      <c r="L204" s="21"/>
      <c r="M204" s="21"/>
      <c r="N204" s="25"/>
      <c r="O204" s="21"/>
      <c r="P204" s="21"/>
      <c r="Q204" s="21"/>
      <c r="R204" s="21"/>
      <c r="S204" s="38"/>
      <c r="T204" s="21"/>
      <c r="U204" s="21"/>
      <c r="V204" s="19"/>
      <c r="W204" s="26"/>
      <c r="X204" s="35"/>
      <c r="Y204" s="26"/>
      <c r="Z204" s="26"/>
      <c r="AA204" s="26"/>
      <c r="AB204" s="16" t="str">
        <f aca="false">IF(C204="","",IF(F204="Short",(AND(M204&lt;&gt;"",N(M204)&lt;0))+(AND(L204&lt;&gt;"",N(L204)&lt;0))+(AND(K204&lt;&gt;"",N(K204)&lt;0))+AND(L204&lt;&gt;"",M204&lt;&gt;"",N(M204)&lt;N(L204)),(N(M204)&gt;0)+(N(L204)&gt;0)+(N(K204)&gt;0)+AND(L204&lt;&gt;"",M204&lt;&gt;"",N(M204)&gt;N(L204))))</f>
        <v/>
      </c>
      <c r="AC204" s="16" t="str">
        <f aca="false">IF(C204="","",IF(F204="Short",IF(N204="",0,IF(AND(N204&gt;=30,N204&lt;=50),2,IF(OR(AND(N204&gt;=25,N204&lt;30),AND(N204&gt;50,N204&lt;=60)),1,0)))+IF(P204="",0,IF(AND(IF(B204="JSE",$L$5,$L$4)&lt;&gt;"",P204&lt;IF(B204="JSE",$L$5,$L$4)),2,IF(P204&lt;0,1,0))),IF(N204="",0,IF(AND(N204&gt;=50,N204&lt;=70),2,IF(OR(AND(N204&gt;=40,N204&lt;50),AND(N204&gt;70,N204&lt;=75)),1,0)))+IF(P204="",0,IF(AND(IF(B204="JSE",$L$5,$L$4)&lt;&gt;"",P204&gt;IF(B204="JSE",$L$5,$L$4)),2,IF(P204&gt;0,1,0)))))</f>
        <v/>
      </c>
      <c r="AD204" s="16" t="str">
        <f aca="false">IF(C204="","",IF(F204="Short",IF(R204="",0,IF(R204&lt;=0.1,2,IF(R204&lt;=0.25,1,0))),IF(Q204="",0,IF(Q204&gt;=-0.1,2,IF(Q204&gt;=-0.25,1,0)))))</f>
        <v/>
      </c>
      <c r="AE204" s="16" t="str">
        <f aca="false">IF(C204="","",IF(J204="",0,IF(J204&gt;=IF(B204="JSE",$L$7,$L$6),2,IF(J204&gt;=IF(B204="JSE",$L$7,$L$6)/4,1,0))))</f>
        <v/>
      </c>
      <c r="AF204" s="16" t="str">
        <f aca="false">IF(C204="","",IF(F204="Short",AND(T204&lt;&gt;"",N(T204)&lt;0),N(T204)&gt;0)+(N(S204)&gt;=1.5))</f>
        <v/>
      </c>
      <c r="AG204" s="16" t="str">
        <f aca="false">IF(C204="","",IF(AL204="",0,IF(AL204&gt;=3,4,IF(AL204&gt;=2,2,0))))</f>
        <v/>
      </c>
      <c r="AH204" s="16" t="str">
        <f aca="false">IF(C204="","",IF(AND(ISNUMBER(V204),ISNUMBER(A204),V204&gt;=A204,V204-A204&lt;=14),-2,0))</f>
        <v/>
      </c>
      <c r="AI204" s="16" t="str">
        <f aca="false">IF(C204="","",IF(AND(F204="Short",N(U204)&gt;=0.2),-1,0))</f>
        <v/>
      </c>
      <c r="AJ204" s="23" t="str">
        <f aca="false">IF(C204="","",SUM(AB204:AI204))</f>
        <v/>
      </c>
      <c r="AK204" s="24" t="str">
        <f aca="false">IF(C204="","",IF(AJ204&gt;=14,"A",IF(AJ204&gt;=10,"B","C")))</f>
        <v/>
      </c>
      <c r="AL204" s="39" t="str">
        <f aca="false">IFERROR(IF(OR(Y204="",Z204="",AA204=""),"",IF(F204="Short",IF(Z204&lt;=Y204,"",(Y204-AA204)/(Z204-Y204)),IF(Y204&lt;=Z204,"",(AA204-Y204)/(Y204-Z204)))),"")</f>
        <v/>
      </c>
      <c r="AM204" s="37" t="str">
        <f aca="false">IF(OR(Y204="",Z204="",N(Y204)=N(Z204)),"",IF(OR(AND(F204="Short",Z204&lt;Y204),AND(NOT(F204="Short"),Z204&gt;Y204)),"stop on wrong side",ABS(Y204-Z204)))</f>
        <v/>
      </c>
      <c r="AN204" s="40" t="str">
        <f aca="false">IFERROR(IF(OR(NOT(ISNUMBER(AM204)),$C$6=""),"",ROUNDDOWN($C$6*$C$7/AM204,2)),"")</f>
        <v/>
      </c>
      <c r="AO204" s="37" t="str">
        <f aca="false">IFERROR(IF(AN204="","",AN204*Y204),"")</f>
        <v/>
      </c>
      <c r="AP204" s="35"/>
      <c r="AQ204" s="19"/>
      <c r="AR204" s="26"/>
      <c r="AS204" s="41" t="str">
        <f aca="false">IFERROR(IF(OR(AR204="",Y204="",AQ204=""),"",IF(F204="Short",1-AR204/Y204,AR204/Y204-1)),"")</f>
        <v/>
      </c>
      <c r="AT204" s="42" t="str">
        <f aca="true">IF(AQ204="","",IF(ISNUMBER($C$4),$C$4,TODAY())-AQ204)</f>
        <v/>
      </c>
      <c r="AU204" s="14" t="str">
        <f aca="false">IF(C204="","",IF(AP204="Open position",IF(IF(F204="Short",AND(ISNUMBER(AR204),ISNUMBER(Z204),AR204&gt;=Z204),AND(ISNUMBER(AR204),ISNUMBER(Z204),AR204&lt;=Z204)),IF(F204="Short","COVER — stop hit (buy back)","SELL — stop hit"),IF(IF(F204="Short",AND(ISNUMBER(AR204),ISNUMBER(AA204),AR204&lt;=AA204),AND(ISNUMBER(AR204),ISNUMBER(AA204),AR204&gt;=AA204)),"TAKE PROFIT — target hit",IF(AND(ISNUMBER(AT204),AT204&gt;182),IF(F204="Short","COVER — 6-month time limit","SELL — 6-month time limit"),IF(AND(ISNUMBER(AT204),AT204&gt;42,ISNUMBER(AS204),AS204&lt;0.02),"REVIEW — no progress after 6 weeks",IF(IF(F204="Short",AND(L204&lt;&gt;"",N(L204)&gt;0),AND(L204&lt;&gt;"",N(L204)&lt;0)),IF(F204="Short","REVIEW — back above 50-day avg","REVIEW — below 50-day avg"),"HOLD"))))),IF(OR(AP204="Closed",AP204="Dropped"),"Closed",IF(AK204="A",IF(F204="Short","Run Technical Review — SHORT entry","Run Technical Review — LONG entry"),IF(AK204="B","Watch — wait for setup","Drop or re-check next week")))))</f>
        <v/>
      </c>
      <c r="AV204" s="35"/>
      <c r="AX204" s="43" t="str">
        <f aca="false">IF(AND(C204&lt;&gt;"",A204=$C$4,ISNUMBER(AJ204)),AJ204+ROW()/100000,"")</f>
        <v/>
      </c>
    </row>
    <row r="205" customFormat="false" ht="15" hidden="false" customHeight="false" outlineLevel="0" collapsed="false">
      <c r="A205" s="19"/>
      <c r="B205" s="35"/>
      <c r="C205" s="35"/>
      <c r="D205" s="35"/>
      <c r="E205" s="35"/>
      <c r="F205" s="35"/>
      <c r="G205" s="26"/>
      <c r="H205" s="26"/>
      <c r="I205" s="36"/>
      <c r="J205" s="37" t="str">
        <f aca="false">IF(OR(G205="",I205=""),"",G205*I205/1000000)</f>
        <v/>
      </c>
      <c r="K205" s="21"/>
      <c r="L205" s="21"/>
      <c r="M205" s="21"/>
      <c r="N205" s="25"/>
      <c r="O205" s="21"/>
      <c r="P205" s="21"/>
      <c r="Q205" s="21"/>
      <c r="R205" s="21"/>
      <c r="S205" s="38"/>
      <c r="T205" s="21"/>
      <c r="U205" s="21"/>
      <c r="V205" s="19"/>
      <c r="W205" s="26"/>
      <c r="X205" s="35"/>
      <c r="Y205" s="26"/>
      <c r="Z205" s="26"/>
      <c r="AA205" s="26"/>
      <c r="AB205" s="16" t="str">
        <f aca="false">IF(C205="","",IF(F205="Short",(AND(M205&lt;&gt;"",N(M205)&lt;0))+(AND(L205&lt;&gt;"",N(L205)&lt;0))+(AND(K205&lt;&gt;"",N(K205)&lt;0))+AND(L205&lt;&gt;"",M205&lt;&gt;"",N(M205)&lt;N(L205)),(N(M205)&gt;0)+(N(L205)&gt;0)+(N(K205)&gt;0)+AND(L205&lt;&gt;"",M205&lt;&gt;"",N(M205)&gt;N(L205))))</f>
        <v/>
      </c>
      <c r="AC205" s="16" t="str">
        <f aca="false">IF(C205="","",IF(F205="Short",IF(N205="",0,IF(AND(N205&gt;=30,N205&lt;=50),2,IF(OR(AND(N205&gt;=25,N205&lt;30),AND(N205&gt;50,N205&lt;=60)),1,0)))+IF(P205="",0,IF(AND(IF(B205="JSE",$L$5,$L$4)&lt;&gt;"",P205&lt;IF(B205="JSE",$L$5,$L$4)),2,IF(P205&lt;0,1,0))),IF(N205="",0,IF(AND(N205&gt;=50,N205&lt;=70),2,IF(OR(AND(N205&gt;=40,N205&lt;50),AND(N205&gt;70,N205&lt;=75)),1,0)))+IF(P205="",0,IF(AND(IF(B205="JSE",$L$5,$L$4)&lt;&gt;"",P205&gt;IF(B205="JSE",$L$5,$L$4)),2,IF(P205&gt;0,1,0)))))</f>
        <v/>
      </c>
      <c r="AD205" s="16" t="str">
        <f aca="false">IF(C205="","",IF(F205="Short",IF(R205="",0,IF(R205&lt;=0.1,2,IF(R205&lt;=0.25,1,0))),IF(Q205="",0,IF(Q205&gt;=-0.1,2,IF(Q205&gt;=-0.25,1,0)))))</f>
        <v/>
      </c>
      <c r="AE205" s="16" t="str">
        <f aca="false">IF(C205="","",IF(J205="",0,IF(J205&gt;=IF(B205="JSE",$L$7,$L$6),2,IF(J205&gt;=IF(B205="JSE",$L$7,$L$6)/4,1,0))))</f>
        <v/>
      </c>
      <c r="AF205" s="16" t="str">
        <f aca="false">IF(C205="","",IF(F205="Short",AND(T205&lt;&gt;"",N(T205)&lt;0),N(T205)&gt;0)+(N(S205)&gt;=1.5))</f>
        <v/>
      </c>
      <c r="AG205" s="16" t="str">
        <f aca="false">IF(C205="","",IF(AL205="",0,IF(AL205&gt;=3,4,IF(AL205&gt;=2,2,0))))</f>
        <v/>
      </c>
      <c r="AH205" s="16" t="str">
        <f aca="false">IF(C205="","",IF(AND(ISNUMBER(V205),ISNUMBER(A205),V205&gt;=A205,V205-A205&lt;=14),-2,0))</f>
        <v/>
      </c>
      <c r="AI205" s="16" t="str">
        <f aca="false">IF(C205="","",IF(AND(F205="Short",N(U205)&gt;=0.2),-1,0))</f>
        <v/>
      </c>
      <c r="AJ205" s="23" t="str">
        <f aca="false">IF(C205="","",SUM(AB205:AI205))</f>
        <v/>
      </c>
      <c r="AK205" s="24" t="str">
        <f aca="false">IF(C205="","",IF(AJ205&gt;=14,"A",IF(AJ205&gt;=10,"B","C")))</f>
        <v/>
      </c>
      <c r="AL205" s="39" t="str">
        <f aca="false">IFERROR(IF(OR(Y205="",Z205="",AA205=""),"",IF(F205="Short",IF(Z205&lt;=Y205,"",(Y205-AA205)/(Z205-Y205)),IF(Y205&lt;=Z205,"",(AA205-Y205)/(Y205-Z205)))),"")</f>
        <v/>
      </c>
      <c r="AM205" s="37" t="str">
        <f aca="false">IF(OR(Y205="",Z205="",N(Y205)=N(Z205)),"",IF(OR(AND(F205="Short",Z205&lt;Y205),AND(NOT(F205="Short"),Z205&gt;Y205)),"stop on wrong side",ABS(Y205-Z205)))</f>
        <v/>
      </c>
      <c r="AN205" s="40" t="str">
        <f aca="false">IFERROR(IF(OR(NOT(ISNUMBER(AM205)),$C$6=""),"",ROUNDDOWN($C$6*$C$7/AM205,2)),"")</f>
        <v/>
      </c>
      <c r="AO205" s="37" t="str">
        <f aca="false">IFERROR(IF(AN205="","",AN205*Y205),"")</f>
        <v/>
      </c>
      <c r="AP205" s="35"/>
      <c r="AQ205" s="19"/>
      <c r="AR205" s="26"/>
      <c r="AS205" s="41" t="str">
        <f aca="false">IFERROR(IF(OR(AR205="",Y205="",AQ205=""),"",IF(F205="Short",1-AR205/Y205,AR205/Y205-1)),"")</f>
        <v/>
      </c>
      <c r="AT205" s="42" t="str">
        <f aca="true">IF(AQ205="","",IF(ISNUMBER($C$4),$C$4,TODAY())-AQ205)</f>
        <v/>
      </c>
      <c r="AU205" s="14" t="str">
        <f aca="false">IF(C205="","",IF(AP205="Open position",IF(IF(F205="Short",AND(ISNUMBER(AR205),ISNUMBER(Z205),AR205&gt;=Z205),AND(ISNUMBER(AR205),ISNUMBER(Z205),AR205&lt;=Z205)),IF(F205="Short","COVER — stop hit (buy back)","SELL — stop hit"),IF(IF(F205="Short",AND(ISNUMBER(AR205),ISNUMBER(AA205),AR205&lt;=AA205),AND(ISNUMBER(AR205),ISNUMBER(AA205),AR205&gt;=AA205)),"TAKE PROFIT — target hit",IF(AND(ISNUMBER(AT205),AT205&gt;182),IF(F205="Short","COVER — 6-month time limit","SELL — 6-month time limit"),IF(AND(ISNUMBER(AT205),AT205&gt;42,ISNUMBER(AS205),AS205&lt;0.02),"REVIEW — no progress after 6 weeks",IF(IF(F205="Short",AND(L205&lt;&gt;"",N(L205)&gt;0),AND(L205&lt;&gt;"",N(L205)&lt;0)),IF(F205="Short","REVIEW — back above 50-day avg","REVIEW — below 50-day avg"),"HOLD"))))),IF(OR(AP205="Closed",AP205="Dropped"),"Closed",IF(AK205="A",IF(F205="Short","Run Technical Review — SHORT entry","Run Technical Review — LONG entry"),IF(AK205="B","Watch — wait for setup","Drop or re-check next week")))))</f>
        <v/>
      </c>
      <c r="AV205" s="35"/>
      <c r="AX205" s="43" t="str">
        <f aca="false">IF(AND(C205&lt;&gt;"",A205=$C$4,ISNUMBER(AJ205)),AJ205+ROW()/100000,"")</f>
        <v/>
      </c>
    </row>
    <row r="206" customFormat="false" ht="15" hidden="false" customHeight="false" outlineLevel="0" collapsed="false">
      <c r="A206" s="19"/>
      <c r="B206" s="35"/>
      <c r="C206" s="35"/>
      <c r="D206" s="35"/>
      <c r="E206" s="35"/>
      <c r="F206" s="35"/>
      <c r="G206" s="26"/>
      <c r="H206" s="26"/>
      <c r="I206" s="36"/>
      <c r="J206" s="37" t="str">
        <f aca="false">IF(OR(G206="",I206=""),"",G206*I206/1000000)</f>
        <v/>
      </c>
      <c r="K206" s="21"/>
      <c r="L206" s="21"/>
      <c r="M206" s="21"/>
      <c r="N206" s="25"/>
      <c r="O206" s="21"/>
      <c r="P206" s="21"/>
      <c r="Q206" s="21"/>
      <c r="R206" s="21"/>
      <c r="S206" s="38"/>
      <c r="T206" s="21"/>
      <c r="U206" s="21"/>
      <c r="V206" s="19"/>
      <c r="W206" s="26"/>
      <c r="X206" s="35"/>
      <c r="Y206" s="26"/>
      <c r="Z206" s="26"/>
      <c r="AA206" s="26"/>
      <c r="AB206" s="16" t="str">
        <f aca="false">IF(C206="","",IF(F206="Short",(AND(M206&lt;&gt;"",N(M206)&lt;0))+(AND(L206&lt;&gt;"",N(L206)&lt;0))+(AND(K206&lt;&gt;"",N(K206)&lt;0))+AND(L206&lt;&gt;"",M206&lt;&gt;"",N(M206)&lt;N(L206)),(N(M206)&gt;0)+(N(L206)&gt;0)+(N(K206)&gt;0)+AND(L206&lt;&gt;"",M206&lt;&gt;"",N(M206)&gt;N(L206))))</f>
        <v/>
      </c>
      <c r="AC206" s="16" t="str">
        <f aca="false">IF(C206="","",IF(F206="Short",IF(N206="",0,IF(AND(N206&gt;=30,N206&lt;=50),2,IF(OR(AND(N206&gt;=25,N206&lt;30),AND(N206&gt;50,N206&lt;=60)),1,0)))+IF(P206="",0,IF(AND(IF(B206="JSE",$L$5,$L$4)&lt;&gt;"",P206&lt;IF(B206="JSE",$L$5,$L$4)),2,IF(P206&lt;0,1,0))),IF(N206="",0,IF(AND(N206&gt;=50,N206&lt;=70),2,IF(OR(AND(N206&gt;=40,N206&lt;50),AND(N206&gt;70,N206&lt;=75)),1,0)))+IF(P206="",0,IF(AND(IF(B206="JSE",$L$5,$L$4)&lt;&gt;"",P206&gt;IF(B206="JSE",$L$5,$L$4)),2,IF(P206&gt;0,1,0)))))</f>
        <v/>
      </c>
      <c r="AD206" s="16" t="str">
        <f aca="false">IF(C206="","",IF(F206="Short",IF(R206="",0,IF(R206&lt;=0.1,2,IF(R206&lt;=0.25,1,0))),IF(Q206="",0,IF(Q206&gt;=-0.1,2,IF(Q206&gt;=-0.25,1,0)))))</f>
        <v/>
      </c>
      <c r="AE206" s="16" t="str">
        <f aca="false">IF(C206="","",IF(J206="",0,IF(J206&gt;=IF(B206="JSE",$L$7,$L$6),2,IF(J206&gt;=IF(B206="JSE",$L$7,$L$6)/4,1,0))))</f>
        <v/>
      </c>
      <c r="AF206" s="16" t="str">
        <f aca="false">IF(C206="","",IF(F206="Short",AND(T206&lt;&gt;"",N(T206)&lt;0),N(T206)&gt;0)+(N(S206)&gt;=1.5))</f>
        <v/>
      </c>
      <c r="AG206" s="16" t="str">
        <f aca="false">IF(C206="","",IF(AL206="",0,IF(AL206&gt;=3,4,IF(AL206&gt;=2,2,0))))</f>
        <v/>
      </c>
      <c r="AH206" s="16" t="str">
        <f aca="false">IF(C206="","",IF(AND(ISNUMBER(V206),ISNUMBER(A206),V206&gt;=A206,V206-A206&lt;=14),-2,0))</f>
        <v/>
      </c>
      <c r="AI206" s="16" t="str">
        <f aca="false">IF(C206="","",IF(AND(F206="Short",N(U206)&gt;=0.2),-1,0))</f>
        <v/>
      </c>
      <c r="AJ206" s="23" t="str">
        <f aca="false">IF(C206="","",SUM(AB206:AI206))</f>
        <v/>
      </c>
      <c r="AK206" s="24" t="str">
        <f aca="false">IF(C206="","",IF(AJ206&gt;=14,"A",IF(AJ206&gt;=10,"B","C")))</f>
        <v/>
      </c>
      <c r="AL206" s="39" t="str">
        <f aca="false">IFERROR(IF(OR(Y206="",Z206="",AA206=""),"",IF(F206="Short",IF(Z206&lt;=Y206,"",(Y206-AA206)/(Z206-Y206)),IF(Y206&lt;=Z206,"",(AA206-Y206)/(Y206-Z206)))),"")</f>
        <v/>
      </c>
      <c r="AM206" s="37" t="str">
        <f aca="false">IF(OR(Y206="",Z206="",N(Y206)=N(Z206)),"",IF(OR(AND(F206="Short",Z206&lt;Y206),AND(NOT(F206="Short"),Z206&gt;Y206)),"stop on wrong side",ABS(Y206-Z206)))</f>
        <v/>
      </c>
      <c r="AN206" s="40" t="str">
        <f aca="false">IFERROR(IF(OR(NOT(ISNUMBER(AM206)),$C$6=""),"",ROUNDDOWN($C$6*$C$7/AM206,2)),"")</f>
        <v/>
      </c>
      <c r="AO206" s="37" t="str">
        <f aca="false">IFERROR(IF(AN206="","",AN206*Y206),"")</f>
        <v/>
      </c>
      <c r="AP206" s="35"/>
      <c r="AQ206" s="19"/>
      <c r="AR206" s="26"/>
      <c r="AS206" s="41" t="str">
        <f aca="false">IFERROR(IF(OR(AR206="",Y206="",AQ206=""),"",IF(F206="Short",1-AR206/Y206,AR206/Y206-1)),"")</f>
        <v/>
      </c>
      <c r="AT206" s="42" t="str">
        <f aca="true">IF(AQ206="","",IF(ISNUMBER($C$4),$C$4,TODAY())-AQ206)</f>
        <v/>
      </c>
      <c r="AU206" s="14" t="str">
        <f aca="false">IF(C206="","",IF(AP206="Open position",IF(IF(F206="Short",AND(ISNUMBER(AR206),ISNUMBER(Z206),AR206&gt;=Z206),AND(ISNUMBER(AR206),ISNUMBER(Z206),AR206&lt;=Z206)),IF(F206="Short","COVER — stop hit (buy back)","SELL — stop hit"),IF(IF(F206="Short",AND(ISNUMBER(AR206),ISNUMBER(AA206),AR206&lt;=AA206),AND(ISNUMBER(AR206),ISNUMBER(AA206),AR206&gt;=AA206)),"TAKE PROFIT — target hit",IF(AND(ISNUMBER(AT206),AT206&gt;182),IF(F206="Short","COVER — 6-month time limit","SELL — 6-month time limit"),IF(AND(ISNUMBER(AT206),AT206&gt;42,ISNUMBER(AS206),AS206&lt;0.02),"REVIEW — no progress after 6 weeks",IF(IF(F206="Short",AND(L206&lt;&gt;"",N(L206)&gt;0),AND(L206&lt;&gt;"",N(L206)&lt;0)),IF(F206="Short","REVIEW — back above 50-day avg","REVIEW — below 50-day avg"),"HOLD"))))),IF(OR(AP206="Closed",AP206="Dropped"),"Closed",IF(AK206="A",IF(F206="Short","Run Technical Review — SHORT entry","Run Technical Review — LONG entry"),IF(AK206="B","Watch — wait for setup","Drop or re-check next week")))))</f>
        <v/>
      </c>
      <c r="AV206" s="35"/>
      <c r="AX206" s="43" t="str">
        <f aca="false">IF(AND(C206&lt;&gt;"",A206=$C$4,ISNUMBER(AJ206)),AJ206+ROW()/100000,"")</f>
        <v/>
      </c>
    </row>
    <row r="207" customFormat="false" ht="15" hidden="false" customHeight="false" outlineLevel="0" collapsed="false">
      <c r="A207" s="19"/>
      <c r="B207" s="35"/>
      <c r="C207" s="35"/>
      <c r="D207" s="35"/>
      <c r="E207" s="35"/>
      <c r="F207" s="35"/>
      <c r="G207" s="26"/>
      <c r="H207" s="26"/>
      <c r="I207" s="36"/>
      <c r="J207" s="37" t="str">
        <f aca="false">IF(OR(G207="",I207=""),"",G207*I207/1000000)</f>
        <v/>
      </c>
      <c r="K207" s="21"/>
      <c r="L207" s="21"/>
      <c r="M207" s="21"/>
      <c r="N207" s="25"/>
      <c r="O207" s="21"/>
      <c r="P207" s="21"/>
      <c r="Q207" s="21"/>
      <c r="R207" s="21"/>
      <c r="S207" s="38"/>
      <c r="T207" s="21"/>
      <c r="U207" s="21"/>
      <c r="V207" s="19"/>
      <c r="W207" s="26"/>
      <c r="X207" s="35"/>
      <c r="Y207" s="26"/>
      <c r="Z207" s="26"/>
      <c r="AA207" s="26"/>
      <c r="AB207" s="16" t="str">
        <f aca="false">IF(C207="","",IF(F207="Short",(AND(M207&lt;&gt;"",N(M207)&lt;0))+(AND(L207&lt;&gt;"",N(L207)&lt;0))+(AND(K207&lt;&gt;"",N(K207)&lt;0))+AND(L207&lt;&gt;"",M207&lt;&gt;"",N(M207)&lt;N(L207)),(N(M207)&gt;0)+(N(L207)&gt;0)+(N(K207)&gt;0)+AND(L207&lt;&gt;"",M207&lt;&gt;"",N(M207)&gt;N(L207))))</f>
        <v/>
      </c>
      <c r="AC207" s="16" t="str">
        <f aca="false">IF(C207="","",IF(F207="Short",IF(N207="",0,IF(AND(N207&gt;=30,N207&lt;=50),2,IF(OR(AND(N207&gt;=25,N207&lt;30),AND(N207&gt;50,N207&lt;=60)),1,0)))+IF(P207="",0,IF(AND(IF(B207="JSE",$L$5,$L$4)&lt;&gt;"",P207&lt;IF(B207="JSE",$L$5,$L$4)),2,IF(P207&lt;0,1,0))),IF(N207="",0,IF(AND(N207&gt;=50,N207&lt;=70),2,IF(OR(AND(N207&gt;=40,N207&lt;50),AND(N207&gt;70,N207&lt;=75)),1,0)))+IF(P207="",0,IF(AND(IF(B207="JSE",$L$5,$L$4)&lt;&gt;"",P207&gt;IF(B207="JSE",$L$5,$L$4)),2,IF(P207&gt;0,1,0)))))</f>
        <v/>
      </c>
      <c r="AD207" s="16" t="str">
        <f aca="false">IF(C207="","",IF(F207="Short",IF(R207="",0,IF(R207&lt;=0.1,2,IF(R207&lt;=0.25,1,0))),IF(Q207="",0,IF(Q207&gt;=-0.1,2,IF(Q207&gt;=-0.25,1,0)))))</f>
        <v/>
      </c>
      <c r="AE207" s="16" t="str">
        <f aca="false">IF(C207="","",IF(J207="",0,IF(J207&gt;=IF(B207="JSE",$L$7,$L$6),2,IF(J207&gt;=IF(B207="JSE",$L$7,$L$6)/4,1,0))))</f>
        <v/>
      </c>
      <c r="AF207" s="16" t="str">
        <f aca="false">IF(C207="","",IF(F207="Short",AND(T207&lt;&gt;"",N(T207)&lt;0),N(T207)&gt;0)+(N(S207)&gt;=1.5))</f>
        <v/>
      </c>
      <c r="AG207" s="16" t="str">
        <f aca="false">IF(C207="","",IF(AL207="",0,IF(AL207&gt;=3,4,IF(AL207&gt;=2,2,0))))</f>
        <v/>
      </c>
      <c r="AH207" s="16" t="str">
        <f aca="false">IF(C207="","",IF(AND(ISNUMBER(V207),ISNUMBER(A207),V207&gt;=A207,V207-A207&lt;=14),-2,0))</f>
        <v/>
      </c>
      <c r="AI207" s="16" t="str">
        <f aca="false">IF(C207="","",IF(AND(F207="Short",N(U207)&gt;=0.2),-1,0))</f>
        <v/>
      </c>
      <c r="AJ207" s="23" t="str">
        <f aca="false">IF(C207="","",SUM(AB207:AI207))</f>
        <v/>
      </c>
      <c r="AK207" s="24" t="str">
        <f aca="false">IF(C207="","",IF(AJ207&gt;=14,"A",IF(AJ207&gt;=10,"B","C")))</f>
        <v/>
      </c>
      <c r="AL207" s="39" t="str">
        <f aca="false">IFERROR(IF(OR(Y207="",Z207="",AA207=""),"",IF(F207="Short",IF(Z207&lt;=Y207,"",(Y207-AA207)/(Z207-Y207)),IF(Y207&lt;=Z207,"",(AA207-Y207)/(Y207-Z207)))),"")</f>
        <v/>
      </c>
      <c r="AM207" s="37" t="str">
        <f aca="false">IF(OR(Y207="",Z207="",N(Y207)=N(Z207)),"",IF(OR(AND(F207="Short",Z207&lt;Y207),AND(NOT(F207="Short"),Z207&gt;Y207)),"stop on wrong side",ABS(Y207-Z207)))</f>
        <v/>
      </c>
      <c r="AN207" s="40" t="str">
        <f aca="false">IFERROR(IF(OR(NOT(ISNUMBER(AM207)),$C$6=""),"",ROUNDDOWN($C$6*$C$7/AM207,2)),"")</f>
        <v/>
      </c>
      <c r="AO207" s="37" t="str">
        <f aca="false">IFERROR(IF(AN207="","",AN207*Y207),"")</f>
        <v/>
      </c>
      <c r="AP207" s="35"/>
      <c r="AQ207" s="19"/>
      <c r="AR207" s="26"/>
      <c r="AS207" s="41" t="str">
        <f aca="false">IFERROR(IF(OR(AR207="",Y207="",AQ207=""),"",IF(F207="Short",1-AR207/Y207,AR207/Y207-1)),"")</f>
        <v/>
      </c>
      <c r="AT207" s="42" t="str">
        <f aca="true">IF(AQ207="","",IF(ISNUMBER($C$4),$C$4,TODAY())-AQ207)</f>
        <v/>
      </c>
      <c r="AU207" s="14" t="str">
        <f aca="false">IF(C207="","",IF(AP207="Open position",IF(IF(F207="Short",AND(ISNUMBER(AR207),ISNUMBER(Z207),AR207&gt;=Z207),AND(ISNUMBER(AR207),ISNUMBER(Z207),AR207&lt;=Z207)),IF(F207="Short","COVER — stop hit (buy back)","SELL — stop hit"),IF(IF(F207="Short",AND(ISNUMBER(AR207),ISNUMBER(AA207),AR207&lt;=AA207),AND(ISNUMBER(AR207),ISNUMBER(AA207),AR207&gt;=AA207)),"TAKE PROFIT — target hit",IF(AND(ISNUMBER(AT207),AT207&gt;182),IF(F207="Short","COVER — 6-month time limit","SELL — 6-month time limit"),IF(AND(ISNUMBER(AT207),AT207&gt;42,ISNUMBER(AS207),AS207&lt;0.02),"REVIEW — no progress after 6 weeks",IF(IF(F207="Short",AND(L207&lt;&gt;"",N(L207)&gt;0),AND(L207&lt;&gt;"",N(L207)&lt;0)),IF(F207="Short","REVIEW — back above 50-day avg","REVIEW — below 50-day avg"),"HOLD"))))),IF(OR(AP207="Closed",AP207="Dropped"),"Closed",IF(AK207="A",IF(F207="Short","Run Technical Review — SHORT entry","Run Technical Review — LONG entry"),IF(AK207="B","Watch — wait for setup","Drop or re-check next week")))))</f>
        <v/>
      </c>
      <c r="AV207" s="35"/>
      <c r="AX207" s="43" t="str">
        <f aca="false">IF(AND(C207&lt;&gt;"",A207=$C$4,ISNUMBER(AJ207)),AJ207+ROW()/100000,"")</f>
        <v/>
      </c>
    </row>
    <row r="208" customFormat="false" ht="15" hidden="false" customHeight="false" outlineLevel="0" collapsed="false">
      <c r="A208" s="19"/>
      <c r="B208" s="35"/>
      <c r="C208" s="35"/>
      <c r="D208" s="35"/>
      <c r="E208" s="35"/>
      <c r="F208" s="35"/>
      <c r="G208" s="26"/>
      <c r="H208" s="26"/>
      <c r="I208" s="36"/>
      <c r="J208" s="37" t="str">
        <f aca="false">IF(OR(G208="",I208=""),"",G208*I208/1000000)</f>
        <v/>
      </c>
      <c r="K208" s="21"/>
      <c r="L208" s="21"/>
      <c r="M208" s="21"/>
      <c r="N208" s="25"/>
      <c r="O208" s="21"/>
      <c r="P208" s="21"/>
      <c r="Q208" s="21"/>
      <c r="R208" s="21"/>
      <c r="S208" s="38"/>
      <c r="T208" s="21"/>
      <c r="U208" s="21"/>
      <c r="V208" s="19"/>
      <c r="W208" s="26"/>
      <c r="X208" s="35"/>
      <c r="Y208" s="26"/>
      <c r="Z208" s="26"/>
      <c r="AA208" s="26"/>
      <c r="AB208" s="16" t="str">
        <f aca="false">IF(C208="","",IF(F208="Short",(AND(M208&lt;&gt;"",N(M208)&lt;0))+(AND(L208&lt;&gt;"",N(L208)&lt;0))+(AND(K208&lt;&gt;"",N(K208)&lt;0))+AND(L208&lt;&gt;"",M208&lt;&gt;"",N(M208)&lt;N(L208)),(N(M208)&gt;0)+(N(L208)&gt;0)+(N(K208)&gt;0)+AND(L208&lt;&gt;"",M208&lt;&gt;"",N(M208)&gt;N(L208))))</f>
        <v/>
      </c>
      <c r="AC208" s="16" t="str">
        <f aca="false">IF(C208="","",IF(F208="Short",IF(N208="",0,IF(AND(N208&gt;=30,N208&lt;=50),2,IF(OR(AND(N208&gt;=25,N208&lt;30),AND(N208&gt;50,N208&lt;=60)),1,0)))+IF(P208="",0,IF(AND(IF(B208="JSE",$L$5,$L$4)&lt;&gt;"",P208&lt;IF(B208="JSE",$L$5,$L$4)),2,IF(P208&lt;0,1,0))),IF(N208="",0,IF(AND(N208&gt;=50,N208&lt;=70),2,IF(OR(AND(N208&gt;=40,N208&lt;50),AND(N208&gt;70,N208&lt;=75)),1,0)))+IF(P208="",0,IF(AND(IF(B208="JSE",$L$5,$L$4)&lt;&gt;"",P208&gt;IF(B208="JSE",$L$5,$L$4)),2,IF(P208&gt;0,1,0)))))</f>
        <v/>
      </c>
      <c r="AD208" s="16" t="str">
        <f aca="false">IF(C208="","",IF(F208="Short",IF(R208="",0,IF(R208&lt;=0.1,2,IF(R208&lt;=0.25,1,0))),IF(Q208="",0,IF(Q208&gt;=-0.1,2,IF(Q208&gt;=-0.25,1,0)))))</f>
        <v/>
      </c>
      <c r="AE208" s="16" t="str">
        <f aca="false">IF(C208="","",IF(J208="",0,IF(J208&gt;=IF(B208="JSE",$L$7,$L$6),2,IF(J208&gt;=IF(B208="JSE",$L$7,$L$6)/4,1,0))))</f>
        <v/>
      </c>
      <c r="AF208" s="16" t="str">
        <f aca="false">IF(C208="","",IF(F208="Short",AND(T208&lt;&gt;"",N(T208)&lt;0),N(T208)&gt;0)+(N(S208)&gt;=1.5))</f>
        <v/>
      </c>
      <c r="AG208" s="16" t="str">
        <f aca="false">IF(C208="","",IF(AL208="",0,IF(AL208&gt;=3,4,IF(AL208&gt;=2,2,0))))</f>
        <v/>
      </c>
      <c r="AH208" s="16" t="str">
        <f aca="false">IF(C208="","",IF(AND(ISNUMBER(V208),ISNUMBER(A208),V208&gt;=A208,V208-A208&lt;=14),-2,0))</f>
        <v/>
      </c>
      <c r="AI208" s="16" t="str">
        <f aca="false">IF(C208="","",IF(AND(F208="Short",N(U208)&gt;=0.2),-1,0))</f>
        <v/>
      </c>
      <c r="AJ208" s="23" t="str">
        <f aca="false">IF(C208="","",SUM(AB208:AI208))</f>
        <v/>
      </c>
      <c r="AK208" s="24" t="str">
        <f aca="false">IF(C208="","",IF(AJ208&gt;=14,"A",IF(AJ208&gt;=10,"B","C")))</f>
        <v/>
      </c>
      <c r="AL208" s="39" t="str">
        <f aca="false">IFERROR(IF(OR(Y208="",Z208="",AA208=""),"",IF(F208="Short",IF(Z208&lt;=Y208,"",(Y208-AA208)/(Z208-Y208)),IF(Y208&lt;=Z208,"",(AA208-Y208)/(Y208-Z208)))),"")</f>
        <v/>
      </c>
      <c r="AM208" s="37" t="str">
        <f aca="false">IF(OR(Y208="",Z208="",N(Y208)=N(Z208)),"",IF(OR(AND(F208="Short",Z208&lt;Y208),AND(NOT(F208="Short"),Z208&gt;Y208)),"stop on wrong side",ABS(Y208-Z208)))</f>
        <v/>
      </c>
      <c r="AN208" s="40" t="str">
        <f aca="false">IFERROR(IF(OR(NOT(ISNUMBER(AM208)),$C$6=""),"",ROUNDDOWN($C$6*$C$7/AM208,2)),"")</f>
        <v/>
      </c>
      <c r="AO208" s="37" t="str">
        <f aca="false">IFERROR(IF(AN208="","",AN208*Y208),"")</f>
        <v/>
      </c>
      <c r="AP208" s="35"/>
      <c r="AQ208" s="19"/>
      <c r="AR208" s="26"/>
      <c r="AS208" s="41" t="str">
        <f aca="false">IFERROR(IF(OR(AR208="",Y208="",AQ208=""),"",IF(F208="Short",1-AR208/Y208,AR208/Y208-1)),"")</f>
        <v/>
      </c>
      <c r="AT208" s="42" t="str">
        <f aca="true">IF(AQ208="","",IF(ISNUMBER($C$4),$C$4,TODAY())-AQ208)</f>
        <v/>
      </c>
      <c r="AU208" s="14" t="str">
        <f aca="false">IF(C208="","",IF(AP208="Open position",IF(IF(F208="Short",AND(ISNUMBER(AR208),ISNUMBER(Z208),AR208&gt;=Z208),AND(ISNUMBER(AR208),ISNUMBER(Z208),AR208&lt;=Z208)),IF(F208="Short","COVER — stop hit (buy back)","SELL — stop hit"),IF(IF(F208="Short",AND(ISNUMBER(AR208),ISNUMBER(AA208),AR208&lt;=AA208),AND(ISNUMBER(AR208),ISNUMBER(AA208),AR208&gt;=AA208)),"TAKE PROFIT — target hit",IF(AND(ISNUMBER(AT208),AT208&gt;182),IF(F208="Short","COVER — 6-month time limit","SELL — 6-month time limit"),IF(AND(ISNUMBER(AT208),AT208&gt;42,ISNUMBER(AS208),AS208&lt;0.02),"REVIEW — no progress after 6 weeks",IF(IF(F208="Short",AND(L208&lt;&gt;"",N(L208)&gt;0),AND(L208&lt;&gt;"",N(L208)&lt;0)),IF(F208="Short","REVIEW — back above 50-day avg","REVIEW — below 50-day avg"),"HOLD"))))),IF(OR(AP208="Closed",AP208="Dropped"),"Closed",IF(AK208="A",IF(F208="Short","Run Technical Review — SHORT entry","Run Technical Review — LONG entry"),IF(AK208="B","Watch — wait for setup","Drop or re-check next week")))))</f>
        <v/>
      </c>
      <c r="AV208" s="35"/>
      <c r="AX208" s="43" t="str">
        <f aca="false">IF(AND(C208&lt;&gt;"",A208=$C$4,ISNUMBER(AJ208)),AJ208+ROW()/100000,"")</f>
        <v/>
      </c>
    </row>
    <row r="209" customFormat="false" ht="15" hidden="false" customHeight="false" outlineLevel="0" collapsed="false">
      <c r="A209" s="19"/>
      <c r="B209" s="35"/>
      <c r="C209" s="35"/>
      <c r="D209" s="35"/>
      <c r="E209" s="35"/>
      <c r="F209" s="35"/>
      <c r="G209" s="26"/>
      <c r="H209" s="26"/>
      <c r="I209" s="36"/>
      <c r="J209" s="37" t="str">
        <f aca="false">IF(OR(G209="",I209=""),"",G209*I209/1000000)</f>
        <v/>
      </c>
      <c r="K209" s="21"/>
      <c r="L209" s="21"/>
      <c r="M209" s="21"/>
      <c r="N209" s="25"/>
      <c r="O209" s="21"/>
      <c r="P209" s="21"/>
      <c r="Q209" s="21"/>
      <c r="R209" s="21"/>
      <c r="S209" s="38"/>
      <c r="T209" s="21"/>
      <c r="U209" s="21"/>
      <c r="V209" s="19"/>
      <c r="W209" s="26"/>
      <c r="X209" s="35"/>
      <c r="Y209" s="26"/>
      <c r="Z209" s="26"/>
      <c r="AA209" s="26"/>
      <c r="AB209" s="16" t="str">
        <f aca="false">IF(C209="","",IF(F209="Short",(AND(M209&lt;&gt;"",N(M209)&lt;0))+(AND(L209&lt;&gt;"",N(L209)&lt;0))+(AND(K209&lt;&gt;"",N(K209)&lt;0))+AND(L209&lt;&gt;"",M209&lt;&gt;"",N(M209)&lt;N(L209)),(N(M209)&gt;0)+(N(L209)&gt;0)+(N(K209)&gt;0)+AND(L209&lt;&gt;"",M209&lt;&gt;"",N(M209)&gt;N(L209))))</f>
        <v/>
      </c>
      <c r="AC209" s="16" t="str">
        <f aca="false">IF(C209="","",IF(F209="Short",IF(N209="",0,IF(AND(N209&gt;=30,N209&lt;=50),2,IF(OR(AND(N209&gt;=25,N209&lt;30),AND(N209&gt;50,N209&lt;=60)),1,0)))+IF(P209="",0,IF(AND(IF(B209="JSE",$L$5,$L$4)&lt;&gt;"",P209&lt;IF(B209="JSE",$L$5,$L$4)),2,IF(P209&lt;0,1,0))),IF(N209="",0,IF(AND(N209&gt;=50,N209&lt;=70),2,IF(OR(AND(N209&gt;=40,N209&lt;50),AND(N209&gt;70,N209&lt;=75)),1,0)))+IF(P209="",0,IF(AND(IF(B209="JSE",$L$5,$L$4)&lt;&gt;"",P209&gt;IF(B209="JSE",$L$5,$L$4)),2,IF(P209&gt;0,1,0)))))</f>
        <v/>
      </c>
      <c r="AD209" s="16" t="str">
        <f aca="false">IF(C209="","",IF(F209="Short",IF(R209="",0,IF(R209&lt;=0.1,2,IF(R209&lt;=0.25,1,0))),IF(Q209="",0,IF(Q209&gt;=-0.1,2,IF(Q209&gt;=-0.25,1,0)))))</f>
        <v/>
      </c>
      <c r="AE209" s="16" t="str">
        <f aca="false">IF(C209="","",IF(J209="",0,IF(J209&gt;=IF(B209="JSE",$L$7,$L$6),2,IF(J209&gt;=IF(B209="JSE",$L$7,$L$6)/4,1,0))))</f>
        <v/>
      </c>
      <c r="AF209" s="16" t="str">
        <f aca="false">IF(C209="","",IF(F209="Short",AND(T209&lt;&gt;"",N(T209)&lt;0),N(T209)&gt;0)+(N(S209)&gt;=1.5))</f>
        <v/>
      </c>
      <c r="AG209" s="16" t="str">
        <f aca="false">IF(C209="","",IF(AL209="",0,IF(AL209&gt;=3,4,IF(AL209&gt;=2,2,0))))</f>
        <v/>
      </c>
      <c r="AH209" s="16" t="str">
        <f aca="false">IF(C209="","",IF(AND(ISNUMBER(V209),ISNUMBER(A209),V209&gt;=A209,V209-A209&lt;=14),-2,0))</f>
        <v/>
      </c>
      <c r="AI209" s="16" t="str">
        <f aca="false">IF(C209="","",IF(AND(F209="Short",N(U209)&gt;=0.2),-1,0))</f>
        <v/>
      </c>
      <c r="AJ209" s="23" t="str">
        <f aca="false">IF(C209="","",SUM(AB209:AI209))</f>
        <v/>
      </c>
      <c r="AK209" s="24" t="str">
        <f aca="false">IF(C209="","",IF(AJ209&gt;=14,"A",IF(AJ209&gt;=10,"B","C")))</f>
        <v/>
      </c>
      <c r="AL209" s="39" t="str">
        <f aca="false">IFERROR(IF(OR(Y209="",Z209="",AA209=""),"",IF(F209="Short",IF(Z209&lt;=Y209,"",(Y209-AA209)/(Z209-Y209)),IF(Y209&lt;=Z209,"",(AA209-Y209)/(Y209-Z209)))),"")</f>
        <v/>
      </c>
      <c r="AM209" s="37" t="str">
        <f aca="false">IF(OR(Y209="",Z209="",N(Y209)=N(Z209)),"",IF(OR(AND(F209="Short",Z209&lt;Y209),AND(NOT(F209="Short"),Z209&gt;Y209)),"stop on wrong side",ABS(Y209-Z209)))</f>
        <v/>
      </c>
      <c r="AN209" s="40" t="str">
        <f aca="false">IFERROR(IF(OR(NOT(ISNUMBER(AM209)),$C$6=""),"",ROUNDDOWN($C$6*$C$7/AM209,2)),"")</f>
        <v/>
      </c>
      <c r="AO209" s="37" t="str">
        <f aca="false">IFERROR(IF(AN209="","",AN209*Y209),"")</f>
        <v/>
      </c>
      <c r="AP209" s="35"/>
      <c r="AQ209" s="19"/>
      <c r="AR209" s="26"/>
      <c r="AS209" s="41" t="str">
        <f aca="false">IFERROR(IF(OR(AR209="",Y209="",AQ209=""),"",IF(F209="Short",1-AR209/Y209,AR209/Y209-1)),"")</f>
        <v/>
      </c>
      <c r="AT209" s="42" t="str">
        <f aca="true">IF(AQ209="","",IF(ISNUMBER($C$4),$C$4,TODAY())-AQ209)</f>
        <v/>
      </c>
      <c r="AU209" s="14" t="str">
        <f aca="false">IF(C209="","",IF(AP209="Open position",IF(IF(F209="Short",AND(ISNUMBER(AR209),ISNUMBER(Z209),AR209&gt;=Z209),AND(ISNUMBER(AR209),ISNUMBER(Z209),AR209&lt;=Z209)),IF(F209="Short","COVER — stop hit (buy back)","SELL — stop hit"),IF(IF(F209="Short",AND(ISNUMBER(AR209),ISNUMBER(AA209),AR209&lt;=AA209),AND(ISNUMBER(AR209),ISNUMBER(AA209),AR209&gt;=AA209)),"TAKE PROFIT — target hit",IF(AND(ISNUMBER(AT209),AT209&gt;182),IF(F209="Short","COVER — 6-month time limit","SELL — 6-month time limit"),IF(AND(ISNUMBER(AT209),AT209&gt;42,ISNUMBER(AS209),AS209&lt;0.02),"REVIEW — no progress after 6 weeks",IF(IF(F209="Short",AND(L209&lt;&gt;"",N(L209)&gt;0),AND(L209&lt;&gt;"",N(L209)&lt;0)),IF(F209="Short","REVIEW — back above 50-day avg","REVIEW — below 50-day avg"),"HOLD"))))),IF(OR(AP209="Closed",AP209="Dropped"),"Closed",IF(AK209="A",IF(F209="Short","Run Technical Review — SHORT entry","Run Technical Review — LONG entry"),IF(AK209="B","Watch — wait for setup","Drop or re-check next week")))))</f>
        <v/>
      </c>
      <c r="AV209" s="35"/>
      <c r="AX209" s="43" t="str">
        <f aca="false">IF(AND(C209&lt;&gt;"",A209=$C$4,ISNUMBER(AJ209)),AJ209+ROW()/100000,"")</f>
        <v/>
      </c>
    </row>
    <row r="210" customFormat="false" ht="15" hidden="false" customHeight="false" outlineLevel="0" collapsed="false">
      <c r="A210" s="19"/>
      <c r="B210" s="35"/>
      <c r="C210" s="35"/>
      <c r="D210" s="35"/>
      <c r="E210" s="35"/>
      <c r="F210" s="35"/>
      <c r="G210" s="26"/>
      <c r="H210" s="26"/>
      <c r="I210" s="36"/>
      <c r="J210" s="37" t="str">
        <f aca="false">IF(OR(G210="",I210=""),"",G210*I210/1000000)</f>
        <v/>
      </c>
      <c r="K210" s="21"/>
      <c r="L210" s="21"/>
      <c r="M210" s="21"/>
      <c r="N210" s="25"/>
      <c r="O210" s="21"/>
      <c r="P210" s="21"/>
      <c r="Q210" s="21"/>
      <c r="R210" s="21"/>
      <c r="S210" s="38"/>
      <c r="T210" s="21"/>
      <c r="U210" s="21"/>
      <c r="V210" s="19"/>
      <c r="W210" s="26"/>
      <c r="X210" s="35"/>
      <c r="Y210" s="26"/>
      <c r="Z210" s="26"/>
      <c r="AA210" s="26"/>
      <c r="AB210" s="16" t="str">
        <f aca="false">IF(C210="","",IF(F210="Short",(AND(M210&lt;&gt;"",N(M210)&lt;0))+(AND(L210&lt;&gt;"",N(L210)&lt;0))+(AND(K210&lt;&gt;"",N(K210)&lt;0))+AND(L210&lt;&gt;"",M210&lt;&gt;"",N(M210)&lt;N(L210)),(N(M210)&gt;0)+(N(L210)&gt;0)+(N(K210)&gt;0)+AND(L210&lt;&gt;"",M210&lt;&gt;"",N(M210)&gt;N(L210))))</f>
        <v/>
      </c>
      <c r="AC210" s="16" t="str">
        <f aca="false">IF(C210="","",IF(F210="Short",IF(N210="",0,IF(AND(N210&gt;=30,N210&lt;=50),2,IF(OR(AND(N210&gt;=25,N210&lt;30),AND(N210&gt;50,N210&lt;=60)),1,0)))+IF(P210="",0,IF(AND(IF(B210="JSE",$L$5,$L$4)&lt;&gt;"",P210&lt;IF(B210="JSE",$L$5,$L$4)),2,IF(P210&lt;0,1,0))),IF(N210="",0,IF(AND(N210&gt;=50,N210&lt;=70),2,IF(OR(AND(N210&gt;=40,N210&lt;50),AND(N210&gt;70,N210&lt;=75)),1,0)))+IF(P210="",0,IF(AND(IF(B210="JSE",$L$5,$L$4)&lt;&gt;"",P210&gt;IF(B210="JSE",$L$5,$L$4)),2,IF(P210&gt;0,1,0)))))</f>
        <v/>
      </c>
      <c r="AD210" s="16" t="str">
        <f aca="false">IF(C210="","",IF(F210="Short",IF(R210="",0,IF(R210&lt;=0.1,2,IF(R210&lt;=0.25,1,0))),IF(Q210="",0,IF(Q210&gt;=-0.1,2,IF(Q210&gt;=-0.25,1,0)))))</f>
        <v/>
      </c>
      <c r="AE210" s="16" t="str">
        <f aca="false">IF(C210="","",IF(J210="",0,IF(J210&gt;=IF(B210="JSE",$L$7,$L$6),2,IF(J210&gt;=IF(B210="JSE",$L$7,$L$6)/4,1,0))))</f>
        <v/>
      </c>
      <c r="AF210" s="16" t="str">
        <f aca="false">IF(C210="","",IF(F210="Short",AND(T210&lt;&gt;"",N(T210)&lt;0),N(T210)&gt;0)+(N(S210)&gt;=1.5))</f>
        <v/>
      </c>
      <c r="AG210" s="16" t="str">
        <f aca="false">IF(C210="","",IF(AL210="",0,IF(AL210&gt;=3,4,IF(AL210&gt;=2,2,0))))</f>
        <v/>
      </c>
      <c r="AH210" s="16" t="str">
        <f aca="false">IF(C210="","",IF(AND(ISNUMBER(V210),ISNUMBER(A210),V210&gt;=A210,V210-A210&lt;=14),-2,0))</f>
        <v/>
      </c>
      <c r="AI210" s="16" t="str">
        <f aca="false">IF(C210="","",IF(AND(F210="Short",N(U210)&gt;=0.2),-1,0))</f>
        <v/>
      </c>
      <c r="AJ210" s="23" t="str">
        <f aca="false">IF(C210="","",SUM(AB210:AI210))</f>
        <v/>
      </c>
      <c r="AK210" s="24" t="str">
        <f aca="false">IF(C210="","",IF(AJ210&gt;=14,"A",IF(AJ210&gt;=10,"B","C")))</f>
        <v/>
      </c>
      <c r="AL210" s="39" t="str">
        <f aca="false">IFERROR(IF(OR(Y210="",Z210="",AA210=""),"",IF(F210="Short",IF(Z210&lt;=Y210,"",(Y210-AA210)/(Z210-Y210)),IF(Y210&lt;=Z210,"",(AA210-Y210)/(Y210-Z210)))),"")</f>
        <v/>
      </c>
      <c r="AM210" s="37" t="str">
        <f aca="false">IF(OR(Y210="",Z210="",N(Y210)=N(Z210)),"",IF(OR(AND(F210="Short",Z210&lt;Y210),AND(NOT(F210="Short"),Z210&gt;Y210)),"stop on wrong side",ABS(Y210-Z210)))</f>
        <v/>
      </c>
      <c r="AN210" s="40" t="str">
        <f aca="false">IFERROR(IF(OR(NOT(ISNUMBER(AM210)),$C$6=""),"",ROUNDDOWN($C$6*$C$7/AM210,2)),"")</f>
        <v/>
      </c>
      <c r="AO210" s="37" t="str">
        <f aca="false">IFERROR(IF(AN210="","",AN210*Y210),"")</f>
        <v/>
      </c>
      <c r="AP210" s="35"/>
      <c r="AQ210" s="19"/>
      <c r="AR210" s="26"/>
      <c r="AS210" s="41" t="str">
        <f aca="false">IFERROR(IF(OR(AR210="",Y210="",AQ210=""),"",IF(F210="Short",1-AR210/Y210,AR210/Y210-1)),"")</f>
        <v/>
      </c>
      <c r="AT210" s="42" t="str">
        <f aca="true">IF(AQ210="","",IF(ISNUMBER($C$4),$C$4,TODAY())-AQ210)</f>
        <v/>
      </c>
      <c r="AU210" s="14" t="str">
        <f aca="false">IF(C210="","",IF(AP210="Open position",IF(IF(F210="Short",AND(ISNUMBER(AR210),ISNUMBER(Z210),AR210&gt;=Z210),AND(ISNUMBER(AR210),ISNUMBER(Z210),AR210&lt;=Z210)),IF(F210="Short","COVER — stop hit (buy back)","SELL — stop hit"),IF(IF(F210="Short",AND(ISNUMBER(AR210),ISNUMBER(AA210),AR210&lt;=AA210),AND(ISNUMBER(AR210),ISNUMBER(AA210),AR210&gt;=AA210)),"TAKE PROFIT — target hit",IF(AND(ISNUMBER(AT210),AT210&gt;182),IF(F210="Short","COVER — 6-month time limit","SELL — 6-month time limit"),IF(AND(ISNUMBER(AT210),AT210&gt;42,ISNUMBER(AS210),AS210&lt;0.02),"REVIEW — no progress after 6 weeks",IF(IF(F210="Short",AND(L210&lt;&gt;"",N(L210)&gt;0),AND(L210&lt;&gt;"",N(L210)&lt;0)),IF(F210="Short","REVIEW — back above 50-day avg","REVIEW — below 50-day avg"),"HOLD"))))),IF(OR(AP210="Closed",AP210="Dropped"),"Closed",IF(AK210="A",IF(F210="Short","Run Technical Review — SHORT entry","Run Technical Review — LONG entry"),IF(AK210="B","Watch — wait for setup","Drop or re-check next week")))))</f>
        <v/>
      </c>
      <c r="AV210" s="35"/>
      <c r="AX210" s="43" t="str">
        <f aca="false">IF(AND(C210&lt;&gt;"",A210=$C$4,ISNUMBER(AJ210)),AJ210+ROW()/100000,"")</f>
        <v/>
      </c>
    </row>
  </sheetData>
  <autoFilter ref="A10:AV210"/>
  <mergeCells count="27">
    <mergeCell ref="C1:AV1"/>
    <mergeCell ref="A2:AV2"/>
    <mergeCell ref="A4:B4"/>
    <mergeCell ref="D4:H4"/>
    <mergeCell ref="J4:K4"/>
    <mergeCell ref="M4:Q4"/>
    <mergeCell ref="S4:T4"/>
    <mergeCell ref="V4:X4"/>
    <mergeCell ref="A5:B5"/>
    <mergeCell ref="D5:H5"/>
    <mergeCell ref="J5:K5"/>
    <mergeCell ref="M5:Q5"/>
    <mergeCell ref="S5:T5"/>
    <mergeCell ref="A6:B6"/>
    <mergeCell ref="D6:H6"/>
    <mergeCell ref="J6:K6"/>
    <mergeCell ref="M6:Q6"/>
    <mergeCell ref="S6:T6"/>
    <mergeCell ref="A7:B7"/>
    <mergeCell ref="D7:H7"/>
    <mergeCell ref="J7:K7"/>
    <mergeCell ref="M7:Q7"/>
    <mergeCell ref="S7:T7"/>
    <mergeCell ref="A9:AA9"/>
    <mergeCell ref="AB9:AK9"/>
    <mergeCell ref="AL9:AO9"/>
    <mergeCell ref="AP9:AV9"/>
  </mergeCells>
  <conditionalFormatting sqref="AK11:AK210">
    <cfRule type="expression" priority="2" aboveAverage="0" equalAverage="0" bottom="0" percent="0" rank="0" text="" dxfId="2">
      <formula>AK11="A"</formula>
    </cfRule>
    <cfRule type="expression" priority="3" aboveAverage="0" equalAverage="0" bottom="0" percent="0" rank="0" text="" dxfId="3">
      <formula>AK11="B"</formula>
    </cfRule>
    <cfRule type="expression" priority="4" aboveAverage="0" equalAverage="0" bottom="0" percent="0" rank="0" text="" dxfId="4">
      <formula>AK11="C"</formula>
    </cfRule>
  </conditionalFormatting>
  <conditionalFormatting sqref="AU11:AU210">
    <cfRule type="expression" priority="5" aboveAverage="0" equalAverage="0" bottom="0" percent="0" rank="0" text="" dxfId="4">
      <formula>LEFT(AU11,4)="SELL"</formula>
    </cfRule>
    <cfRule type="expression" priority="6" aboveAverage="0" equalAverage="0" bottom="0" percent="0" rank="0" text="" dxfId="4">
      <formula>LEFT(AU11,5)="COVER"</formula>
    </cfRule>
    <cfRule type="expression" priority="7" aboveAverage="0" equalAverage="0" bottom="0" percent="0" rank="0" text="" dxfId="2">
      <formula>LEFT(AU11,4)="TAKE"</formula>
    </cfRule>
    <cfRule type="expression" priority="8" aboveAverage="0" equalAverage="0" bottom="0" percent="0" rank="0" text="" dxfId="3">
      <formula>LEFT(AU11,6)="REVIEW"</formula>
    </cfRule>
    <cfRule type="expression" priority="9" aboveAverage="0" equalAverage="0" bottom="0" percent="0" rank="0" text="" dxfId="0">
      <formula>LEFT(AU11,4)="HOLD"</formula>
    </cfRule>
    <cfRule type="expression" priority="10" aboveAverage="0" equalAverage="0" bottom="0" percent="0" rank="0" text="" dxfId="0">
      <formula>LEFT(AU11,3)="Run"</formula>
    </cfRule>
  </conditionalFormatting>
  <conditionalFormatting sqref="F11:F210">
    <cfRule type="expression" priority="11" aboveAverage="0" equalAverage="0" bottom="0" percent="0" rank="0" text="" dxfId="24">
      <formula>F11="Short"</formula>
    </cfRule>
    <cfRule type="expression" priority="12" aboveAverage="0" equalAverage="0" bottom="0" percent="0" rank="0" text="" dxfId="25">
      <formula>F11="Long"</formula>
    </cfRule>
  </conditionalFormatting>
  <conditionalFormatting sqref="AH11:AI210">
    <cfRule type="cellIs" priority="13" operator="lessThan" aboveAverage="0" equalAverage="0" bottom="0" percent="0" rank="0" text="" dxfId="1">
      <formula>0</formula>
    </cfRule>
  </conditionalFormatting>
  <conditionalFormatting sqref="AM11:AM210">
    <cfRule type="expression" priority="14" aboveAverage="0" equalAverage="0" bottom="0" percent="0" rank="0" text="" dxfId="26">
      <formula>AM11="stop on wrong side"</formula>
    </cfRule>
  </conditionalFormatting>
  <conditionalFormatting sqref="A11:A210">
    <cfRule type="expression" priority="15" aboveAverage="0" equalAverage="0" bottom="0" percent="0" rank="0" text="" dxfId="27">
      <formula>AND(ISNUMBER(A11),A11=$C$4)</formula>
    </cfRule>
  </conditionalFormatting>
  <conditionalFormatting sqref="K11:M210">
    <cfRule type="cellIs" priority="16" operator="lessThan" aboveAverage="0" equalAverage="0" bottom="0" percent="0" rank="0" text="" dxfId="28">
      <formula>0</formula>
    </cfRule>
  </conditionalFormatting>
  <conditionalFormatting sqref="O11:Q210">
    <cfRule type="cellIs" priority="17" operator="lessThan" aboveAverage="0" equalAverage="0" bottom="0" percent="0" rank="0" text="" dxfId="28">
      <formula>0</formula>
    </cfRule>
  </conditionalFormatting>
  <conditionalFormatting sqref="AS11:AS210">
    <cfRule type="cellIs" priority="18" operator="lessThan" aboveAverage="0" equalAverage="0" bottom="0" percent="0" rank="0" text="" dxfId="28">
      <formula>0</formula>
    </cfRule>
  </conditionalFormatting>
  <conditionalFormatting sqref="V4">
    <cfRule type="expression" priority="19" aboveAverage="0" equalAverage="0" bottom="0" percent="0" rank="0" text="" dxfId="0">
      <formula>LEFT(V4,1)="✔"</formula>
    </cfRule>
    <cfRule type="expression" priority="20" aboveAverage="0" equalAverage="0" bottom="0" percent="0" rank="0" text="" dxfId="1">
      <formula>LEFT(V4,1)="⚠"</formula>
    </cfRule>
  </conditionalFormatting>
  <dataValidations count="5">
    <dataValidation allowBlank="true" errorStyle="stop" operator="between" showDropDown="false" showErrorMessage="false" showInputMessage="false" sqref="B11:B210" type="list">
      <formula1>Lists!$A$4:$A$30</formula1>
      <formula2>0</formula2>
    </dataValidation>
    <dataValidation allowBlank="true" errorStyle="stop" operator="between" showDropDown="false" showErrorMessage="false" showInputMessage="false" sqref="X11:X210" type="list">
      <formula1>Lists!$B$4:$B$30</formula1>
      <formula2>0</formula2>
    </dataValidation>
    <dataValidation allowBlank="true" errorStyle="stop" operator="between" showDropDown="false" showErrorMessage="false" showInputMessage="false" sqref="AP11:AP210" type="list">
      <formula1>Lists!$C$4:$C$30</formula1>
      <formula2>0</formula2>
    </dataValidation>
    <dataValidation allowBlank="true" errorStyle="stop" operator="between" showDropDown="false" showErrorMessage="false" showInputMessage="false" sqref="E11:E210" type="list">
      <formula1>Lists!$H$4:$H$30</formula1>
      <formula2>0</formula2>
    </dataValidation>
    <dataValidation allowBlank="true" errorStyle="stop" operator="between" showDropDown="false" showErrorMessage="false" showInputMessage="false" sqref="F11:F210" type="list">
      <formula1>Lists!$D$4:$D$30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I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26"/>
    <col collapsed="false" customWidth="true" hidden="false" outlineLevel="0" max="8" min="8" style="1" width="30"/>
    <col collapsed="false" customWidth="true" hidden="false" outlineLevel="0" max="9" min="9" style="1" width="40"/>
  </cols>
  <sheetData>
    <row r="1" customFormat="false" ht="51.75" hidden="false" customHeight="true" outlineLevel="0" collapsed="false">
      <c r="C1" s="2" t="s">
        <v>254</v>
      </c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255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false" outlineLevel="0" collapsed="false">
      <c r="A4" s="4" t="s">
        <v>256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44" t="s">
        <v>257</v>
      </c>
      <c r="B5" s="44"/>
      <c r="C5" s="44"/>
      <c r="D5" s="44"/>
      <c r="E5" s="44"/>
      <c r="F5" s="44"/>
      <c r="G5" s="44"/>
      <c r="H5" s="44"/>
      <c r="I5" s="45" t="s">
        <v>258</v>
      </c>
    </row>
    <row r="6" customFormat="false" ht="15" hidden="false" customHeight="false" outlineLevel="0" collapsed="false">
      <c r="A6" s="44" t="s">
        <v>259</v>
      </c>
      <c r="B6" s="44"/>
      <c r="C6" s="44"/>
      <c r="D6" s="44"/>
      <c r="E6" s="44"/>
      <c r="F6" s="44"/>
      <c r="G6" s="44"/>
      <c r="H6" s="44"/>
      <c r="I6" s="45" t="s">
        <v>258</v>
      </c>
    </row>
    <row r="7" customFormat="false" ht="15" hidden="false" customHeight="false" outlineLevel="0" collapsed="false">
      <c r="A7" s="44" t="s">
        <v>260</v>
      </c>
      <c r="B7" s="44"/>
      <c r="C7" s="44"/>
      <c r="D7" s="44"/>
      <c r="E7" s="44"/>
      <c r="F7" s="44"/>
      <c r="G7" s="44"/>
      <c r="H7" s="44"/>
      <c r="I7" s="45" t="s">
        <v>258</v>
      </c>
    </row>
    <row r="8" customFormat="false" ht="15" hidden="false" customHeight="false" outlineLevel="0" collapsed="false">
      <c r="A8" s="44" t="s">
        <v>261</v>
      </c>
      <c r="B8" s="44"/>
      <c r="C8" s="44"/>
      <c r="D8" s="44"/>
      <c r="E8" s="44"/>
      <c r="F8" s="44"/>
      <c r="G8" s="44"/>
      <c r="H8" s="44"/>
      <c r="I8" s="45" t="s">
        <v>258</v>
      </c>
    </row>
    <row r="9" customFormat="false" ht="15" hidden="false" customHeight="false" outlineLevel="0" collapsed="false">
      <c r="A9" s="44" t="s">
        <v>262</v>
      </c>
      <c r="B9" s="44"/>
      <c r="C9" s="44"/>
      <c r="D9" s="44"/>
      <c r="E9" s="44"/>
      <c r="F9" s="44"/>
      <c r="G9" s="44"/>
      <c r="H9" s="44"/>
      <c r="I9" s="45" t="s">
        <v>258</v>
      </c>
    </row>
    <row r="10" customFormat="false" ht="15" hidden="false" customHeight="false" outlineLevel="0" collapsed="false">
      <c r="A10" s="44" t="s">
        <v>263</v>
      </c>
      <c r="B10" s="44"/>
      <c r="C10" s="44"/>
      <c r="D10" s="44"/>
      <c r="E10" s="44"/>
      <c r="F10" s="44"/>
      <c r="G10" s="44"/>
      <c r="H10" s="44"/>
      <c r="I10" s="45" t="s">
        <v>258</v>
      </c>
    </row>
    <row r="11" customFormat="false" ht="15" hidden="false" customHeight="false" outlineLevel="0" collapsed="false">
      <c r="A11" s="44" t="s">
        <v>264</v>
      </c>
      <c r="B11" s="44"/>
      <c r="C11" s="44"/>
      <c r="D11" s="44"/>
      <c r="E11" s="44"/>
      <c r="F11" s="44"/>
      <c r="G11" s="44"/>
      <c r="H11" s="44"/>
      <c r="I11" s="45" t="s">
        <v>258</v>
      </c>
    </row>
    <row r="12" customFormat="false" ht="15" hidden="false" customHeight="false" outlineLevel="0" collapsed="false">
      <c r="A12" s="44" t="s">
        <v>265</v>
      </c>
      <c r="B12" s="44"/>
      <c r="C12" s="44"/>
      <c r="D12" s="44"/>
      <c r="E12" s="44"/>
      <c r="F12" s="44"/>
      <c r="G12" s="44"/>
      <c r="H12" s="44"/>
      <c r="I12" s="45" t="s">
        <v>258</v>
      </c>
    </row>
    <row r="13" customFormat="false" ht="15" hidden="false" customHeight="false" outlineLevel="0" collapsed="false">
      <c r="A13" s="44" t="s">
        <v>266</v>
      </c>
      <c r="B13" s="44"/>
      <c r="C13" s="44"/>
      <c r="D13" s="44"/>
      <c r="E13" s="44"/>
      <c r="F13" s="44"/>
      <c r="G13" s="44"/>
      <c r="H13" s="44"/>
      <c r="I13" s="45" t="s">
        <v>258</v>
      </c>
    </row>
    <row r="15" customFormat="false" ht="15" hidden="false" customHeight="false" outlineLevel="0" collapsed="false">
      <c r="A15" s="4" t="s">
        <v>267</v>
      </c>
      <c r="B15" s="4"/>
      <c r="C15" s="4"/>
      <c r="D15" s="4"/>
      <c r="E15" s="4"/>
      <c r="F15" s="4"/>
      <c r="G15" s="4"/>
      <c r="H15" s="4"/>
      <c r="I15" s="4"/>
    </row>
    <row r="16" customFormat="false" ht="33.75" hidden="false" customHeight="true" outlineLevel="0" collapsed="false">
      <c r="A16" s="31" t="s">
        <v>33</v>
      </c>
      <c r="B16" s="31" t="s">
        <v>268</v>
      </c>
      <c r="C16" s="31" t="s">
        <v>269</v>
      </c>
      <c r="D16" s="31" t="s">
        <v>270</v>
      </c>
      <c r="E16" s="31" t="s">
        <v>35</v>
      </c>
      <c r="F16" s="31" t="s">
        <v>271</v>
      </c>
      <c r="G16" s="31" t="s">
        <v>272</v>
      </c>
      <c r="H16" s="31" t="s">
        <v>273</v>
      </c>
      <c r="I16" s="31" t="s">
        <v>274</v>
      </c>
    </row>
    <row r="17" customFormat="false" ht="102.2" hidden="false" customHeight="false" outlineLevel="0" collapsed="false">
      <c r="A17" s="19" t="n">
        <v>46298</v>
      </c>
      <c r="B17" s="46" t="s">
        <v>275</v>
      </c>
      <c r="C17" s="46" t="s">
        <v>276</v>
      </c>
      <c r="D17" s="15" t="str">
        <f aca="false">IF(OR(B17="",C17=""),"",IF(AND(B17="Y",C17="Y"),"RISK-ON → favour longs",IF(AND(B17="N",C17="N"),"RISK-OFF → favour shorts","MIXED → both, smaller")))</f>
        <v>MIXED → both, smaller</v>
      </c>
      <c r="E17" s="15" t="n">
        <f aca="false">IF(A17="","",COUNTIFS('Swing Watchlist'!$A$11:$A$210,A17,'Swing Watchlist'!$C$11:$C$210,"?*"))</f>
        <v>3</v>
      </c>
      <c r="F17" s="15" t="n">
        <f aca="false">IF(A17="","",COUNTIFS('Swing Watchlist'!$A$11:$A$210,A17,'Swing Watchlist'!$AK$11:$AK$210,"A"))</f>
        <v>0</v>
      </c>
      <c r="G17" s="47" t="n">
        <v>0</v>
      </c>
      <c r="H17" s="47" t="s">
        <v>277</v>
      </c>
      <c r="I17" s="47" t="s">
        <v>278</v>
      </c>
    </row>
    <row r="18" customFormat="false" ht="169.4" hidden="false" customHeight="false" outlineLevel="0" collapsed="false">
      <c r="A18" s="19" t="n">
        <v>46312</v>
      </c>
      <c r="B18" s="46" t="s">
        <v>275</v>
      </c>
      <c r="C18" s="46" t="s">
        <v>276</v>
      </c>
      <c r="D18" s="15" t="str">
        <f aca="false">IF(OR(B18="",C18=""),"",IF(AND(B18="Y",C18="Y"),"RISK-ON → favour longs",IF(AND(B18="N",C18="N"),"RISK-OFF → favour shorts","MIXED → both, smaller")))</f>
        <v>MIXED → both, smaller</v>
      </c>
      <c r="E18" s="15" t="n">
        <f aca="false">IF(A18="","",COUNTIFS('Swing Watchlist'!$A$11:$A$210,A18,'Swing Watchlist'!$C$11:$C$210,"?*"))</f>
        <v>8</v>
      </c>
      <c r="F18" s="15" t="n">
        <f aca="false">IF(A18="","",COUNTIFS('Swing Watchlist'!$A$11:$A$210,A18,'Swing Watchlist'!$AK$11:$AK$210,"A"))</f>
        <v>2</v>
      </c>
      <c r="G18" s="47" t="n">
        <v>0</v>
      </c>
      <c r="H18" s="47" t="s">
        <v>279</v>
      </c>
      <c r="I18" s="47" t="s">
        <v>280</v>
      </c>
    </row>
    <row r="19" customFormat="false" ht="35.05" hidden="false" customHeight="false" outlineLevel="0" collapsed="false">
      <c r="A19" s="19" t="n">
        <v>46316</v>
      </c>
      <c r="B19" s="46"/>
      <c r="C19" s="46"/>
      <c r="D19" s="15" t="str">
        <f aca="false">IF(OR(B19="",C19=""),"",IF(AND(B19="Y",C19="Y"),"RISK-ON → favour longs",IF(AND(B19="N",C19="N"),"RISK-OFF → favour shorts","MIXED → both, smaller")))</f>
        <v/>
      </c>
      <c r="E19" s="15" t="n">
        <f aca="false">IF(A19="","",COUNTIFS('Swing Watchlist'!$A$11:$A$210,A19,'Swing Watchlist'!$C$11:$C$210,"?*"))</f>
        <v>13</v>
      </c>
      <c r="F19" s="15" t="n">
        <f aca="false">IF(A19="","",COUNTIFS('Swing Watchlist'!$A$11:$A$210,A19,'Swing Watchlist'!$AK$11:$AK$210,"A"))</f>
        <v>0</v>
      </c>
      <c r="G19" s="47" t="n">
        <v>0</v>
      </c>
      <c r="H19" s="47"/>
      <c r="I19" s="47" t="s">
        <v>281</v>
      </c>
    </row>
    <row r="20" customFormat="false" ht="15" hidden="false" customHeight="false" outlineLevel="0" collapsed="false">
      <c r="A20" s="19"/>
      <c r="B20" s="46"/>
      <c r="C20" s="46"/>
      <c r="D20" s="15" t="str">
        <f aca="false">IF(OR(B20="",C20=""),"",IF(AND(B20="Y",C20="Y"),"RISK-ON → favour longs",IF(AND(B20="N",C20="N"),"RISK-OFF → favour shorts","MIXED → both, smaller")))</f>
        <v/>
      </c>
      <c r="E20" s="15" t="str">
        <f aca="false">IF(A20="","",COUNTIFS('Swing Watchlist'!$A$11:$A$210,A20,'Swing Watchlist'!$C$11:$C$210,"?*"))</f>
        <v/>
      </c>
      <c r="F20" s="15" t="str">
        <f aca="false">IF(A20="","",COUNTIFS('Swing Watchlist'!$A$11:$A$210,A20,'Swing Watchlist'!$AK$11:$AK$210,"A"))</f>
        <v/>
      </c>
      <c r="G20" s="47"/>
      <c r="H20" s="47"/>
      <c r="I20" s="47"/>
    </row>
    <row r="21" customFormat="false" ht="15" hidden="false" customHeight="false" outlineLevel="0" collapsed="false">
      <c r="A21" s="19"/>
      <c r="B21" s="46"/>
      <c r="C21" s="46"/>
      <c r="D21" s="15" t="str">
        <f aca="false">IF(OR(B21="",C21=""),"",IF(AND(B21="Y",C21="Y"),"RISK-ON → favour longs",IF(AND(B21="N",C21="N"),"RISK-OFF → favour shorts","MIXED → both, smaller")))</f>
        <v/>
      </c>
      <c r="E21" s="15" t="str">
        <f aca="false">IF(A21="","",COUNTIFS('Swing Watchlist'!$A$11:$A$210,A21,'Swing Watchlist'!$C$11:$C$210,"?*"))</f>
        <v/>
      </c>
      <c r="F21" s="15" t="str">
        <f aca="false">IF(A21="","",COUNTIFS('Swing Watchlist'!$A$11:$A$210,A21,'Swing Watchlist'!$AK$11:$AK$210,"A"))</f>
        <v/>
      </c>
      <c r="G21" s="47"/>
      <c r="H21" s="47"/>
      <c r="I21" s="47"/>
    </row>
    <row r="22" customFormat="false" ht="15" hidden="false" customHeight="false" outlineLevel="0" collapsed="false">
      <c r="A22" s="19"/>
      <c r="B22" s="46"/>
      <c r="C22" s="46"/>
      <c r="D22" s="15" t="str">
        <f aca="false">IF(OR(B22="",C22=""),"",IF(AND(B22="Y",C22="Y"),"RISK-ON → favour longs",IF(AND(B22="N",C22="N"),"RISK-OFF → favour shorts","MIXED → both, smaller")))</f>
        <v/>
      </c>
      <c r="E22" s="15" t="str">
        <f aca="false">IF(A22="","",COUNTIFS('Swing Watchlist'!$A$11:$A$210,A22,'Swing Watchlist'!$C$11:$C$210,"?*"))</f>
        <v/>
      </c>
      <c r="F22" s="15" t="str">
        <f aca="false">IF(A22="","",COUNTIFS('Swing Watchlist'!$A$11:$A$210,A22,'Swing Watchlist'!$AK$11:$AK$210,"A"))</f>
        <v/>
      </c>
      <c r="G22" s="47"/>
      <c r="H22" s="47"/>
      <c r="I22" s="47"/>
    </row>
    <row r="23" customFormat="false" ht="15" hidden="false" customHeight="false" outlineLevel="0" collapsed="false">
      <c r="A23" s="19"/>
      <c r="B23" s="46"/>
      <c r="C23" s="46"/>
      <c r="D23" s="15" t="str">
        <f aca="false">IF(OR(B23="",C23=""),"",IF(AND(B23="Y",C23="Y"),"RISK-ON → favour longs",IF(AND(B23="N",C23="N"),"RISK-OFF → favour shorts","MIXED → both, smaller")))</f>
        <v/>
      </c>
      <c r="E23" s="15" t="str">
        <f aca="false">IF(A23="","",COUNTIFS('Swing Watchlist'!$A$11:$A$210,A23,'Swing Watchlist'!$C$11:$C$210,"?*"))</f>
        <v/>
      </c>
      <c r="F23" s="15" t="str">
        <f aca="false">IF(A23="","",COUNTIFS('Swing Watchlist'!$A$11:$A$210,A23,'Swing Watchlist'!$AK$11:$AK$210,"A"))</f>
        <v/>
      </c>
      <c r="G23" s="47"/>
      <c r="H23" s="47"/>
      <c r="I23" s="47"/>
    </row>
    <row r="24" customFormat="false" ht="15" hidden="false" customHeight="false" outlineLevel="0" collapsed="false">
      <c r="A24" s="19"/>
      <c r="B24" s="46"/>
      <c r="C24" s="46"/>
      <c r="D24" s="15" t="str">
        <f aca="false">IF(OR(B24="",C24=""),"",IF(AND(B24="Y",C24="Y"),"RISK-ON → favour longs",IF(AND(B24="N",C24="N"),"RISK-OFF → favour shorts","MIXED → both, smaller")))</f>
        <v/>
      </c>
      <c r="E24" s="15" t="str">
        <f aca="false">IF(A24="","",COUNTIFS('Swing Watchlist'!$A$11:$A$210,A24,'Swing Watchlist'!$C$11:$C$210,"?*"))</f>
        <v/>
      </c>
      <c r="F24" s="15" t="str">
        <f aca="false">IF(A24="","",COUNTIFS('Swing Watchlist'!$A$11:$A$210,A24,'Swing Watchlist'!$AK$11:$AK$210,"A"))</f>
        <v/>
      </c>
      <c r="G24" s="47"/>
      <c r="H24" s="47"/>
      <c r="I24" s="47"/>
    </row>
    <row r="25" customFormat="false" ht="15" hidden="false" customHeight="false" outlineLevel="0" collapsed="false">
      <c r="A25" s="19"/>
      <c r="B25" s="46"/>
      <c r="C25" s="46"/>
      <c r="D25" s="15" t="str">
        <f aca="false">IF(OR(B25="",C25=""),"",IF(AND(B25="Y",C25="Y"),"RISK-ON → favour longs",IF(AND(B25="N",C25="N"),"RISK-OFF → favour shorts","MIXED → both, smaller")))</f>
        <v/>
      </c>
      <c r="E25" s="15" t="str">
        <f aca="false">IF(A25="","",COUNTIFS('Swing Watchlist'!$A$11:$A$210,A25,'Swing Watchlist'!$C$11:$C$210,"?*"))</f>
        <v/>
      </c>
      <c r="F25" s="15" t="str">
        <f aca="false">IF(A25="","",COUNTIFS('Swing Watchlist'!$A$11:$A$210,A25,'Swing Watchlist'!$AK$11:$AK$210,"A"))</f>
        <v/>
      </c>
      <c r="G25" s="47"/>
      <c r="H25" s="47"/>
      <c r="I25" s="47"/>
    </row>
    <row r="26" customFormat="false" ht="15" hidden="false" customHeight="false" outlineLevel="0" collapsed="false">
      <c r="A26" s="19"/>
      <c r="B26" s="46"/>
      <c r="C26" s="46"/>
      <c r="D26" s="15" t="str">
        <f aca="false">IF(OR(B26="",C26=""),"",IF(AND(B26="Y",C26="Y"),"RISK-ON → favour longs",IF(AND(B26="N",C26="N"),"RISK-OFF → favour shorts","MIXED → both, smaller")))</f>
        <v/>
      </c>
      <c r="E26" s="15" t="str">
        <f aca="false">IF(A26="","",COUNTIFS('Swing Watchlist'!$A$11:$A$210,A26,'Swing Watchlist'!$C$11:$C$210,"?*"))</f>
        <v/>
      </c>
      <c r="F26" s="15" t="str">
        <f aca="false">IF(A26="","",COUNTIFS('Swing Watchlist'!$A$11:$A$210,A26,'Swing Watchlist'!$AK$11:$AK$210,"A"))</f>
        <v/>
      </c>
      <c r="G26" s="47"/>
      <c r="H26" s="47"/>
      <c r="I26" s="47"/>
    </row>
    <row r="27" customFormat="false" ht="15" hidden="false" customHeight="false" outlineLevel="0" collapsed="false">
      <c r="A27" s="19"/>
      <c r="B27" s="46"/>
      <c r="C27" s="46"/>
      <c r="D27" s="15" t="str">
        <f aca="false">IF(OR(B27="",C27=""),"",IF(AND(B27="Y",C27="Y"),"RISK-ON → favour longs",IF(AND(B27="N",C27="N"),"RISK-OFF → favour shorts","MIXED → both, smaller")))</f>
        <v/>
      </c>
      <c r="E27" s="15" t="str">
        <f aca="false">IF(A27="","",COUNTIFS('Swing Watchlist'!$A$11:$A$210,A27,'Swing Watchlist'!$C$11:$C$210,"?*"))</f>
        <v/>
      </c>
      <c r="F27" s="15" t="str">
        <f aca="false">IF(A27="","",COUNTIFS('Swing Watchlist'!$A$11:$A$210,A27,'Swing Watchlist'!$AK$11:$AK$210,"A"))</f>
        <v/>
      </c>
      <c r="G27" s="47"/>
      <c r="H27" s="47"/>
      <c r="I27" s="47"/>
    </row>
    <row r="28" customFormat="false" ht="15" hidden="false" customHeight="false" outlineLevel="0" collapsed="false">
      <c r="A28" s="19"/>
      <c r="B28" s="46"/>
      <c r="C28" s="46"/>
      <c r="D28" s="15" t="str">
        <f aca="false">IF(OR(B28="",C28=""),"",IF(AND(B28="Y",C28="Y"),"RISK-ON → favour longs",IF(AND(B28="N",C28="N"),"RISK-OFF → favour shorts","MIXED → both, smaller")))</f>
        <v/>
      </c>
      <c r="E28" s="15" t="str">
        <f aca="false">IF(A28="","",COUNTIFS('Swing Watchlist'!$A$11:$A$210,A28,'Swing Watchlist'!$C$11:$C$210,"?*"))</f>
        <v/>
      </c>
      <c r="F28" s="15" t="str">
        <f aca="false">IF(A28="","",COUNTIFS('Swing Watchlist'!$A$11:$A$210,A28,'Swing Watchlist'!$AK$11:$AK$210,"A"))</f>
        <v/>
      </c>
      <c r="G28" s="47"/>
      <c r="H28" s="47"/>
      <c r="I28" s="47"/>
    </row>
    <row r="29" customFormat="false" ht="15" hidden="false" customHeight="false" outlineLevel="0" collapsed="false">
      <c r="A29" s="19"/>
      <c r="B29" s="46"/>
      <c r="C29" s="46"/>
      <c r="D29" s="15" t="str">
        <f aca="false">IF(OR(B29="",C29=""),"",IF(AND(B29="Y",C29="Y"),"RISK-ON → favour longs",IF(AND(B29="N",C29="N"),"RISK-OFF → favour shorts","MIXED → both, smaller")))</f>
        <v/>
      </c>
      <c r="E29" s="15" t="str">
        <f aca="false">IF(A29="","",COUNTIFS('Swing Watchlist'!$A$11:$A$210,A29,'Swing Watchlist'!$C$11:$C$210,"?*"))</f>
        <v/>
      </c>
      <c r="F29" s="15" t="str">
        <f aca="false">IF(A29="","",COUNTIFS('Swing Watchlist'!$A$11:$A$210,A29,'Swing Watchlist'!$AK$11:$AK$210,"A"))</f>
        <v/>
      </c>
      <c r="G29" s="47"/>
      <c r="H29" s="47"/>
      <c r="I29" s="47"/>
    </row>
    <row r="30" customFormat="false" ht="15" hidden="false" customHeight="false" outlineLevel="0" collapsed="false">
      <c r="A30" s="19"/>
      <c r="B30" s="46"/>
      <c r="C30" s="46"/>
      <c r="D30" s="15" t="str">
        <f aca="false">IF(OR(B30="",C30=""),"",IF(AND(B30="Y",C30="Y"),"RISK-ON → favour longs",IF(AND(B30="N",C30="N"),"RISK-OFF → favour shorts","MIXED → both, smaller")))</f>
        <v/>
      </c>
      <c r="E30" s="15" t="str">
        <f aca="false">IF(A30="","",COUNTIFS('Swing Watchlist'!$A$11:$A$210,A30,'Swing Watchlist'!$C$11:$C$210,"?*"))</f>
        <v/>
      </c>
      <c r="F30" s="15" t="str">
        <f aca="false">IF(A30="","",COUNTIFS('Swing Watchlist'!$A$11:$A$210,A30,'Swing Watchlist'!$AK$11:$AK$210,"A"))</f>
        <v/>
      </c>
      <c r="G30" s="47"/>
      <c r="H30" s="47"/>
      <c r="I30" s="47"/>
    </row>
    <row r="31" customFormat="false" ht="15" hidden="false" customHeight="false" outlineLevel="0" collapsed="false">
      <c r="A31" s="19"/>
      <c r="B31" s="46"/>
      <c r="C31" s="46"/>
      <c r="D31" s="15" t="str">
        <f aca="false">IF(OR(B31="",C31=""),"",IF(AND(B31="Y",C31="Y"),"RISK-ON → favour longs",IF(AND(B31="N",C31="N"),"RISK-OFF → favour shorts","MIXED → both, smaller")))</f>
        <v/>
      </c>
      <c r="E31" s="15" t="str">
        <f aca="false">IF(A31="","",COUNTIFS('Swing Watchlist'!$A$11:$A$210,A31,'Swing Watchlist'!$C$11:$C$210,"?*"))</f>
        <v/>
      </c>
      <c r="F31" s="15" t="str">
        <f aca="false">IF(A31="","",COUNTIFS('Swing Watchlist'!$A$11:$A$210,A31,'Swing Watchlist'!$AK$11:$AK$210,"A"))</f>
        <v/>
      </c>
      <c r="G31" s="47"/>
      <c r="H31" s="47"/>
      <c r="I31" s="47"/>
    </row>
    <row r="32" customFormat="false" ht="15" hidden="false" customHeight="false" outlineLevel="0" collapsed="false">
      <c r="A32" s="19"/>
      <c r="B32" s="46"/>
      <c r="C32" s="46"/>
      <c r="D32" s="15" t="str">
        <f aca="false">IF(OR(B32="",C32=""),"",IF(AND(B32="Y",C32="Y"),"RISK-ON → favour longs",IF(AND(B32="N",C32="N"),"RISK-OFF → favour shorts","MIXED → both, smaller")))</f>
        <v/>
      </c>
      <c r="E32" s="15" t="str">
        <f aca="false">IF(A32="","",COUNTIFS('Swing Watchlist'!$A$11:$A$210,A32,'Swing Watchlist'!$C$11:$C$210,"?*"))</f>
        <v/>
      </c>
      <c r="F32" s="15" t="str">
        <f aca="false">IF(A32="","",COUNTIFS('Swing Watchlist'!$A$11:$A$210,A32,'Swing Watchlist'!$AK$11:$AK$210,"A"))</f>
        <v/>
      </c>
      <c r="G32" s="47"/>
      <c r="H32" s="47"/>
      <c r="I32" s="47"/>
    </row>
    <row r="33" customFormat="false" ht="15" hidden="false" customHeight="false" outlineLevel="0" collapsed="false">
      <c r="A33" s="19"/>
      <c r="B33" s="46"/>
      <c r="C33" s="46"/>
      <c r="D33" s="15" t="str">
        <f aca="false">IF(OR(B33="",C33=""),"",IF(AND(B33="Y",C33="Y"),"RISK-ON → favour longs",IF(AND(B33="N",C33="N"),"RISK-OFF → favour shorts","MIXED → both, smaller")))</f>
        <v/>
      </c>
      <c r="E33" s="15" t="str">
        <f aca="false">IF(A33="","",COUNTIFS('Swing Watchlist'!$A$11:$A$210,A33,'Swing Watchlist'!$C$11:$C$210,"?*"))</f>
        <v/>
      </c>
      <c r="F33" s="15" t="str">
        <f aca="false">IF(A33="","",COUNTIFS('Swing Watchlist'!$A$11:$A$210,A33,'Swing Watchlist'!$AK$11:$AK$210,"A"))</f>
        <v/>
      </c>
      <c r="G33" s="47"/>
      <c r="H33" s="47"/>
      <c r="I33" s="47"/>
    </row>
    <row r="34" customFormat="false" ht="15" hidden="false" customHeight="false" outlineLevel="0" collapsed="false">
      <c r="A34" s="19"/>
      <c r="B34" s="46"/>
      <c r="C34" s="46"/>
      <c r="D34" s="15" t="str">
        <f aca="false">IF(OR(B34="",C34=""),"",IF(AND(B34="Y",C34="Y"),"RISK-ON → favour longs",IF(AND(B34="N",C34="N"),"RISK-OFF → favour shorts","MIXED → both, smaller")))</f>
        <v/>
      </c>
      <c r="E34" s="15" t="str">
        <f aca="false">IF(A34="","",COUNTIFS('Swing Watchlist'!$A$11:$A$210,A34,'Swing Watchlist'!$C$11:$C$210,"?*"))</f>
        <v/>
      </c>
      <c r="F34" s="15" t="str">
        <f aca="false">IF(A34="","",COUNTIFS('Swing Watchlist'!$A$11:$A$210,A34,'Swing Watchlist'!$AK$11:$AK$210,"A"))</f>
        <v/>
      </c>
      <c r="G34" s="47"/>
      <c r="H34" s="47"/>
      <c r="I34" s="47"/>
    </row>
    <row r="35" customFormat="false" ht="15" hidden="false" customHeight="false" outlineLevel="0" collapsed="false">
      <c r="A35" s="19"/>
      <c r="B35" s="46"/>
      <c r="C35" s="46"/>
      <c r="D35" s="15" t="str">
        <f aca="false">IF(OR(B35="",C35=""),"",IF(AND(B35="Y",C35="Y"),"RISK-ON → favour longs",IF(AND(B35="N",C35="N"),"RISK-OFF → favour shorts","MIXED → both, smaller")))</f>
        <v/>
      </c>
      <c r="E35" s="15" t="str">
        <f aca="false">IF(A35="","",COUNTIFS('Swing Watchlist'!$A$11:$A$210,A35,'Swing Watchlist'!$C$11:$C$210,"?*"))</f>
        <v/>
      </c>
      <c r="F35" s="15" t="str">
        <f aca="false">IF(A35="","",COUNTIFS('Swing Watchlist'!$A$11:$A$210,A35,'Swing Watchlist'!$AK$11:$AK$210,"A"))</f>
        <v/>
      </c>
      <c r="G35" s="47"/>
      <c r="H35" s="47"/>
      <c r="I35" s="47"/>
    </row>
    <row r="36" customFormat="false" ht="15" hidden="false" customHeight="false" outlineLevel="0" collapsed="false">
      <c r="A36" s="19"/>
      <c r="B36" s="46"/>
      <c r="C36" s="46"/>
      <c r="D36" s="15" t="str">
        <f aca="false">IF(OR(B36="",C36=""),"",IF(AND(B36="Y",C36="Y"),"RISK-ON → favour longs",IF(AND(B36="N",C36="N"),"RISK-OFF → favour shorts","MIXED → both, smaller")))</f>
        <v/>
      </c>
      <c r="E36" s="15" t="str">
        <f aca="false">IF(A36="","",COUNTIFS('Swing Watchlist'!$A$11:$A$210,A36,'Swing Watchlist'!$C$11:$C$210,"?*"))</f>
        <v/>
      </c>
      <c r="F36" s="15" t="str">
        <f aca="false">IF(A36="","",COUNTIFS('Swing Watchlist'!$A$11:$A$210,A36,'Swing Watchlist'!$AK$11:$AK$210,"A"))</f>
        <v/>
      </c>
      <c r="G36" s="47"/>
      <c r="H36" s="47"/>
      <c r="I36" s="47"/>
    </row>
    <row r="37" customFormat="false" ht="15" hidden="false" customHeight="false" outlineLevel="0" collapsed="false">
      <c r="A37" s="19"/>
      <c r="B37" s="46"/>
      <c r="C37" s="46"/>
      <c r="D37" s="15" t="str">
        <f aca="false">IF(OR(B37="",C37=""),"",IF(AND(B37="Y",C37="Y"),"RISK-ON → favour longs",IF(AND(B37="N",C37="N"),"RISK-OFF → favour shorts","MIXED → both, smaller")))</f>
        <v/>
      </c>
      <c r="E37" s="15" t="str">
        <f aca="false">IF(A37="","",COUNTIFS('Swing Watchlist'!$A$11:$A$210,A37,'Swing Watchlist'!$C$11:$C$210,"?*"))</f>
        <v/>
      </c>
      <c r="F37" s="15" t="str">
        <f aca="false">IF(A37="","",COUNTIFS('Swing Watchlist'!$A$11:$A$210,A37,'Swing Watchlist'!$AK$11:$AK$210,"A"))</f>
        <v/>
      </c>
      <c r="G37" s="47"/>
      <c r="H37" s="47"/>
      <c r="I37" s="47"/>
    </row>
    <row r="38" customFormat="false" ht="15" hidden="false" customHeight="false" outlineLevel="0" collapsed="false">
      <c r="A38" s="19"/>
      <c r="B38" s="46"/>
      <c r="C38" s="46"/>
      <c r="D38" s="15" t="str">
        <f aca="false">IF(OR(B38="",C38=""),"",IF(AND(B38="Y",C38="Y"),"RISK-ON → favour longs",IF(AND(B38="N",C38="N"),"RISK-OFF → favour shorts","MIXED → both, smaller")))</f>
        <v/>
      </c>
      <c r="E38" s="15" t="str">
        <f aca="false">IF(A38="","",COUNTIFS('Swing Watchlist'!$A$11:$A$210,A38,'Swing Watchlist'!$C$11:$C$210,"?*"))</f>
        <v/>
      </c>
      <c r="F38" s="15" t="str">
        <f aca="false">IF(A38="","",COUNTIFS('Swing Watchlist'!$A$11:$A$210,A38,'Swing Watchlist'!$AK$11:$AK$210,"A"))</f>
        <v/>
      </c>
      <c r="G38" s="47"/>
      <c r="H38" s="47"/>
      <c r="I38" s="47"/>
    </row>
    <row r="39" customFormat="false" ht="15" hidden="false" customHeight="false" outlineLevel="0" collapsed="false">
      <c r="A39" s="19"/>
      <c r="B39" s="46"/>
      <c r="C39" s="46"/>
      <c r="D39" s="15" t="str">
        <f aca="false">IF(OR(B39="",C39=""),"",IF(AND(B39="Y",C39="Y"),"RISK-ON → favour longs",IF(AND(B39="N",C39="N"),"RISK-OFF → favour shorts","MIXED → both, smaller")))</f>
        <v/>
      </c>
      <c r="E39" s="15" t="str">
        <f aca="false">IF(A39="","",COUNTIFS('Swing Watchlist'!$A$11:$A$210,A39,'Swing Watchlist'!$C$11:$C$210,"?*"))</f>
        <v/>
      </c>
      <c r="F39" s="15" t="str">
        <f aca="false">IF(A39="","",COUNTIFS('Swing Watchlist'!$A$11:$A$210,A39,'Swing Watchlist'!$AK$11:$AK$210,"A"))</f>
        <v/>
      </c>
      <c r="G39" s="47"/>
      <c r="H39" s="47"/>
      <c r="I39" s="47"/>
    </row>
    <row r="40" customFormat="false" ht="15" hidden="false" customHeight="false" outlineLevel="0" collapsed="false">
      <c r="A40" s="19"/>
      <c r="B40" s="46"/>
      <c r="C40" s="46"/>
      <c r="D40" s="15" t="str">
        <f aca="false">IF(OR(B40="",C40=""),"",IF(AND(B40="Y",C40="Y"),"RISK-ON → favour longs",IF(AND(B40="N",C40="N"),"RISK-OFF → favour shorts","MIXED → both, smaller")))</f>
        <v/>
      </c>
      <c r="E40" s="15" t="str">
        <f aca="false">IF(A40="","",COUNTIFS('Swing Watchlist'!$A$11:$A$210,A40,'Swing Watchlist'!$C$11:$C$210,"?*"))</f>
        <v/>
      </c>
      <c r="F40" s="15" t="str">
        <f aca="false">IF(A40="","",COUNTIFS('Swing Watchlist'!$A$11:$A$210,A40,'Swing Watchlist'!$AK$11:$AK$210,"A"))</f>
        <v/>
      </c>
      <c r="G40" s="47"/>
      <c r="H40" s="47"/>
      <c r="I40" s="47"/>
    </row>
    <row r="41" customFormat="false" ht="15" hidden="false" customHeight="false" outlineLevel="0" collapsed="false">
      <c r="A41" s="19"/>
      <c r="B41" s="46"/>
      <c r="C41" s="46"/>
      <c r="D41" s="15" t="str">
        <f aca="false">IF(OR(B41="",C41=""),"",IF(AND(B41="Y",C41="Y"),"RISK-ON → favour longs",IF(AND(B41="N",C41="N"),"RISK-OFF → favour shorts","MIXED → both, smaller")))</f>
        <v/>
      </c>
      <c r="E41" s="15" t="str">
        <f aca="false">IF(A41="","",COUNTIFS('Swing Watchlist'!$A$11:$A$210,A41,'Swing Watchlist'!$C$11:$C$210,"?*"))</f>
        <v/>
      </c>
      <c r="F41" s="15" t="str">
        <f aca="false">IF(A41="","",COUNTIFS('Swing Watchlist'!$A$11:$A$210,A41,'Swing Watchlist'!$AK$11:$AK$210,"A"))</f>
        <v/>
      </c>
      <c r="G41" s="47"/>
      <c r="H41" s="47"/>
      <c r="I41" s="47"/>
    </row>
    <row r="42" customFormat="false" ht="15" hidden="false" customHeight="false" outlineLevel="0" collapsed="false">
      <c r="A42" s="19"/>
      <c r="B42" s="46"/>
      <c r="C42" s="46"/>
      <c r="D42" s="15" t="str">
        <f aca="false">IF(OR(B42="",C42=""),"",IF(AND(B42="Y",C42="Y"),"RISK-ON → favour longs",IF(AND(B42="N",C42="N"),"RISK-OFF → favour shorts","MIXED → both, smaller")))</f>
        <v/>
      </c>
      <c r="E42" s="15" t="str">
        <f aca="false">IF(A42="","",COUNTIFS('Swing Watchlist'!$A$11:$A$210,A42,'Swing Watchlist'!$C$11:$C$210,"?*"))</f>
        <v/>
      </c>
      <c r="F42" s="15" t="str">
        <f aca="false">IF(A42="","",COUNTIFS('Swing Watchlist'!$A$11:$A$210,A42,'Swing Watchlist'!$AK$11:$AK$210,"A"))</f>
        <v/>
      </c>
      <c r="G42" s="47"/>
      <c r="H42" s="47"/>
      <c r="I42" s="47"/>
    </row>
    <row r="43" customFormat="false" ht="15" hidden="false" customHeight="false" outlineLevel="0" collapsed="false">
      <c r="A43" s="19"/>
      <c r="B43" s="46"/>
      <c r="C43" s="46"/>
      <c r="D43" s="15" t="str">
        <f aca="false">IF(OR(B43="",C43=""),"",IF(AND(B43="Y",C43="Y"),"RISK-ON → favour longs",IF(AND(B43="N",C43="N"),"RISK-OFF → favour shorts","MIXED → both, smaller")))</f>
        <v/>
      </c>
      <c r="E43" s="15" t="str">
        <f aca="false">IF(A43="","",COUNTIFS('Swing Watchlist'!$A$11:$A$210,A43,'Swing Watchlist'!$C$11:$C$210,"?*"))</f>
        <v/>
      </c>
      <c r="F43" s="15" t="str">
        <f aca="false">IF(A43="","",COUNTIFS('Swing Watchlist'!$A$11:$A$210,A43,'Swing Watchlist'!$AK$11:$AK$210,"A"))</f>
        <v/>
      </c>
      <c r="G43" s="47"/>
      <c r="H43" s="47"/>
      <c r="I43" s="47"/>
    </row>
    <row r="44" customFormat="false" ht="15" hidden="false" customHeight="false" outlineLevel="0" collapsed="false">
      <c r="A44" s="19"/>
      <c r="B44" s="46"/>
      <c r="C44" s="46"/>
      <c r="D44" s="15" t="str">
        <f aca="false">IF(OR(B44="",C44=""),"",IF(AND(B44="Y",C44="Y"),"RISK-ON → favour longs",IF(AND(B44="N",C44="N"),"RISK-OFF → favour shorts","MIXED → both, smaller")))</f>
        <v/>
      </c>
      <c r="E44" s="15" t="str">
        <f aca="false">IF(A44="","",COUNTIFS('Swing Watchlist'!$A$11:$A$210,A44,'Swing Watchlist'!$C$11:$C$210,"?*"))</f>
        <v/>
      </c>
      <c r="F44" s="15" t="str">
        <f aca="false">IF(A44="","",COUNTIFS('Swing Watchlist'!$A$11:$A$210,A44,'Swing Watchlist'!$AK$11:$AK$210,"A"))</f>
        <v/>
      </c>
      <c r="G44" s="47"/>
      <c r="H44" s="47"/>
      <c r="I44" s="47"/>
    </row>
    <row r="45" customFormat="false" ht="15" hidden="false" customHeight="false" outlineLevel="0" collapsed="false">
      <c r="A45" s="19"/>
      <c r="B45" s="46"/>
      <c r="C45" s="46"/>
      <c r="D45" s="15" t="str">
        <f aca="false">IF(OR(B45="",C45=""),"",IF(AND(B45="Y",C45="Y"),"RISK-ON → favour longs",IF(AND(B45="N",C45="N"),"RISK-OFF → favour shorts","MIXED → both, smaller")))</f>
        <v/>
      </c>
      <c r="E45" s="15" t="str">
        <f aca="false">IF(A45="","",COUNTIFS('Swing Watchlist'!$A$11:$A$210,A45,'Swing Watchlist'!$C$11:$C$210,"?*"))</f>
        <v/>
      </c>
      <c r="F45" s="15" t="str">
        <f aca="false">IF(A45="","",COUNTIFS('Swing Watchlist'!$A$11:$A$210,A45,'Swing Watchlist'!$AK$11:$AK$210,"A"))</f>
        <v/>
      </c>
      <c r="G45" s="47"/>
      <c r="H45" s="47"/>
      <c r="I45" s="47"/>
    </row>
    <row r="46" customFormat="false" ht="15" hidden="false" customHeight="false" outlineLevel="0" collapsed="false">
      <c r="A46" s="19"/>
      <c r="B46" s="46"/>
      <c r="C46" s="46"/>
      <c r="D46" s="15" t="str">
        <f aca="false">IF(OR(B46="",C46=""),"",IF(AND(B46="Y",C46="Y"),"RISK-ON → favour longs",IF(AND(B46="N",C46="N"),"RISK-OFF → favour shorts","MIXED → both, smaller")))</f>
        <v/>
      </c>
      <c r="E46" s="15" t="str">
        <f aca="false">IF(A46="","",COUNTIFS('Swing Watchlist'!$A$11:$A$210,A46,'Swing Watchlist'!$C$11:$C$210,"?*"))</f>
        <v/>
      </c>
      <c r="F46" s="15" t="str">
        <f aca="false">IF(A46="","",COUNTIFS('Swing Watchlist'!$A$11:$A$210,A46,'Swing Watchlist'!$AK$11:$AK$210,"A"))</f>
        <v/>
      </c>
      <c r="G46" s="47"/>
      <c r="H46" s="47"/>
      <c r="I46" s="47"/>
    </row>
    <row r="47" customFormat="false" ht="15" hidden="false" customHeight="false" outlineLevel="0" collapsed="false">
      <c r="A47" s="19"/>
      <c r="B47" s="46"/>
      <c r="C47" s="46"/>
      <c r="D47" s="15" t="str">
        <f aca="false">IF(OR(B47="",C47=""),"",IF(AND(B47="Y",C47="Y"),"RISK-ON → favour longs",IF(AND(B47="N",C47="N"),"RISK-OFF → favour shorts","MIXED → both, smaller")))</f>
        <v/>
      </c>
      <c r="E47" s="15" t="str">
        <f aca="false">IF(A47="","",COUNTIFS('Swing Watchlist'!$A$11:$A$210,A47,'Swing Watchlist'!$C$11:$C$210,"?*"))</f>
        <v/>
      </c>
      <c r="F47" s="15" t="str">
        <f aca="false">IF(A47="","",COUNTIFS('Swing Watchlist'!$A$11:$A$210,A47,'Swing Watchlist'!$AK$11:$AK$210,"A"))</f>
        <v/>
      </c>
      <c r="G47" s="47"/>
      <c r="H47" s="47"/>
      <c r="I47" s="47"/>
    </row>
    <row r="48" customFormat="false" ht="15" hidden="false" customHeight="false" outlineLevel="0" collapsed="false">
      <c r="A48" s="19"/>
      <c r="B48" s="46"/>
      <c r="C48" s="46"/>
      <c r="D48" s="15" t="str">
        <f aca="false">IF(OR(B48="",C48=""),"",IF(AND(B48="Y",C48="Y"),"RISK-ON → favour longs",IF(AND(B48="N",C48="N"),"RISK-OFF → favour shorts","MIXED → both, smaller")))</f>
        <v/>
      </c>
      <c r="E48" s="15" t="str">
        <f aca="false">IF(A48="","",COUNTIFS('Swing Watchlist'!$A$11:$A$210,A48,'Swing Watchlist'!$C$11:$C$210,"?*"))</f>
        <v/>
      </c>
      <c r="F48" s="15" t="str">
        <f aca="false">IF(A48="","",COUNTIFS('Swing Watchlist'!$A$11:$A$210,A48,'Swing Watchlist'!$AK$11:$AK$210,"A"))</f>
        <v/>
      </c>
      <c r="G48" s="47"/>
      <c r="H48" s="47"/>
      <c r="I48" s="47"/>
    </row>
    <row r="49" customFormat="false" ht="15" hidden="false" customHeight="false" outlineLevel="0" collapsed="false">
      <c r="A49" s="19"/>
      <c r="B49" s="46"/>
      <c r="C49" s="46"/>
      <c r="D49" s="15" t="str">
        <f aca="false">IF(OR(B49="",C49=""),"",IF(AND(B49="Y",C49="Y"),"RISK-ON → favour longs",IF(AND(B49="N",C49="N"),"RISK-OFF → favour shorts","MIXED → both, smaller")))</f>
        <v/>
      </c>
      <c r="E49" s="15" t="str">
        <f aca="false">IF(A49="","",COUNTIFS('Swing Watchlist'!$A$11:$A$210,A49,'Swing Watchlist'!$C$11:$C$210,"?*"))</f>
        <v/>
      </c>
      <c r="F49" s="15" t="str">
        <f aca="false">IF(A49="","",COUNTIFS('Swing Watchlist'!$A$11:$A$210,A49,'Swing Watchlist'!$AK$11:$AK$210,"A"))</f>
        <v/>
      </c>
      <c r="G49" s="47"/>
      <c r="H49" s="47"/>
      <c r="I49" s="47"/>
    </row>
    <row r="50" customFormat="false" ht="15" hidden="false" customHeight="false" outlineLevel="0" collapsed="false">
      <c r="A50" s="19"/>
      <c r="B50" s="46"/>
      <c r="C50" s="46"/>
      <c r="D50" s="15" t="str">
        <f aca="false">IF(OR(B50="",C50=""),"",IF(AND(B50="Y",C50="Y"),"RISK-ON → favour longs",IF(AND(B50="N",C50="N"),"RISK-OFF → favour shorts","MIXED → both, smaller")))</f>
        <v/>
      </c>
      <c r="E50" s="15" t="str">
        <f aca="false">IF(A50="","",COUNTIFS('Swing Watchlist'!$A$11:$A$210,A50,'Swing Watchlist'!$C$11:$C$210,"?*"))</f>
        <v/>
      </c>
      <c r="F50" s="15" t="str">
        <f aca="false">IF(A50="","",COUNTIFS('Swing Watchlist'!$A$11:$A$210,A50,'Swing Watchlist'!$AK$11:$AK$210,"A"))</f>
        <v/>
      </c>
      <c r="G50" s="47"/>
      <c r="H50" s="47"/>
      <c r="I50" s="47"/>
    </row>
    <row r="51" customFormat="false" ht="15" hidden="false" customHeight="false" outlineLevel="0" collapsed="false">
      <c r="A51" s="19"/>
      <c r="B51" s="46"/>
      <c r="C51" s="46"/>
      <c r="D51" s="15" t="str">
        <f aca="false">IF(OR(B51="",C51=""),"",IF(AND(B51="Y",C51="Y"),"RISK-ON → favour longs",IF(AND(B51="N",C51="N"),"RISK-OFF → favour shorts","MIXED → both, smaller")))</f>
        <v/>
      </c>
      <c r="E51" s="15" t="str">
        <f aca="false">IF(A51="","",COUNTIFS('Swing Watchlist'!$A$11:$A$210,A51,'Swing Watchlist'!$C$11:$C$210,"?*"))</f>
        <v/>
      </c>
      <c r="F51" s="15" t="str">
        <f aca="false">IF(A51="","",COUNTIFS('Swing Watchlist'!$A$11:$A$210,A51,'Swing Watchlist'!$AK$11:$AK$210,"A"))</f>
        <v/>
      </c>
      <c r="G51" s="47"/>
      <c r="H51" s="47"/>
      <c r="I51" s="47"/>
    </row>
    <row r="52" customFormat="false" ht="15" hidden="false" customHeight="false" outlineLevel="0" collapsed="false">
      <c r="A52" s="19"/>
      <c r="B52" s="46"/>
      <c r="C52" s="46"/>
      <c r="D52" s="15" t="str">
        <f aca="false">IF(OR(B52="",C52=""),"",IF(AND(B52="Y",C52="Y"),"RISK-ON → favour longs",IF(AND(B52="N",C52="N"),"RISK-OFF → favour shorts","MIXED → both, smaller")))</f>
        <v/>
      </c>
      <c r="E52" s="15" t="str">
        <f aca="false">IF(A52="","",COUNTIFS('Swing Watchlist'!$A$11:$A$210,A52,'Swing Watchlist'!$C$11:$C$210,"?*"))</f>
        <v/>
      </c>
      <c r="F52" s="15" t="str">
        <f aca="false">IF(A52="","",COUNTIFS('Swing Watchlist'!$A$11:$A$210,A52,'Swing Watchlist'!$AK$11:$AK$210,"A"))</f>
        <v/>
      </c>
      <c r="G52" s="47"/>
      <c r="H52" s="47"/>
      <c r="I52" s="47"/>
    </row>
    <row r="53" customFormat="false" ht="15" hidden="false" customHeight="false" outlineLevel="0" collapsed="false">
      <c r="A53" s="19"/>
      <c r="B53" s="46"/>
      <c r="C53" s="46"/>
      <c r="D53" s="15" t="str">
        <f aca="false">IF(OR(B53="",C53=""),"",IF(AND(B53="Y",C53="Y"),"RISK-ON → favour longs",IF(AND(B53="N",C53="N"),"RISK-OFF → favour shorts","MIXED → both, smaller")))</f>
        <v/>
      </c>
      <c r="E53" s="15" t="str">
        <f aca="false">IF(A53="","",COUNTIFS('Swing Watchlist'!$A$11:$A$210,A53,'Swing Watchlist'!$C$11:$C$210,"?*"))</f>
        <v/>
      </c>
      <c r="F53" s="15" t="str">
        <f aca="false">IF(A53="","",COUNTIFS('Swing Watchlist'!$A$11:$A$210,A53,'Swing Watchlist'!$AK$11:$AK$210,"A"))</f>
        <v/>
      </c>
      <c r="G53" s="47"/>
      <c r="H53" s="47"/>
      <c r="I53" s="47"/>
    </row>
    <row r="54" customFormat="false" ht="15" hidden="false" customHeight="false" outlineLevel="0" collapsed="false">
      <c r="A54" s="19"/>
      <c r="B54" s="46"/>
      <c r="C54" s="46"/>
      <c r="D54" s="15" t="str">
        <f aca="false">IF(OR(B54="",C54=""),"",IF(AND(B54="Y",C54="Y"),"RISK-ON → favour longs",IF(AND(B54="N",C54="N"),"RISK-OFF → favour shorts","MIXED → both, smaller")))</f>
        <v/>
      </c>
      <c r="E54" s="15" t="str">
        <f aca="false">IF(A54="","",COUNTIFS('Swing Watchlist'!$A$11:$A$210,A54,'Swing Watchlist'!$C$11:$C$210,"?*"))</f>
        <v/>
      </c>
      <c r="F54" s="15" t="str">
        <f aca="false">IF(A54="","",COUNTIFS('Swing Watchlist'!$A$11:$A$210,A54,'Swing Watchlist'!$AK$11:$AK$210,"A"))</f>
        <v/>
      </c>
      <c r="G54" s="47"/>
      <c r="H54" s="47"/>
      <c r="I54" s="47"/>
    </row>
    <row r="55" customFormat="false" ht="15" hidden="false" customHeight="false" outlineLevel="0" collapsed="false">
      <c r="A55" s="19"/>
      <c r="B55" s="46"/>
      <c r="C55" s="46"/>
      <c r="D55" s="15" t="str">
        <f aca="false">IF(OR(B55="",C55=""),"",IF(AND(B55="Y",C55="Y"),"RISK-ON → favour longs",IF(AND(B55="N",C55="N"),"RISK-OFF → favour shorts","MIXED → both, smaller")))</f>
        <v/>
      </c>
      <c r="E55" s="15" t="str">
        <f aca="false">IF(A55="","",COUNTIFS('Swing Watchlist'!$A$11:$A$210,A55,'Swing Watchlist'!$C$11:$C$210,"?*"))</f>
        <v/>
      </c>
      <c r="F55" s="15" t="str">
        <f aca="false">IF(A55="","",COUNTIFS('Swing Watchlist'!$A$11:$A$210,A55,'Swing Watchlist'!$AK$11:$AK$210,"A"))</f>
        <v/>
      </c>
      <c r="G55" s="47"/>
      <c r="H55" s="47"/>
      <c r="I55" s="47"/>
    </row>
    <row r="56" customFormat="false" ht="15" hidden="false" customHeight="false" outlineLevel="0" collapsed="false">
      <c r="A56" s="19"/>
      <c r="B56" s="46"/>
      <c r="C56" s="46"/>
      <c r="D56" s="15" t="str">
        <f aca="false">IF(OR(B56="",C56=""),"",IF(AND(B56="Y",C56="Y"),"RISK-ON → favour longs",IF(AND(B56="N",C56="N"),"RISK-OFF → favour shorts","MIXED → both, smaller")))</f>
        <v/>
      </c>
      <c r="E56" s="15" t="str">
        <f aca="false">IF(A56="","",COUNTIFS('Swing Watchlist'!$A$11:$A$210,A56,'Swing Watchlist'!$C$11:$C$210,"?*"))</f>
        <v/>
      </c>
      <c r="F56" s="15" t="str">
        <f aca="false">IF(A56="","",COUNTIFS('Swing Watchlist'!$A$11:$A$210,A56,'Swing Watchlist'!$AK$11:$AK$210,"A"))</f>
        <v/>
      </c>
      <c r="G56" s="47"/>
      <c r="H56" s="47"/>
      <c r="I56" s="47"/>
    </row>
    <row r="57" customFormat="false" ht="15" hidden="false" customHeight="false" outlineLevel="0" collapsed="false">
      <c r="A57" s="19"/>
      <c r="B57" s="46"/>
      <c r="C57" s="46"/>
      <c r="D57" s="15" t="str">
        <f aca="false">IF(OR(B57="",C57=""),"",IF(AND(B57="Y",C57="Y"),"RISK-ON → favour longs",IF(AND(B57="N",C57="N"),"RISK-OFF → favour shorts","MIXED → both, smaller")))</f>
        <v/>
      </c>
      <c r="E57" s="15" t="str">
        <f aca="false">IF(A57="","",COUNTIFS('Swing Watchlist'!$A$11:$A$210,A57,'Swing Watchlist'!$C$11:$C$210,"?*"))</f>
        <v/>
      </c>
      <c r="F57" s="15" t="str">
        <f aca="false">IF(A57="","",COUNTIFS('Swing Watchlist'!$A$11:$A$210,A57,'Swing Watchlist'!$AK$11:$AK$210,"A"))</f>
        <v/>
      </c>
      <c r="G57" s="47"/>
      <c r="H57" s="47"/>
      <c r="I57" s="47"/>
    </row>
    <row r="58" customFormat="false" ht="15" hidden="false" customHeight="false" outlineLevel="0" collapsed="false">
      <c r="A58" s="19"/>
      <c r="B58" s="46"/>
      <c r="C58" s="46"/>
      <c r="D58" s="15" t="str">
        <f aca="false">IF(OR(B58="",C58=""),"",IF(AND(B58="Y",C58="Y"),"RISK-ON → favour longs",IF(AND(B58="N",C58="N"),"RISK-OFF → favour shorts","MIXED → both, smaller")))</f>
        <v/>
      </c>
      <c r="E58" s="15" t="str">
        <f aca="false">IF(A58="","",COUNTIFS('Swing Watchlist'!$A$11:$A$210,A58,'Swing Watchlist'!$C$11:$C$210,"?*"))</f>
        <v/>
      </c>
      <c r="F58" s="15" t="str">
        <f aca="false">IF(A58="","",COUNTIFS('Swing Watchlist'!$A$11:$A$210,A58,'Swing Watchlist'!$AK$11:$AK$210,"A"))</f>
        <v/>
      </c>
      <c r="G58" s="47"/>
      <c r="H58" s="47"/>
      <c r="I58" s="47"/>
    </row>
    <row r="59" customFormat="false" ht="15" hidden="false" customHeight="false" outlineLevel="0" collapsed="false">
      <c r="A59" s="19"/>
      <c r="B59" s="46"/>
      <c r="C59" s="46"/>
      <c r="D59" s="15" t="str">
        <f aca="false">IF(OR(B59="",C59=""),"",IF(AND(B59="Y",C59="Y"),"RISK-ON → favour longs",IF(AND(B59="N",C59="N"),"RISK-OFF → favour shorts","MIXED → both, smaller")))</f>
        <v/>
      </c>
      <c r="E59" s="15" t="str">
        <f aca="false">IF(A59="","",COUNTIFS('Swing Watchlist'!$A$11:$A$210,A59,'Swing Watchlist'!$C$11:$C$210,"?*"))</f>
        <v/>
      </c>
      <c r="F59" s="15" t="str">
        <f aca="false">IF(A59="","",COUNTIFS('Swing Watchlist'!$A$11:$A$210,A59,'Swing Watchlist'!$AK$11:$AK$210,"A"))</f>
        <v/>
      </c>
      <c r="G59" s="47"/>
      <c r="H59" s="47"/>
      <c r="I59" s="47"/>
    </row>
    <row r="60" customFormat="false" ht="15" hidden="false" customHeight="false" outlineLevel="0" collapsed="false">
      <c r="A60" s="19"/>
      <c r="B60" s="46"/>
      <c r="C60" s="46"/>
      <c r="D60" s="15" t="str">
        <f aca="false">IF(OR(B60="",C60=""),"",IF(AND(B60="Y",C60="Y"),"RISK-ON → favour longs",IF(AND(B60="N",C60="N"),"RISK-OFF → favour shorts","MIXED → both, smaller")))</f>
        <v/>
      </c>
      <c r="E60" s="15" t="str">
        <f aca="false">IF(A60="","",COUNTIFS('Swing Watchlist'!$A$11:$A$210,A60,'Swing Watchlist'!$C$11:$C$210,"?*"))</f>
        <v/>
      </c>
      <c r="F60" s="15" t="str">
        <f aca="false">IF(A60="","",COUNTIFS('Swing Watchlist'!$A$11:$A$210,A60,'Swing Watchlist'!$AK$11:$AK$210,"A"))</f>
        <v/>
      </c>
      <c r="G60" s="47"/>
      <c r="H60" s="47"/>
      <c r="I60" s="47"/>
    </row>
    <row r="61" customFormat="false" ht="15" hidden="false" customHeight="false" outlineLevel="0" collapsed="false">
      <c r="A61" s="19"/>
      <c r="B61" s="46"/>
      <c r="C61" s="46"/>
      <c r="D61" s="15" t="str">
        <f aca="false">IF(OR(B61="",C61=""),"",IF(AND(B61="Y",C61="Y"),"RISK-ON → favour longs",IF(AND(B61="N",C61="N"),"RISK-OFF → favour shorts","MIXED → both, smaller")))</f>
        <v/>
      </c>
      <c r="E61" s="15" t="str">
        <f aca="false">IF(A61="","",COUNTIFS('Swing Watchlist'!$A$11:$A$210,A61,'Swing Watchlist'!$C$11:$C$210,"?*"))</f>
        <v/>
      </c>
      <c r="F61" s="15" t="str">
        <f aca="false">IF(A61="","",COUNTIFS('Swing Watchlist'!$A$11:$A$210,A61,'Swing Watchlist'!$AK$11:$AK$210,"A"))</f>
        <v/>
      </c>
      <c r="G61" s="47"/>
      <c r="H61" s="47"/>
      <c r="I61" s="47"/>
    </row>
    <row r="62" customFormat="false" ht="15" hidden="false" customHeight="false" outlineLevel="0" collapsed="false">
      <c r="A62" s="19"/>
      <c r="B62" s="46"/>
      <c r="C62" s="46"/>
      <c r="D62" s="15" t="str">
        <f aca="false">IF(OR(B62="",C62=""),"",IF(AND(B62="Y",C62="Y"),"RISK-ON → favour longs",IF(AND(B62="N",C62="N"),"RISK-OFF → favour shorts","MIXED → both, smaller")))</f>
        <v/>
      </c>
      <c r="E62" s="15" t="str">
        <f aca="false">IF(A62="","",COUNTIFS('Swing Watchlist'!$A$11:$A$210,A62,'Swing Watchlist'!$C$11:$C$210,"?*"))</f>
        <v/>
      </c>
      <c r="F62" s="15" t="str">
        <f aca="false">IF(A62="","",COUNTIFS('Swing Watchlist'!$A$11:$A$210,A62,'Swing Watchlist'!$AK$11:$AK$210,"A"))</f>
        <v/>
      </c>
      <c r="G62" s="47"/>
      <c r="H62" s="47"/>
      <c r="I62" s="47"/>
    </row>
    <row r="63" customFormat="false" ht="15" hidden="false" customHeight="false" outlineLevel="0" collapsed="false">
      <c r="A63" s="19"/>
      <c r="B63" s="46"/>
      <c r="C63" s="46"/>
      <c r="D63" s="15" t="str">
        <f aca="false">IF(OR(B63="",C63=""),"",IF(AND(B63="Y",C63="Y"),"RISK-ON → favour longs",IF(AND(B63="N",C63="N"),"RISK-OFF → favour shorts","MIXED → both, smaller")))</f>
        <v/>
      </c>
      <c r="E63" s="15" t="str">
        <f aca="false">IF(A63="","",COUNTIFS('Swing Watchlist'!$A$11:$A$210,A63,'Swing Watchlist'!$C$11:$C$210,"?*"))</f>
        <v/>
      </c>
      <c r="F63" s="15" t="str">
        <f aca="false">IF(A63="","",COUNTIFS('Swing Watchlist'!$A$11:$A$210,A63,'Swing Watchlist'!$AK$11:$AK$210,"A"))</f>
        <v/>
      </c>
      <c r="G63" s="47"/>
      <c r="H63" s="47"/>
      <c r="I63" s="47"/>
    </row>
    <row r="64" customFormat="false" ht="15" hidden="false" customHeight="false" outlineLevel="0" collapsed="false">
      <c r="A64" s="19"/>
      <c r="B64" s="46"/>
      <c r="C64" s="46"/>
      <c r="D64" s="15" t="str">
        <f aca="false">IF(OR(B64="",C64=""),"",IF(AND(B64="Y",C64="Y"),"RISK-ON → favour longs",IF(AND(B64="N",C64="N"),"RISK-OFF → favour shorts","MIXED → both, smaller")))</f>
        <v/>
      </c>
      <c r="E64" s="15" t="str">
        <f aca="false">IF(A64="","",COUNTIFS('Swing Watchlist'!$A$11:$A$210,A64,'Swing Watchlist'!$C$11:$C$210,"?*"))</f>
        <v/>
      </c>
      <c r="F64" s="15" t="str">
        <f aca="false">IF(A64="","",COUNTIFS('Swing Watchlist'!$A$11:$A$210,A64,'Swing Watchlist'!$AK$11:$AK$210,"A"))</f>
        <v/>
      </c>
      <c r="G64" s="47"/>
      <c r="H64" s="47"/>
      <c r="I64" s="47"/>
    </row>
    <row r="65" customFormat="false" ht="15" hidden="false" customHeight="false" outlineLevel="0" collapsed="false">
      <c r="A65" s="19"/>
      <c r="B65" s="46"/>
      <c r="C65" s="46"/>
      <c r="D65" s="15" t="str">
        <f aca="false">IF(OR(B65="",C65=""),"",IF(AND(B65="Y",C65="Y"),"RISK-ON → favour longs",IF(AND(B65="N",C65="N"),"RISK-OFF → favour shorts","MIXED → both, smaller")))</f>
        <v/>
      </c>
      <c r="E65" s="15" t="str">
        <f aca="false">IF(A65="","",COUNTIFS('Swing Watchlist'!$A$11:$A$210,A65,'Swing Watchlist'!$C$11:$C$210,"?*"))</f>
        <v/>
      </c>
      <c r="F65" s="15" t="str">
        <f aca="false">IF(A65="","",COUNTIFS('Swing Watchlist'!$A$11:$A$210,A65,'Swing Watchlist'!$AK$11:$AK$210,"A"))</f>
        <v/>
      </c>
      <c r="G65" s="47"/>
      <c r="H65" s="47"/>
      <c r="I65" s="47"/>
    </row>
    <row r="66" customFormat="false" ht="15" hidden="false" customHeight="false" outlineLevel="0" collapsed="false">
      <c r="A66" s="19"/>
      <c r="B66" s="46"/>
      <c r="C66" s="46"/>
      <c r="D66" s="15" t="str">
        <f aca="false">IF(OR(B66="",C66=""),"",IF(AND(B66="Y",C66="Y"),"RISK-ON → favour longs",IF(AND(B66="N",C66="N"),"RISK-OFF → favour shorts","MIXED → both, smaller")))</f>
        <v/>
      </c>
      <c r="E66" s="15" t="str">
        <f aca="false">IF(A66="","",COUNTIFS('Swing Watchlist'!$A$11:$A$210,A66,'Swing Watchlist'!$C$11:$C$210,"?*"))</f>
        <v/>
      </c>
      <c r="F66" s="15" t="str">
        <f aca="false">IF(A66="","",COUNTIFS('Swing Watchlist'!$A$11:$A$210,A66,'Swing Watchlist'!$AK$11:$AK$210,"A"))</f>
        <v/>
      </c>
      <c r="G66" s="47"/>
      <c r="H66" s="47"/>
      <c r="I66" s="47"/>
    </row>
    <row r="67" customFormat="false" ht="15" hidden="false" customHeight="false" outlineLevel="0" collapsed="false">
      <c r="A67" s="19"/>
      <c r="B67" s="46"/>
      <c r="C67" s="46"/>
      <c r="D67" s="15" t="str">
        <f aca="false">IF(OR(B67="",C67=""),"",IF(AND(B67="Y",C67="Y"),"RISK-ON → favour longs",IF(AND(B67="N",C67="N"),"RISK-OFF → favour shorts","MIXED → both, smaller")))</f>
        <v/>
      </c>
      <c r="E67" s="15" t="str">
        <f aca="false">IF(A67="","",COUNTIFS('Swing Watchlist'!$A$11:$A$210,A67,'Swing Watchlist'!$C$11:$C$210,"?*"))</f>
        <v/>
      </c>
      <c r="F67" s="15" t="str">
        <f aca="false">IF(A67="","",COUNTIFS('Swing Watchlist'!$A$11:$A$210,A67,'Swing Watchlist'!$AK$11:$AK$210,"A"))</f>
        <v/>
      </c>
      <c r="G67" s="47"/>
      <c r="H67" s="47"/>
      <c r="I67" s="47"/>
    </row>
    <row r="68" customFormat="false" ht="15" hidden="false" customHeight="false" outlineLevel="0" collapsed="false">
      <c r="A68" s="19"/>
      <c r="B68" s="46"/>
      <c r="C68" s="46"/>
      <c r="D68" s="15" t="str">
        <f aca="false">IF(OR(B68="",C68=""),"",IF(AND(B68="Y",C68="Y"),"RISK-ON → favour longs",IF(AND(B68="N",C68="N"),"RISK-OFF → favour shorts","MIXED → both, smaller")))</f>
        <v/>
      </c>
      <c r="E68" s="15" t="str">
        <f aca="false">IF(A68="","",COUNTIFS('Swing Watchlist'!$A$11:$A$210,A68,'Swing Watchlist'!$C$11:$C$210,"?*"))</f>
        <v/>
      </c>
      <c r="F68" s="15" t="str">
        <f aca="false">IF(A68="","",COUNTIFS('Swing Watchlist'!$A$11:$A$210,A68,'Swing Watchlist'!$AK$11:$AK$210,"A"))</f>
        <v/>
      </c>
      <c r="G68" s="47"/>
      <c r="H68" s="47"/>
      <c r="I68" s="47"/>
    </row>
  </sheetData>
  <mergeCells count="13">
    <mergeCell ref="C1:I1"/>
    <mergeCell ref="A2:I2"/>
    <mergeCell ref="A4:I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5:I15"/>
  </mergeCells>
  <conditionalFormatting sqref="I5:I13">
    <cfRule type="expression" priority="2" aboveAverage="0" equalAverage="0" bottom="0" percent="0" rank="0" text="" dxfId="29">
      <formula>I5="✔"</formula>
    </cfRule>
  </conditionalFormatting>
  <conditionalFormatting sqref="D17:D68">
    <cfRule type="expression" priority="3" aboveAverage="0" equalAverage="0" bottom="0" percent="0" rank="0" text="" dxfId="0">
      <formula>LEFT(D17,7)="RISK-ON"</formula>
    </cfRule>
    <cfRule type="expression" priority="4" aboveAverage="0" equalAverage="0" bottom="0" percent="0" rank="0" text="" dxfId="30">
      <formula>LEFT(D17,5)="MIXED"</formula>
    </cfRule>
    <cfRule type="expression" priority="5" aboveAverage="0" equalAverage="0" bottom="0" percent="0" rank="0" text="" dxfId="1">
      <formula>LEFT(D17,8)="RISK-OFF"</formula>
    </cfRule>
  </conditionalFormatting>
  <dataValidations count="2">
    <dataValidation allowBlank="false" errorStyle="stop" operator="between" showDropDown="false" showErrorMessage="false" showInputMessage="false" sqref="I5:I13" type="list">
      <formula1>"☐,✔"</formula1>
      <formula2>0</formula2>
    </dataValidation>
    <dataValidation allowBlank="true" errorStyle="stop" operator="between" showDropDown="false" showErrorMessage="false" showInputMessage="false" sqref="B17:C68" type="list">
      <formula1>Lists!$F$4:$F$30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6"/>
  </cols>
  <sheetData>
    <row r="1" customFormat="false" ht="51.75" hidden="false" customHeight="true" outlineLevel="0" collapsed="false">
      <c r="C1" s="2" t="s">
        <v>282</v>
      </c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283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284</v>
      </c>
      <c r="B4" s="4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5" t="s">
        <v>285</v>
      </c>
      <c r="B5" s="6" t="s">
        <v>286</v>
      </c>
      <c r="C5" s="6"/>
      <c r="D5" s="6"/>
      <c r="E5" s="6"/>
      <c r="F5" s="6"/>
      <c r="G5" s="6"/>
      <c r="H5" s="6"/>
    </row>
    <row r="6" customFormat="false" ht="30" hidden="false" customHeight="true" outlineLevel="0" collapsed="false">
      <c r="A6" s="5" t="s">
        <v>287</v>
      </c>
      <c r="B6" s="6" t="s">
        <v>288</v>
      </c>
      <c r="C6" s="6"/>
      <c r="D6" s="6"/>
      <c r="E6" s="6"/>
      <c r="F6" s="6"/>
      <c r="G6" s="6"/>
      <c r="H6" s="6"/>
    </row>
    <row r="7" customFormat="false" ht="30" hidden="false" customHeight="true" outlineLevel="0" collapsed="false">
      <c r="A7" s="5" t="s">
        <v>289</v>
      </c>
      <c r="B7" s="6" t="s">
        <v>290</v>
      </c>
      <c r="C7" s="6"/>
      <c r="D7" s="6"/>
      <c r="E7" s="6"/>
      <c r="F7" s="6"/>
      <c r="G7" s="6"/>
      <c r="H7" s="6"/>
    </row>
    <row r="8" customFormat="false" ht="30" hidden="false" customHeight="true" outlineLevel="0" collapsed="false">
      <c r="A8" s="5" t="s">
        <v>291</v>
      </c>
      <c r="B8" s="6" t="s">
        <v>292</v>
      </c>
      <c r="C8" s="6"/>
      <c r="D8" s="6"/>
      <c r="E8" s="6"/>
      <c r="F8" s="6"/>
      <c r="G8" s="6"/>
      <c r="H8" s="6"/>
    </row>
    <row r="9" customFormat="false" ht="30" hidden="false" customHeight="true" outlineLevel="0" collapsed="false">
      <c r="A9" s="5" t="s">
        <v>293</v>
      </c>
      <c r="B9" s="6" t="s">
        <v>294</v>
      </c>
      <c r="C9" s="6"/>
      <c r="D9" s="6"/>
      <c r="E9" s="6"/>
      <c r="F9" s="6"/>
      <c r="G9" s="6"/>
      <c r="H9" s="6"/>
    </row>
    <row r="10" customFormat="false" ht="30" hidden="false" customHeight="true" outlineLevel="0" collapsed="false">
      <c r="A10" s="5" t="s">
        <v>295</v>
      </c>
      <c r="B10" s="6" t="s">
        <v>296</v>
      </c>
      <c r="C10" s="6"/>
      <c r="D10" s="6"/>
      <c r="E10" s="6"/>
      <c r="F10" s="6"/>
      <c r="G10" s="6"/>
      <c r="H10" s="6"/>
    </row>
    <row r="11" customFormat="false" ht="30" hidden="false" customHeight="true" outlineLevel="0" collapsed="false">
      <c r="A11" s="5" t="s">
        <v>297</v>
      </c>
      <c r="B11" s="6" t="s">
        <v>298</v>
      </c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 t="s">
        <v>299</v>
      </c>
      <c r="B12" s="4"/>
      <c r="C12" s="4"/>
      <c r="D12" s="4"/>
      <c r="E12" s="4"/>
      <c r="F12" s="4"/>
      <c r="G12" s="4"/>
      <c r="H12" s="4"/>
    </row>
    <row r="13" customFormat="false" ht="15.75" hidden="false" customHeight="true" outlineLevel="0" collapsed="false">
      <c r="A13" s="5" t="s">
        <v>300</v>
      </c>
      <c r="B13" s="6" t="s">
        <v>301</v>
      </c>
      <c r="C13" s="6"/>
      <c r="D13" s="6"/>
      <c r="E13" s="6"/>
      <c r="F13" s="6"/>
      <c r="G13" s="6"/>
      <c r="H13" s="6"/>
    </row>
    <row r="14" customFormat="false" ht="15.75" hidden="false" customHeight="true" outlineLevel="0" collapsed="false">
      <c r="A14" s="5" t="s">
        <v>302</v>
      </c>
      <c r="B14" s="6" t="s">
        <v>303</v>
      </c>
      <c r="C14" s="6"/>
      <c r="D14" s="6"/>
      <c r="E14" s="6"/>
      <c r="F14" s="6"/>
      <c r="G14" s="6"/>
      <c r="H14" s="6"/>
    </row>
    <row r="15" customFormat="false" ht="15.75" hidden="false" customHeight="true" outlineLevel="0" collapsed="false">
      <c r="A15" s="5" t="s">
        <v>304</v>
      </c>
      <c r="B15" s="6" t="s">
        <v>305</v>
      </c>
      <c r="C15" s="6"/>
      <c r="D15" s="6"/>
      <c r="E15" s="6"/>
      <c r="F15" s="6"/>
      <c r="G15" s="6"/>
      <c r="H15" s="6"/>
    </row>
    <row r="16" customFormat="false" ht="15.75" hidden="false" customHeight="true" outlineLevel="0" collapsed="false">
      <c r="A16" s="5" t="s">
        <v>306</v>
      </c>
      <c r="B16" s="6" t="s">
        <v>307</v>
      </c>
      <c r="C16" s="6"/>
      <c r="D16" s="6"/>
      <c r="E16" s="6"/>
      <c r="F16" s="6"/>
      <c r="G16" s="6"/>
      <c r="H16" s="6"/>
    </row>
    <row r="17" customFormat="false" ht="15.75" hidden="false" customHeight="true" outlineLevel="0" collapsed="false">
      <c r="A17" s="5" t="s">
        <v>308</v>
      </c>
      <c r="B17" s="6" t="s">
        <v>309</v>
      </c>
      <c r="C17" s="6"/>
      <c r="D17" s="6"/>
      <c r="E17" s="6"/>
      <c r="F17" s="6"/>
      <c r="G17" s="6"/>
      <c r="H17" s="6"/>
    </row>
    <row r="18" customFormat="false" ht="15.75" hidden="false" customHeight="true" outlineLevel="0" collapsed="false">
      <c r="A18" s="5" t="s">
        <v>310</v>
      </c>
      <c r="B18" s="6" t="s">
        <v>311</v>
      </c>
      <c r="C18" s="6"/>
      <c r="D18" s="6"/>
      <c r="E18" s="6"/>
      <c r="F18" s="6"/>
      <c r="G18" s="6"/>
      <c r="H18" s="6"/>
    </row>
    <row r="19" customFormat="false" ht="15.75" hidden="false" customHeight="true" outlineLevel="0" collapsed="false">
      <c r="A19" s="5" t="s">
        <v>312</v>
      </c>
      <c r="B19" s="6" t="s">
        <v>313</v>
      </c>
      <c r="C19" s="6"/>
      <c r="D19" s="6"/>
      <c r="E19" s="6"/>
      <c r="F19" s="6"/>
      <c r="G19" s="6"/>
      <c r="H19" s="6"/>
    </row>
    <row r="20" customFormat="false" ht="15.75" hidden="false" customHeight="true" outlineLevel="0" collapsed="false">
      <c r="A20" s="5" t="s">
        <v>88</v>
      </c>
      <c r="B20" s="6" t="s">
        <v>314</v>
      </c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4" t="s">
        <v>315</v>
      </c>
      <c r="B21" s="4"/>
      <c r="C21" s="4"/>
      <c r="D21" s="4"/>
      <c r="E21" s="4"/>
      <c r="F21" s="4"/>
      <c r="G21" s="4"/>
      <c r="H21" s="4"/>
    </row>
    <row r="22" customFormat="false" ht="15.75" hidden="false" customHeight="true" outlineLevel="0" collapsed="false">
      <c r="A22" s="5" t="s">
        <v>316</v>
      </c>
      <c r="B22" s="6" t="s">
        <v>317</v>
      </c>
      <c r="C22" s="6"/>
      <c r="D22" s="6"/>
      <c r="E22" s="6"/>
      <c r="F22" s="6"/>
      <c r="G22" s="6"/>
      <c r="H22" s="6"/>
    </row>
    <row r="23" customFormat="false" ht="15.75" hidden="false" customHeight="true" outlineLevel="0" collapsed="false">
      <c r="A23" s="5" t="s">
        <v>318</v>
      </c>
      <c r="B23" s="6" t="s">
        <v>319</v>
      </c>
      <c r="C23" s="6"/>
      <c r="D23" s="6"/>
      <c r="E23" s="6"/>
      <c r="F23" s="6"/>
      <c r="G23" s="6"/>
      <c r="H23" s="6"/>
    </row>
    <row r="24" customFormat="false" ht="15.75" hidden="false" customHeight="true" outlineLevel="0" collapsed="false">
      <c r="A24" s="5" t="s">
        <v>320</v>
      </c>
      <c r="B24" s="6" t="s">
        <v>321</v>
      </c>
      <c r="C24" s="6"/>
      <c r="D24" s="6"/>
      <c r="E24" s="6"/>
      <c r="F24" s="6"/>
      <c r="G24" s="6"/>
      <c r="H24" s="6"/>
    </row>
  </sheetData>
  <mergeCells count="23">
    <mergeCell ref="C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A12:H12"/>
    <mergeCell ref="B13:H13"/>
    <mergeCell ref="B14:H14"/>
    <mergeCell ref="B15:H15"/>
    <mergeCell ref="B16:H16"/>
    <mergeCell ref="B17:H17"/>
    <mergeCell ref="B18:H18"/>
    <mergeCell ref="B19:H19"/>
    <mergeCell ref="B20:H20"/>
    <mergeCell ref="A21:H21"/>
    <mergeCell ref="B22:H22"/>
    <mergeCell ref="B23:H23"/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AP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false" outlineLevel="0" max="10" min="9" style="1" width="7"/>
    <col collapsed="false" customWidth="true" hidden="false" outlineLevel="0" max="20" min="11" style="1" width="8"/>
    <col collapsed="false" customWidth="true" hidden="false" outlineLevel="0" max="21" min="21" style="1" width="7"/>
    <col collapsed="false" customWidth="true" hidden="false" outlineLevel="0" max="23" min="22" style="1" width="9"/>
    <col collapsed="false" customWidth="true" hidden="false" outlineLevel="0" max="25" min="24" style="1" width="8"/>
    <col collapsed="false" customWidth="true" hidden="false" outlineLevel="0" max="27" min="26" style="1" width="9"/>
    <col collapsed="false" customWidth="true" hidden="false" outlineLevel="0" max="28" min="28" style="1" width="7"/>
    <col collapsed="false" customWidth="true" hidden="false" outlineLevel="0" max="30" min="29" style="1" width="9"/>
    <col collapsed="false" customWidth="true" hidden="false" outlineLevel="0" max="31" min="31" style="1" width="7"/>
    <col collapsed="false" customWidth="true" hidden="false" outlineLevel="0" max="32" min="32" style="1" width="8"/>
    <col collapsed="false" customWidth="true" hidden="false" outlineLevel="0" max="33" min="33" style="1" width="6"/>
    <col collapsed="false" customWidth="true" hidden="false" outlineLevel="0" max="34" min="34" style="1" width="26"/>
    <col collapsed="false" customWidth="true" hidden="false" outlineLevel="0" max="35" min="35" style="1" width="12"/>
    <col collapsed="false" customWidth="true" hidden="false" outlineLevel="0" max="36" min="36" style="1" width="34"/>
    <col collapsed="false" customWidth="true" hidden="false" outlineLevel="0" max="37" min="37" style="1" width="11"/>
    <col collapsed="false" customWidth="true" hidden="false" outlineLevel="0" max="39" min="38" style="1" width="10"/>
    <col collapsed="false" customWidth="true" hidden="false" outlineLevel="0" max="40" min="40" style="1" width="30"/>
    <col collapsed="false" customWidth="true" hidden="true" outlineLevel="0" max="42" min="42" style="1" width="13"/>
  </cols>
  <sheetData>
    <row r="1" customFormat="false" ht="51.75" hidden="false" customHeight="true" outlineLevel="0" collapsed="false">
      <c r="C1" s="2" t="s">
        <v>322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30" hidden="false" customHeight="true" outlineLevel="0" collapsed="false">
      <c r="A2" s="3" t="s">
        <v>323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4" customFormat="false" ht="15" hidden="false" customHeight="false" outlineLevel="0" collapsed="false">
      <c r="A4" s="7" t="s">
        <v>324</v>
      </c>
      <c r="B4" s="7"/>
      <c r="C4" s="19" t="n">
        <v>46296</v>
      </c>
      <c r="D4" s="20" t="s">
        <v>325</v>
      </c>
      <c r="E4" s="20"/>
      <c r="F4" s="20"/>
      <c r="G4" s="20"/>
      <c r="J4" s="22" t="s">
        <v>326</v>
      </c>
      <c r="K4" s="22"/>
      <c r="L4" s="23" t="n">
        <f aca="false">COUNTIFS($A$9:$A$158,$C$4,$C$9:$C$158,"?*")</f>
        <v>10</v>
      </c>
      <c r="M4" s="24" t="str">
        <f aca="false">IF(L4&gt;=$C$5,"✔ minimum met","⚠ need "&amp;($C$5-L4)&amp;" more")</f>
        <v>✔ minimum met</v>
      </c>
      <c r="N4" s="24"/>
      <c r="O4" s="24"/>
    </row>
    <row r="5" customFormat="false" ht="15" hidden="false" customHeight="false" outlineLevel="0" collapsed="false">
      <c r="A5" s="7" t="s">
        <v>327</v>
      </c>
      <c r="B5" s="7"/>
      <c r="C5" s="25" t="n">
        <v>5</v>
      </c>
      <c r="D5" s="20" t="s">
        <v>328</v>
      </c>
      <c r="E5" s="20"/>
      <c r="F5" s="20"/>
      <c r="G5" s="20"/>
      <c r="J5" s="22" t="s">
        <v>329</v>
      </c>
      <c r="K5" s="22"/>
      <c r="L5" s="24" t="str">
        <f aca="false">COUNTIFS($A$9:$A$158,$C$4,$B$9:$B$158,"US")&amp;" / "&amp;COUNTIFS($A$9:$A$158,$C$4,$B$9:$B$158,"JSE")</f>
        <v>10 / 0</v>
      </c>
    </row>
    <row r="7" customFormat="false" ht="15" hidden="false" customHeight="false" outlineLevel="0" collapsed="false">
      <c r="A7" s="27" t="s">
        <v>330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8" t="s">
        <v>331</v>
      </c>
      <c r="Y7" s="28"/>
      <c r="Z7" s="28"/>
      <c r="AA7" s="28"/>
      <c r="AB7" s="28"/>
      <c r="AC7" s="28"/>
      <c r="AD7" s="28"/>
      <c r="AE7" s="28"/>
      <c r="AF7" s="28"/>
      <c r="AG7" s="28"/>
      <c r="AH7" s="48" t="s">
        <v>332</v>
      </c>
      <c r="AI7" s="30" t="s">
        <v>333</v>
      </c>
      <c r="AJ7" s="30"/>
      <c r="AK7" s="30"/>
      <c r="AL7" s="30"/>
      <c r="AM7" s="30"/>
      <c r="AN7" s="30"/>
    </row>
    <row r="8" customFormat="false" ht="39.75" hidden="false" customHeight="true" outlineLevel="0" collapsed="false">
      <c r="A8" s="31" t="s">
        <v>34</v>
      </c>
      <c r="B8" s="31" t="s">
        <v>141</v>
      </c>
      <c r="C8" s="31" t="s">
        <v>48</v>
      </c>
      <c r="D8" s="31" t="s">
        <v>142</v>
      </c>
      <c r="E8" s="31" t="s">
        <v>143</v>
      </c>
      <c r="F8" s="31" t="s">
        <v>145</v>
      </c>
      <c r="G8" s="31" t="s">
        <v>146</v>
      </c>
      <c r="H8" s="31" t="s">
        <v>334</v>
      </c>
      <c r="I8" s="31" t="s">
        <v>335</v>
      </c>
      <c r="J8" s="31" t="s">
        <v>336</v>
      </c>
      <c r="K8" s="31" t="s">
        <v>337</v>
      </c>
      <c r="L8" s="31" t="s">
        <v>338</v>
      </c>
      <c r="M8" s="31" t="s">
        <v>339</v>
      </c>
      <c r="N8" s="31" t="s">
        <v>340</v>
      </c>
      <c r="O8" s="31" t="s">
        <v>341</v>
      </c>
      <c r="P8" s="31" t="s">
        <v>342</v>
      </c>
      <c r="Q8" s="31" t="s">
        <v>343</v>
      </c>
      <c r="R8" s="31" t="s">
        <v>344</v>
      </c>
      <c r="S8" s="31" t="s">
        <v>345</v>
      </c>
      <c r="T8" s="31" t="s">
        <v>346</v>
      </c>
      <c r="U8" s="31" t="s">
        <v>347</v>
      </c>
      <c r="V8" s="31" t="s">
        <v>348</v>
      </c>
      <c r="W8" s="31" t="s">
        <v>349</v>
      </c>
      <c r="X8" s="32" t="s">
        <v>300</v>
      </c>
      <c r="Y8" s="32" t="s">
        <v>302</v>
      </c>
      <c r="Z8" s="32" t="s">
        <v>304</v>
      </c>
      <c r="AA8" s="32" t="s">
        <v>306</v>
      </c>
      <c r="AB8" s="32" t="s">
        <v>308</v>
      </c>
      <c r="AC8" s="32" t="s">
        <v>310</v>
      </c>
      <c r="AD8" s="32" t="s">
        <v>350</v>
      </c>
      <c r="AE8" s="32" t="s">
        <v>351</v>
      </c>
      <c r="AF8" s="32" t="s">
        <v>352</v>
      </c>
      <c r="AG8" s="32" t="s">
        <v>51</v>
      </c>
      <c r="AH8" s="33" t="s">
        <v>52</v>
      </c>
      <c r="AI8" s="34" t="s">
        <v>172</v>
      </c>
      <c r="AJ8" s="34" t="s">
        <v>353</v>
      </c>
      <c r="AK8" s="34" t="s">
        <v>354</v>
      </c>
      <c r="AL8" s="34" t="s">
        <v>174</v>
      </c>
      <c r="AM8" s="34" t="s">
        <v>355</v>
      </c>
      <c r="AN8" s="34" t="s">
        <v>356</v>
      </c>
    </row>
    <row r="9" customFormat="false" ht="15" hidden="false" customHeight="false" outlineLevel="0" collapsed="false">
      <c r="A9" s="19" t="n">
        <v>46296</v>
      </c>
      <c r="B9" s="35" t="s">
        <v>179</v>
      </c>
      <c r="C9" s="35" t="s">
        <v>201</v>
      </c>
      <c r="D9" s="35" t="s">
        <v>202</v>
      </c>
      <c r="E9" s="35" t="s">
        <v>182</v>
      </c>
      <c r="F9" s="26" t="n">
        <v>301.45</v>
      </c>
      <c r="G9" s="26" t="n">
        <v>80.56</v>
      </c>
      <c r="H9" s="49" t="n">
        <v>12.59</v>
      </c>
      <c r="I9" s="38" t="n">
        <v>0.95</v>
      </c>
      <c r="J9" s="49" t="n">
        <v>9.3</v>
      </c>
      <c r="K9" s="21" t="n">
        <v>0.236</v>
      </c>
      <c r="L9" s="21" t="n">
        <v>0.2289</v>
      </c>
      <c r="M9" s="21" t="n">
        <v>0.8098</v>
      </c>
      <c r="N9" s="21" t="n">
        <v>0.288</v>
      </c>
      <c r="O9" s="38" t="n">
        <v>0.44</v>
      </c>
      <c r="P9" s="38" t="n">
        <v>1.51</v>
      </c>
      <c r="Q9" s="21" t="n">
        <v>0.2262</v>
      </c>
      <c r="R9" s="21" t="n">
        <v>0.1394</v>
      </c>
      <c r="S9" s="21" t="n">
        <v>0.0183</v>
      </c>
      <c r="T9" s="21" t="n">
        <v>0.0222</v>
      </c>
      <c r="U9" s="25" t="n">
        <v>2</v>
      </c>
      <c r="V9" s="25" t="n">
        <v>2</v>
      </c>
      <c r="W9" s="26" t="n">
        <v>426</v>
      </c>
      <c r="X9" s="16" t="n">
        <f aca="false">IF(C9="","",IF(K9="",0,IF(K9&gt;=0.15,2,IF(K9&gt;=0.1,1,0)))+IF(L9="",0,IF(L9&gt;=0.12,2,IF(L9&gt;=0.08,1,0)))+(AND(N9&lt;&gt;"",N(N9)&gt;=0.15))+(AND(M9&lt;&gt;"",N(M9)&gt;=0.4)))</f>
        <v>6</v>
      </c>
      <c r="Y9" s="16" t="n">
        <f aca="false">IF(C9="","",IF(Q9="",0,IF(Q9&gt;=0.1,2,IF(Q9&gt;=0.05,1,0)))+IF(R9="",0,IF(R9&gt;=0.08,2,IF(R9&gt;=0.04,1,0))))</f>
        <v>4</v>
      </c>
      <c r="Z9" s="16" t="n">
        <f aca="false">IF(C9="","",IF(O9="",0,IF(O9&lt;=0.5,2,IF(O9&lt;=1,1,0)))+(AND(P9&lt;&gt;"",N(P9)&gt;=1.2)))</f>
        <v>3</v>
      </c>
      <c r="AA9" s="16" t="n">
        <f aca="false">IF(C9="","",IF(H9="",0,IF(AND(H9&gt;0,H9&lt;=20),2,IF(AND(H9&gt;0,H9&lt;=30),1,0)))+IF(J9="",0,IF(AND(J9&gt;0,J9&lt;=20),2,IF(AND(J9&gt;0,J9&lt;=30),1,0))))</f>
        <v>4</v>
      </c>
      <c r="AB9" s="16" t="n">
        <f aca="false">IF(C9="","",IF(OR(N(T9)&gt;=0.01,N(S9)&gt;=0.02),1,0))</f>
        <v>1</v>
      </c>
      <c r="AC9" s="16" t="n">
        <f aca="false">IF(C9="","",MIN(2,N(U9))+MIN(2,N(V9)))</f>
        <v>4</v>
      </c>
      <c r="AD9" s="50" t="n">
        <f aca="false">IFERROR(IF(OR(W9="",F9="",N(F9)=0),"",W9/F9-1),"")</f>
        <v>0.413169679880577</v>
      </c>
      <c r="AE9" s="16" t="n">
        <f aca="false">IF(C9="","",IF(AD9="",0,IF(AD9&gt;=0.25,2,IF(AD9&gt;=0.1,1,0))))</f>
        <v>2</v>
      </c>
      <c r="AF9" s="23" t="n">
        <f aca="false">IF(C9="","",X9+Y9+Z9+AA9+AB9+AC9+AE9)</f>
        <v>24</v>
      </c>
      <c r="AG9" s="24" t="str">
        <f aca="false">IF(C9="","",IF(AF9&gt;=18,"A",IF(AF9&gt;=13,"B","C")))</f>
        <v>A</v>
      </c>
      <c r="AH9" s="14" t="str">
        <f aca="false">IF(C9="","",IF(OR(AI9="Sold",AI9="Rejected"),"Closed",IF(AI9="Owned",IF(AND(ISNUMBER(W9),ISNUMBER(AL9),AL9&gt;W9*1.2),"REVIEW — price 20%+ above fair value",IF(AF9&lt;13,"REVIEW — quality score fell below 13","HOLD — re-check thesis yearly")),IF(AG9="A","Full LRC Stock Analysis",IF(AG9="B","Watch — re-check next month","Reject")))))</f>
        <v>Full LRC Stock Analysis</v>
      </c>
      <c r="AI9" s="35" t="s">
        <v>357</v>
      </c>
      <c r="AJ9" s="35" t="s">
        <v>358</v>
      </c>
      <c r="AK9" s="19" t="n">
        <v>46309</v>
      </c>
      <c r="AL9" s="26" t="n">
        <v>301.45</v>
      </c>
      <c r="AM9" s="41" t="n">
        <f aca="false">IFERROR(IF(OR(AL9="",F9="",N(F9)=0),"",AL9/F9-1),"")</f>
        <v>0</v>
      </c>
      <c r="AN9" s="35" t="s">
        <v>359</v>
      </c>
      <c r="AP9" s="43" t="n">
        <f aca="false">IF(AND(C9&lt;&gt;"",A9=$C$4,ISNUMBER(AF9)),AF9+ROW()/100000,"")</f>
        <v>24.00009</v>
      </c>
    </row>
    <row r="10" customFormat="false" ht="15" hidden="false" customHeight="false" outlineLevel="0" collapsed="false">
      <c r="A10" s="19" t="n">
        <v>46296</v>
      </c>
      <c r="B10" s="35" t="s">
        <v>179</v>
      </c>
      <c r="C10" s="35" t="s">
        <v>197</v>
      </c>
      <c r="D10" s="35" t="s">
        <v>198</v>
      </c>
      <c r="E10" s="35" t="s">
        <v>182</v>
      </c>
      <c r="F10" s="26" t="n">
        <v>228.52</v>
      </c>
      <c r="G10" s="26" t="n">
        <v>5520</v>
      </c>
      <c r="H10" s="49" t="n">
        <v>18.89</v>
      </c>
      <c r="I10" s="38" t="n">
        <v>0.38</v>
      </c>
      <c r="J10" s="49" t="n">
        <v>43.45</v>
      </c>
      <c r="K10" s="21" t="n">
        <v>1.1721</v>
      </c>
      <c r="L10" s="21" t="n">
        <v>0.9203</v>
      </c>
      <c r="M10" s="21" t="n">
        <v>0.7467</v>
      </c>
      <c r="N10" s="21" t="n">
        <v>0.6521</v>
      </c>
      <c r="O10" s="38" t="n">
        <v>0.17</v>
      </c>
      <c r="P10" s="38" t="n">
        <v>4.59</v>
      </c>
      <c r="Q10" s="21" t="n">
        <v>0.8827</v>
      </c>
      <c r="R10" s="21" t="n">
        <v>0.683</v>
      </c>
      <c r="S10" s="21" t="n">
        <v>0.0044</v>
      </c>
      <c r="T10" s="21" t="n">
        <v>0.039</v>
      </c>
      <c r="U10" s="25" t="n">
        <v>2</v>
      </c>
      <c r="V10" s="25" t="n">
        <v>2</v>
      </c>
      <c r="W10" s="26" t="n">
        <v>262.56</v>
      </c>
      <c r="X10" s="16" t="n">
        <f aca="false">IF(C10="","",IF(K10="",0,IF(K10&gt;=0.15,2,IF(K10&gt;=0.1,1,0)))+IF(L10="",0,IF(L10&gt;=0.12,2,IF(L10&gt;=0.08,1,0)))+(AND(N10&lt;&gt;"",N(N10)&gt;=0.15))+(AND(M10&lt;&gt;"",N(M10)&gt;=0.4)))</f>
        <v>6</v>
      </c>
      <c r="Y10" s="16" t="n">
        <f aca="false">IF(C10="","",IF(Q10="",0,IF(Q10&gt;=0.1,2,IF(Q10&gt;=0.05,1,0)))+IF(R10="",0,IF(R10&gt;=0.08,2,IF(R10&gt;=0.04,1,0))))</f>
        <v>4</v>
      </c>
      <c r="Z10" s="16" t="n">
        <f aca="false">IF(C10="","",IF(O10="",0,IF(O10&lt;=0.5,2,IF(O10&lt;=1,1,0)))+(AND(P10&lt;&gt;"",N(P10)&gt;=1.2)))</f>
        <v>3</v>
      </c>
      <c r="AA10" s="16" t="n">
        <f aca="false">IF(C10="","",IF(H10="",0,IF(AND(H10&gt;0,H10&lt;=20),2,IF(AND(H10&gt;0,H10&lt;=30),1,0)))+IF(J10="",0,IF(AND(J10&gt;0,J10&lt;=20),2,IF(AND(J10&gt;0,J10&lt;=30),1,0))))</f>
        <v>2</v>
      </c>
      <c r="AB10" s="16" t="n">
        <f aca="false">IF(C10="","",IF(OR(N(T10)&gt;=0.01,N(S10)&gt;=0.02),1,0))</f>
        <v>1</v>
      </c>
      <c r="AC10" s="16" t="n">
        <f aca="false">IF(C10="","",MIN(2,N(U10))+MIN(2,N(V10)))</f>
        <v>4</v>
      </c>
      <c r="AD10" s="50" t="n">
        <f aca="false">IFERROR(IF(OR(W10="",F10="",N(F10)=0),"",W10/F10-1),"")</f>
        <v>0.148958515666025</v>
      </c>
      <c r="AE10" s="16" t="n">
        <f aca="false">IF(C10="","",IF(AD10="",0,IF(AD10&gt;=0.25,2,IF(AD10&gt;=0.1,1,0))))</f>
        <v>1</v>
      </c>
      <c r="AF10" s="23" t="n">
        <f aca="false">IF(C10="","",X10+Y10+Z10+AA10+AB10+AC10+AE10)</f>
        <v>21</v>
      </c>
      <c r="AG10" s="24" t="str">
        <f aca="false">IF(C10="","",IF(AF10&gt;=18,"A",IF(AF10&gt;=13,"B","C")))</f>
        <v>A</v>
      </c>
      <c r="AH10" s="14" t="str">
        <f aca="false">IF(C10="","",IF(OR(AI10="Sold",AI10="Rejected"),"Closed",IF(AI10="Owned",IF(AND(ISNUMBER(W10),ISNUMBER(AL10),AL10&gt;W10*1.2),"REVIEW — price 20%+ above fair value",IF(AF10&lt;13,"REVIEW — quality score fell below 13","HOLD — re-check thesis yearly")),IF(AG10="A","Full LRC Stock Analysis",IF(AG10="B","Watch — re-check next month","Reject")))))</f>
        <v>Full LRC Stock Analysis</v>
      </c>
      <c r="AI10" s="35" t="s">
        <v>357</v>
      </c>
      <c r="AJ10" s="35" t="s">
        <v>360</v>
      </c>
      <c r="AK10" s="19" t="n">
        <v>46309</v>
      </c>
      <c r="AL10" s="26" t="n">
        <v>228.52</v>
      </c>
      <c r="AM10" s="41" t="n">
        <f aca="false">IFERROR(IF(OR(AL10="",F10="",N(F10)=0),"",AL10/F10-1),"")</f>
        <v>0</v>
      </c>
      <c r="AN10" s="35" t="s">
        <v>361</v>
      </c>
      <c r="AP10" s="43" t="n">
        <f aca="false">IF(AND(C10&lt;&gt;"",A10=$C$4,ISNUMBER(AF10)),AF10+ROW()/100000,"")</f>
        <v>21.0001</v>
      </c>
    </row>
    <row r="11" customFormat="false" ht="15" hidden="false" customHeight="false" outlineLevel="0" collapsed="false">
      <c r="A11" s="19" t="n">
        <v>46296</v>
      </c>
      <c r="B11" s="35" t="s">
        <v>179</v>
      </c>
      <c r="C11" s="35" t="s">
        <v>205</v>
      </c>
      <c r="D11" s="35" t="s">
        <v>206</v>
      </c>
      <c r="E11" s="35" t="s">
        <v>207</v>
      </c>
      <c r="F11" s="26" t="n">
        <v>84.02</v>
      </c>
      <c r="G11" s="26" t="n">
        <v>11.44</v>
      </c>
      <c r="H11" s="49" t="n">
        <v>11</v>
      </c>
      <c r="I11" s="38" t="n">
        <v>1.54</v>
      </c>
      <c r="J11" s="49" t="n">
        <v>10.24</v>
      </c>
      <c r="K11" s="21" t="n">
        <v>0.4256</v>
      </c>
      <c r="L11" s="21" t="n">
        <v>0.9059</v>
      </c>
      <c r="M11" s="21" t="n">
        <v>0.578</v>
      </c>
      <c r="N11" s="21" t="n">
        <v>0.2267</v>
      </c>
      <c r="O11" s="38" t="n">
        <v>0.21</v>
      </c>
      <c r="P11" s="38" t="n">
        <v>2.75</v>
      </c>
      <c r="Q11" s="21" t="n">
        <v>0.2687</v>
      </c>
      <c r="R11" s="21" t="n">
        <v>0.148</v>
      </c>
      <c r="S11" s="21"/>
      <c r="T11" s="21" t="n">
        <v>0.0102</v>
      </c>
      <c r="U11" s="25" t="n">
        <v>1</v>
      </c>
      <c r="V11" s="25" t="n">
        <v>1</v>
      </c>
      <c r="W11" s="26" t="n">
        <v>103</v>
      </c>
      <c r="X11" s="16" t="n">
        <f aca="false">IF(C11="","",IF(K11="",0,IF(K11&gt;=0.15,2,IF(K11&gt;=0.1,1,0)))+IF(L11="",0,IF(L11&gt;=0.12,2,IF(L11&gt;=0.08,1,0)))+(AND(N11&lt;&gt;"",N(N11)&gt;=0.15))+(AND(M11&lt;&gt;"",N(M11)&gt;=0.4)))</f>
        <v>6</v>
      </c>
      <c r="Y11" s="16" t="n">
        <f aca="false">IF(C11="","",IF(Q11="",0,IF(Q11&gt;=0.1,2,IF(Q11&gt;=0.05,1,0)))+IF(R11="",0,IF(R11&gt;=0.08,2,IF(R11&gt;=0.04,1,0))))</f>
        <v>4</v>
      </c>
      <c r="Z11" s="16" t="n">
        <f aca="false">IF(C11="","",IF(O11="",0,IF(O11&lt;=0.5,2,IF(O11&lt;=1,1,0)))+(AND(P11&lt;&gt;"",N(P11)&gt;=1.2)))</f>
        <v>3</v>
      </c>
      <c r="AA11" s="16" t="n">
        <f aca="false">IF(C11="","",IF(H11="",0,IF(AND(H11&gt;0,H11&lt;=20),2,IF(AND(H11&gt;0,H11&lt;=30),1,0)))+IF(J11="",0,IF(AND(J11&gt;0,J11&lt;=20),2,IF(AND(J11&gt;0,J11&lt;=30),1,0))))</f>
        <v>4</v>
      </c>
      <c r="AB11" s="16" t="n">
        <f aca="false">IF(C11="","",IF(OR(N(T11)&gt;=0.01,N(S11)&gt;=0.02),1,0))</f>
        <v>1</v>
      </c>
      <c r="AC11" s="16" t="n">
        <f aca="false">IF(C11="","",MIN(2,N(U11))+MIN(2,N(V11)))</f>
        <v>2</v>
      </c>
      <c r="AD11" s="50" t="n">
        <f aca="false">IFERROR(IF(OR(W11="",F11="",N(F11)=0),"",W11/F11-1),"")</f>
        <v>0.225898595572483</v>
      </c>
      <c r="AE11" s="16" t="n">
        <f aca="false">IF(C11="","",IF(AD11="",0,IF(AD11&gt;=0.25,2,IF(AD11&gt;=0.1,1,0))))</f>
        <v>1</v>
      </c>
      <c r="AF11" s="23" t="n">
        <f aca="false">IF(C11="","",X11+Y11+Z11+AA11+AB11+AC11+AE11)</f>
        <v>21</v>
      </c>
      <c r="AG11" s="24" t="str">
        <f aca="false">IF(C11="","",IF(AF11&gt;=18,"A",IF(AF11&gt;=13,"B","C")))</f>
        <v>A</v>
      </c>
      <c r="AH11" s="14" t="str">
        <f aca="false">IF(C11="","",IF(OR(AI11="Sold",AI11="Rejected"),"Closed",IF(AI11="Owned",IF(AND(ISNUMBER(W11),ISNUMBER(AL11),AL11&gt;W11*1.2),"REVIEW — price 20%+ above fair value",IF(AF11&lt;13,"REVIEW — quality score fell below 13","HOLD — re-check thesis yearly")),IF(AG11="A","Full LRC Stock Analysis",IF(AG11="B","Watch — re-check next month","Reject")))))</f>
        <v>Full LRC Stock Analysis</v>
      </c>
      <c r="AI11" s="35" t="s">
        <v>357</v>
      </c>
      <c r="AJ11" s="35" t="s">
        <v>362</v>
      </c>
      <c r="AK11" s="19" t="n">
        <v>46309</v>
      </c>
      <c r="AL11" s="26" t="n">
        <v>84.02</v>
      </c>
      <c r="AM11" s="41" t="n">
        <f aca="false">IFERROR(IF(OR(AL11="",F11="",N(F11)=0),"",AL11/F11-1),"")</f>
        <v>0</v>
      </c>
      <c r="AN11" s="35" t="s">
        <v>363</v>
      </c>
      <c r="AP11" s="43" t="n">
        <f aca="false">IF(AND(C11&lt;&gt;"",A11=$C$4,ISNUMBER(AF11)),AF11+ROW()/100000,"")</f>
        <v>21.00011</v>
      </c>
    </row>
    <row r="12" customFormat="false" ht="15" hidden="false" customHeight="false" outlineLevel="0" collapsed="false">
      <c r="A12" s="19" t="n">
        <v>46296</v>
      </c>
      <c r="B12" s="35" t="s">
        <v>179</v>
      </c>
      <c r="C12" s="35" t="s">
        <v>180</v>
      </c>
      <c r="D12" s="35" t="s">
        <v>181</v>
      </c>
      <c r="E12" s="35" t="s">
        <v>182</v>
      </c>
      <c r="F12" s="26" t="n">
        <v>158.11</v>
      </c>
      <c r="G12" s="26" t="n">
        <v>8.39</v>
      </c>
      <c r="H12" s="49" t="n">
        <v>18.09</v>
      </c>
      <c r="I12" s="38" t="n">
        <v>1.46</v>
      </c>
      <c r="J12" s="49" t="n">
        <v>16.79</v>
      </c>
      <c r="K12" s="21" t="n">
        <v>0.2197</v>
      </c>
      <c r="L12" s="21" t="n">
        <v>0.2567</v>
      </c>
      <c r="M12" s="21" t="n">
        <v>0.6928</v>
      </c>
      <c r="N12" s="21" t="n">
        <v>0.2183</v>
      </c>
      <c r="O12" s="38" t="n">
        <v>0.11</v>
      </c>
      <c r="P12" s="38" t="n">
        <v>1.09</v>
      </c>
      <c r="Q12" s="21" t="n">
        <v>0.3222</v>
      </c>
      <c r="R12" s="21" t="n">
        <v>0.2005</v>
      </c>
      <c r="S12" s="21"/>
      <c r="T12" s="21" t="n">
        <v>0.1988</v>
      </c>
      <c r="U12" s="25" t="n">
        <v>1</v>
      </c>
      <c r="V12" s="25" t="n">
        <v>2</v>
      </c>
      <c r="W12" s="26" t="n">
        <v>157.05</v>
      </c>
      <c r="X12" s="16" t="n">
        <f aca="false">IF(C12="","",IF(K12="",0,IF(K12&gt;=0.15,2,IF(K12&gt;=0.1,1,0)))+IF(L12="",0,IF(L12&gt;=0.12,2,IF(L12&gt;=0.08,1,0)))+(AND(N12&lt;&gt;"",N(N12)&gt;=0.15))+(AND(M12&lt;&gt;"",N(M12)&gt;=0.4)))</f>
        <v>6</v>
      </c>
      <c r="Y12" s="16" t="n">
        <f aca="false">IF(C12="","",IF(Q12="",0,IF(Q12&gt;=0.1,2,IF(Q12&gt;=0.05,1,0)))+IF(R12="",0,IF(R12&gt;=0.08,2,IF(R12&gt;=0.04,1,0))))</f>
        <v>4</v>
      </c>
      <c r="Z12" s="16" t="n">
        <f aca="false">IF(C12="","",IF(O12="",0,IF(O12&lt;=0.5,2,IF(O12&lt;=1,1,0)))+(AND(P12&lt;&gt;"",N(P12)&gt;=1.2)))</f>
        <v>2</v>
      </c>
      <c r="AA12" s="16" t="n">
        <f aca="false">IF(C12="","",IF(H12="",0,IF(AND(H12&gt;0,H12&lt;=20),2,IF(AND(H12&gt;0,H12&lt;=30),1,0)))+IF(J12="",0,IF(AND(J12&gt;0,J12&lt;=20),2,IF(AND(J12&gt;0,J12&lt;=30),1,0))))</f>
        <v>4</v>
      </c>
      <c r="AB12" s="16" t="n">
        <f aca="false">IF(C12="","",IF(OR(N(T12)&gt;=0.01,N(S12)&gt;=0.02),1,0))</f>
        <v>1</v>
      </c>
      <c r="AC12" s="16" t="n">
        <f aca="false">IF(C12="","",MIN(2,N(U12))+MIN(2,N(V12)))</f>
        <v>3</v>
      </c>
      <c r="AD12" s="50" t="n">
        <f aca="false">IFERROR(IF(OR(W12="",F12="",N(F12)=0),"",W12/F12-1),"")</f>
        <v>-0.0067041932831573</v>
      </c>
      <c r="AE12" s="16" t="n">
        <f aca="false">IF(C12="","",IF(AD12="",0,IF(AD12&gt;=0.25,2,IF(AD12&gt;=0.1,1,0))))</f>
        <v>0</v>
      </c>
      <c r="AF12" s="23" t="n">
        <f aca="false">IF(C12="","",X12+Y12+Z12+AA12+AB12+AC12+AE12)</f>
        <v>20</v>
      </c>
      <c r="AG12" s="24" t="str">
        <f aca="false">IF(C12="","",IF(AF12&gt;=18,"A",IF(AF12&gt;=13,"B","C")))</f>
        <v>A</v>
      </c>
      <c r="AH12" s="14" t="str">
        <f aca="false">IF(C12="","",IF(OR(AI12="Sold",AI12="Rejected"),"Closed",IF(AI12="Owned",IF(AND(ISNUMBER(W12),ISNUMBER(AL12),AL12&gt;W12*1.2),"REVIEW — price 20%+ above fair value",IF(AF12&lt;13,"REVIEW — quality score fell below 13","HOLD — re-check thesis yearly")),IF(AG12="A","Full LRC Stock Analysis",IF(AG12="B","Watch — re-check next month","Reject")))))</f>
        <v>Full LRC Stock Analysis</v>
      </c>
      <c r="AI12" s="35" t="s">
        <v>192</v>
      </c>
      <c r="AJ12" s="35" t="s">
        <v>364</v>
      </c>
      <c r="AK12" s="19" t="n">
        <v>46309</v>
      </c>
      <c r="AL12" s="26" t="n">
        <v>158.11</v>
      </c>
      <c r="AM12" s="41" t="n">
        <f aca="false">IFERROR(IF(OR(AL12="",F12="",N(F12)=0),"",AL12/F12-1),"")</f>
        <v>0</v>
      </c>
      <c r="AN12" s="35" t="s">
        <v>365</v>
      </c>
      <c r="AP12" s="43" t="n">
        <f aca="false">IF(AND(C12&lt;&gt;"",A12=$C$4,ISNUMBER(AF12)),AF12+ROW()/100000,"")</f>
        <v>20.00012</v>
      </c>
    </row>
    <row r="13" customFormat="false" ht="15" hidden="false" customHeight="false" outlineLevel="0" collapsed="false">
      <c r="A13" s="19" t="n">
        <v>46296</v>
      </c>
      <c r="B13" s="35" t="s">
        <v>179</v>
      </c>
      <c r="C13" s="35" t="s">
        <v>243</v>
      </c>
      <c r="D13" s="35" t="s">
        <v>366</v>
      </c>
      <c r="E13" s="35" t="s">
        <v>367</v>
      </c>
      <c r="F13" s="26" t="n">
        <v>762.5</v>
      </c>
      <c r="G13" s="26" t="n">
        <v>1940</v>
      </c>
      <c r="H13" s="49" t="n">
        <v>23.71</v>
      </c>
      <c r="I13" s="38" t="n">
        <v>1.19</v>
      </c>
      <c r="J13" s="49" t="n">
        <v>47.41</v>
      </c>
      <c r="K13" s="21" t="n">
        <v>0.2985</v>
      </c>
      <c r="L13" s="21" t="n">
        <v>0.254</v>
      </c>
      <c r="M13" s="21" t="n">
        <v>0.8175</v>
      </c>
      <c r="N13" s="21" t="n">
        <v>0.3808</v>
      </c>
      <c r="O13" s="38" t="n">
        <v>0.43</v>
      </c>
      <c r="P13" s="38" t="n">
        <v>2.23</v>
      </c>
      <c r="Q13" s="21" t="n">
        <v>0.1428</v>
      </c>
      <c r="R13" s="21" t="n">
        <v>0.1426</v>
      </c>
      <c r="S13" s="21" t="n">
        <v>0.0028</v>
      </c>
      <c r="T13" s="21" t="n">
        <v>0.1342</v>
      </c>
      <c r="U13" s="25" t="n">
        <v>2</v>
      </c>
      <c r="V13" s="25" t="n">
        <v>1</v>
      </c>
      <c r="W13" s="26" t="n">
        <v>677.14</v>
      </c>
      <c r="X13" s="16" t="n">
        <f aca="false">IF(C13="","",IF(K13="",0,IF(K13&gt;=0.15,2,IF(K13&gt;=0.1,1,0)))+IF(L13="",0,IF(L13&gt;=0.12,2,IF(L13&gt;=0.08,1,0)))+(AND(N13&lt;&gt;"",N(N13)&gt;=0.15))+(AND(M13&lt;&gt;"",N(M13)&gt;=0.4)))</f>
        <v>6</v>
      </c>
      <c r="Y13" s="16" t="n">
        <f aca="false">IF(C13="","",IF(Q13="",0,IF(Q13&gt;=0.1,2,IF(Q13&gt;=0.05,1,0)))+IF(R13="",0,IF(R13&gt;=0.08,2,IF(R13&gt;=0.04,1,0))))</f>
        <v>4</v>
      </c>
      <c r="Z13" s="16" t="n">
        <f aca="false">IF(C13="","",IF(O13="",0,IF(O13&lt;=0.5,2,IF(O13&lt;=1,1,0)))+(AND(P13&lt;&gt;"",N(P13)&gt;=1.2)))</f>
        <v>3</v>
      </c>
      <c r="AA13" s="16" t="n">
        <f aca="false">IF(C13="","",IF(H13="",0,IF(AND(H13&gt;0,H13&lt;=20),2,IF(AND(H13&gt;0,H13&lt;=30),1,0)))+IF(J13="",0,IF(AND(J13&gt;0,J13&lt;=20),2,IF(AND(J13&gt;0,J13&lt;=30),1,0))))</f>
        <v>1</v>
      </c>
      <c r="AB13" s="16" t="n">
        <f aca="false">IF(C13="","",IF(OR(N(T13)&gt;=0.01,N(S13)&gt;=0.02),1,0))</f>
        <v>1</v>
      </c>
      <c r="AC13" s="16" t="n">
        <f aca="false">IF(C13="","",MIN(2,N(U13))+MIN(2,N(V13)))</f>
        <v>3</v>
      </c>
      <c r="AD13" s="50" t="n">
        <f aca="false">IFERROR(IF(OR(W13="",F13="",N(F13)=0),"",W13/F13-1),"")</f>
        <v>-0.111947540983607</v>
      </c>
      <c r="AE13" s="16" t="n">
        <f aca="false">IF(C13="","",IF(AD13="",0,IF(AD13&gt;=0.25,2,IF(AD13&gt;=0.1,1,0))))</f>
        <v>0</v>
      </c>
      <c r="AF13" s="23" t="n">
        <f aca="false">IF(C13="","",X13+Y13+Z13+AA13+AB13+AC13+AE13)</f>
        <v>18</v>
      </c>
      <c r="AG13" s="24" t="str">
        <f aca="false">IF(C13="","",IF(AF13&gt;=18,"A",IF(AF13&gt;=13,"B","C")))</f>
        <v>A</v>
      </c>
      <c r="AH13" s="14" t="str">
        <f aca="false">IF(C13="","",IF(OR(AI13="Sold",AI13="Rejected"),"Closed",IF(AI13="Owned",IF(AND(ISNUMBER(W13),ISNUMBER(AL13),AL13&gt;W13*1.2),"REVIEW — price 20%+ above fair value",IF(AF13&lt;13,"REVIEW — quality score fell below 13","HOLD — re-check thesis yearly")),IF(AG13="A","Full LRC Stock Analysis",IF(AG13="B","Watch — re-check next month","Reject")))))</f>
        <v>Full LRC Stock Analysis</v>
      </c>
      <c r="AI13" s="35" t="s">
        <v>192</v>
      </c>
      <c r="AJ13" s="35" t="s">
        <v>368</v>
      </c>
      <c r="AK13" s="19" t="n">
        <v>46309</v>
      </c>
      <c r="AL13" s="26" t="n">
        <v>762.5</v>
      </c>
      <c r="AM13" s="41" t="n">
        <f aca="false">IFERROR(IF(OR(AL13="",F13="",N(F13)=0),"",AL13/F13-1),"")</f>
        <v>0</v>
      </c>
      <c r="AN13" s="35" t="s">
        <v>369</v>
      </c>
      <c r="AP13" s="43" t="n">
        <f aca="false">IF(AND(C13&lt;&gt;"",A13=$C$4,ISNUMBER(AF13)),AF13+ROW()/100000,"")</f>
        <v>18.00013</v>
      </c>
    </row>
    <row r="14" customFormat="false" ht="15" hidden="false" customHeight="false" outlineLevel="0" collapsed="false">
      <c r="A14" s="19" t="n">
        <v>46296</v>
      </c>
      <c r="B14" s="35" t="s">
        <v>179</v>
      </c>
      <c r="C14" s="35" t="s">
        <v>215</v>
      </c>
      <c r="D14" s="35" t="s">
        <v>216</v>
      </c>
      <c r="E14" s="35" t="s">
        <v>182</v>
      </c>
      <c r="F14" s="26" t="n">
        <v>605.53</v>
      </c>
      <c r="G14" s="26" t="n">
        <v>988.51</v>
      </c>
      <c r="H14" s="49" t="n">
        <v>54.53</v>
      </c>
      <c r="I14" s="38"/>
      <c r="J14" s="49" t="n">
        <v>146.77</v>
      </c>
      <c r="K14" s="21" t="n">
        <v>0.102</v>
      </c>
      <c r="L14" s="21" t="n">
        <v>0.0977</v>
      </c>
      <c r="M14" s="21" t="n">
        <v>0.5572</v>
      </c>
      <c r="N14" s="21" t="n">
        <v>0.1582</v>
      </c>
      <c r="O14" s="38" t="n">
        <v>0.06</v>
      </c>
      <c r="P14" s="38" t="n">
        <v>2.85</v>
      </c>
      <c r="Q14" s="21" t="n">
        <v>0.4666</v>
      </c>
      <c r="R14" s="21" t="n">
        <v>0.1364</v>
      </c>
      <c r="S14" s="21"/>
      <c r="T14" s="21" t="n">
        <v>0.0044</v>
      </c>
      <c r="U14" s="25" t="n">
        <v>1</v>
      </c>
      <c r="V14" s="25" t="n">
        <v>2</v>
      </c>
      <c r="W14" s="26" t="n">
        <v>402.73</v>
      </c>
      <c r="X14" s="16" t="n">
        <f aca="false">IF(C14="","",IF(K14="",0,IF(K14&gt;=0.15,2,IF(K14&gt;=0.1,1,0)))+IF(L14="",0,IF(L14&gt;=0.12,2,IF(L14&gt;=0.08,1,0)))+(AND(N14&lt;&gt;"",N(N14)&gt;=0.15))+(AND(M14&lt;&gt;"",N(M14)&gt;=0.4)))</f>
        <v>4</v>
      </c>
      <c r="Y14" s="16" t="n">
        <f aca="false">IF(C14="","",IF(Q14="",0,IF(Q14&gt;=0.1,2,IF(Q14&gt;=0.05,1,0)))+IF(R14="",0,IF(R14&gt;=0.08,2,IF(R14&gt;=0.04,1,0))))</f>
        <v>4</v>
      </c>
      <c r="Z14" s="16" t="n">
        <f aca="false">IF(C14="","",IF(O14="",0,IF(O14&lt;=0.5,2,IF(O14&lt;=1,1,0)))+(AND(P14&lt;&gt;"",N(P14)&gt;=1.2)))</f>
        <v>3</v>
      </c>
      <c r="AA14" s="16" t="n">
        <f aca="false">IF(C14="","",IF(H14="",0,IF(AND(H14&gt;0,H14&lt;=20),2,IF(AND(H14&gt;0,H14&lt;=30),1,0)))+IF(J14="",0,IF(AND(J14&gt;0,J14&lt;=20),2,IF(AND(J14&gt;0,J14&lt;=30),1,0))))</f>
        <v>0</v>
      </c>
      <c r="AB14" s="16" t="n">
        <f aca="false">IF(C14="","",IF(OR(N(T14)&gt;=0.01,N(S14)&gt;=0.02),1,0))</f>
        <v>0</v>
      </c>
      <c r="AC14" s="16" t="n">
        <f aca="false">IF(C14="","",MIN(2,N(U14))+MIN(2,N(V14)))</f>
        <v>3</v>
      </c>
      <c r="AD14" s="50" t="n">
        <f aca="false">IFERROR(IF(OR(W14="",F14="",N(F14)=0),"",W14/F14-1),"")</f>
        <v>-0.334913216521064</v>
      </c>
      <c r="AE14" s="16" t="n">
        <f aca="false">IF(C14="","",IF(AD14="",0,IF(AD14&gt;=0.25,2,IF(AD14&gt;=0.1,1,0))))</f>
        <v>0</v>
      </c>
      <c r="AF14" s="23" t="n">
        <f aca="false">IF(C14="","",X14+Y14+Z14+AA14+AB14+AC14+AE14)</f>
        <v>14</v>
      </c>
      <c r="AG14" s="24" t="str">
        <f aca="false">IF(C14="","",IF(AF14&gt;=18,"A",IF(AF14&gt;=13,"B","C")))</f>
        <v>B</v>
      </c>
      <c r="AH14" s="14" t="str">
        <f aca="false">IF(C14="","",IF(OR(AI14="Sold",AI14="Rejected"),"Closed",IF(AI14="Owned",IF(AND(ISNUMBER(W14),ISNUMBER(AL14),AL14&gt;W14*1.2),"REVIEW — price 20%+ above fair value",IF(AF14&lt;13,"REVIEW — quality score fell below 13","HOLD — re-check thesis yearly")),IF(AG14="A","Full LRC Stock Analysis",IF(AG14="B","Watch — re-check next month","Reject")))))</f>
        <v>Closed</v>
      </c>
      <c r="AI14" s="35" t="s">
        <v>370</v>
      </c>
      <c r="AJ14" s="35" t="s">
        <v>371</v>
      </c>
      <c r="AK14" s="19" t="n">
        <v>46309</v>
      </c>
      <c r="AL14" s="26" t="n">
        <v>605.53</v>
      </c>
      <c r="AM14" s="41" t="n">
        <f aca="false">IFERROR(IF(OR(AL14="",F14="",N(F14)=0),"",AL14/F14-1),"")</f>
        <v>0</v>
      </c>
      <c r="AN14" s="35" t="s">
        <v>372</v>
      </c>
      <c r="AP14" s="43" t="n">
        <f aca="false">IF(AND(C14&lt;&gt;"",A14=$C$4,ISNUMBER(AF14)),AF14+ROW()/100000,"")</f>
        <v>14.00014</v>
      </c>
    </row>
    <row r="15" customFormat="false" ht="15" hidden="false" customHeight="false" outlineLevel="0" collapsed="false">
      <c r="A15" s="19" t="n">
        <v>46296</v>
      </c>
      <c r="B15" s="35" t="s">
        <v>179</v>
      </c>
      <c r="C15" s="35" t="s">
        <v>218</v>
      </c>
      <c r="D15" s="35" t="s">
        <v>219</v>
      </c>
      <c r="E15" s="35" t="s">
        <v>182</v>
      </c>
      <c r="F15" s="26" t="n">
        <v>572.47</v>
      </c>
      <c r="G15" s="26" t="n">
        <v>363.98</v>
      </c>
      <c r="H15" s="49" t="n">
        <v>20.34</v>
      </c>
      <c r="I15" s="38"/>
      <c r="J15" s="49" t="n">
        <v>42.56</v>
      </c>
      <c r="K15" s="21"/>
      <c r="L15" s="21" t="n">
        <v>0.2936</v>
      </c>
      <c r="M15" s="21" t="n">
        <v>0.1991</v>
      </c>
      <c r="N15" s="21" t="n">
        <v>0.099</v>
      </c>
      <c r="O15" s="38"/>
      <c r="P15" s="38" t="n">
        <v>0.91</v>
      </c>
      <c r="Q15" s="21" t="n">
        <v>0.3889</v>
      </c>
      <c r="R15" s="21" t="n">
        <v>0.0353</v>
      </c>
      <c r="S15" s="21" t="n">
        <v>0.0044</v>
      </c>
      <c r="T15" s="21" t="n">
        <v>0.4708</v>
      </c>
      <c r="U15" s="25" t="n">
        <v>1</v>
      </c>
      <c r="V15" s="25" t="n">
        <v>2</v>
      </c>
      <c r="W15" s="26" t="n">
        <v>404.7</v>
      </c>
      <c r="X15" s="16" t="n">
        <f aca="false">IF(C15="","",IF(K15="",0,IF(K15&gt;=0.15,2,IF(K15&gt;=0.1,1,0)))+IF(L15="",0,IF(L15&gt;=0.12,2,IF(L15&gt;=0.08,1,0)))+(AND(N15&lt;&gt;"",N(N15)&gt;=0.15))+(AND(M15&lt;&gt;"",N(M15)&gt;=0.4)))</f>
        <v>2</v>
      </c>
      <c r="Y15" s="16" t="n">
        <f aca="false">IF(C15="","",IF(Q15="",0,IF(Q15&gt;=0.1,2,IF(Q15&gt;=0.05,1,0)))+IF(R15="",0,IF(R15&gt;=0.08,2,IF(R15&gt;=0.04,1,0))))</f>
        <v>2</v>
      </c>
      <c r="Z15" s="16" t="n">
        <f aca="false">IF(C15="","",IF(O15="",0,IF(O15&lt;=0.5,2,IF(O15&lt;=1,1,0)))+(AND(P15&lt;&gt;"",N(P15)&gt;=1.2)))</f>
        <v>0</v>
      </c>
      <c r="AA15" s="16" t="n">
        <f aca="false">IF(C15="","",IF(H15="",0,IF(AND(H15&gt;0,H15&lt;=20),2,IF(AND(H15&gt;0,H15&lt;=30),1,0)))+IF(J15="",0,IF(AND(J15&gt;0,J15&lt;=20),2,IF(AND(J15&gt;0,J15&lt;=30),1,0))))</f>
        <v>1</v>
      </c>
      <c r="AB15" s="16" t="n">
        <f aca="false">IF(C15="","",IF(OR(N(T15)&gt;=0.01,N(S15)&gt;=0.02),1,0))</f>
        <v>1</v>
      </c>
      <c r="AC15" s="16" t="n">
        <f aca="false">IF(C15="","",MIN(2,N(U15))+MIN(2,N(V15)))</f>
        <v>3</v>
      </c>
      <c r="AD15" s="50" t="n">
        <f aca="false">IFERROR(IF(OR(W15="",F15="",N(F15)=0),"",W15/F15-1),"")</f>
        <v>-0.293063391968138</v>
      </c>
      <c r="AE15" s="16" t="n">
        <f aca="false">IF(C15="","",IF(AD15="",0,IF(AD15&gt;=0.25,2,IF(AD15&gt;=0.1,1,0))))</f>
        <v>0</v>
      </c>
      <c r="AF15" s="23" t="n">
        <f aca="false">IF(C15="","",X15+Y15+Z15+AA15+AB15+AC15+AE15)</f>
        <v>9</v>
      </c>
      <c r="AG15" s="24" t="str">
        <f aca="false">IF(C15="","",IF(AF15&gt;=18,"A",IF(AF15&gt;=13,"B","C")))</f>
        <v>C</v>
      </c>
      <c r="AH15" s="14" t="str">
        <f aca="false">IF(C15="","",IF(OR(AI15="Sold",AI15="Rejected"),"Closed",IF(AI15="Owned",IF(AND(ISNUMBER(W15),ISNUMBER(AL15),AL15&gt;W15*1.2),"REVIEW — price 20%+ above fair value",IF(AF15&lt;13,"REVIEW — quality score fell below 13","HOLD — re-check thesis yearly")),IF(AG15="A","Full LRC Stock Analysis",IF(AG15="B","Watch — re-check next month","Reject")))))</f>
        <v>Closed</v>
      </c>
      <c r="AI15" s="35" t="s">
        <v>370</v>
      </c>
      <c r="AJ15" s="35" t="s">
        <v>373</v>
      </c>
      <c r="AK15" s="19" t="n">
        <v>46309</v>
      </c>
      <c r="AL15" s="26" t="n">
        <v>572.47</v>
      </c>
      <c r="AM15" s="41" t="n">
        <f aca="false">IFERROR(IF(OR(AL15="",F15="",N(F15)=0),"",AL15/F15-1),"")</f>
        <v>0</v>
      </c>
      <c r="AN15" s="35" t="s">
        <v>374</v>
      </c>
      <c r="AP15" s="43" t="n">
        <f aca="false">IF(AND(C15&lt;&gt;"",A15=$C$4,ISNUMBER(AF15)),AF15+ROW()/100000,"")</f>
        <v>9.00015</v>
      </c>
    </row>
    <row r="16" customFormat="false" ht="15" hidden="false" customHeight="false" outlineLevel="0" collapsed="false">
      <c r="A16" s="19" t="n">
        <v>46296</v>
      </c>
      <c r="B16" s="35" t="s">
        <v>179</v>
      </c>
      <c r="C16" s="35" t="s">
        <v>194</v>
      </c>
      <c r="D16" s="35" t="s">
        <v>195</v>
      </c>
      <c r="E16" s="35" t="s">
        <v>182</v>
      </c>
      <c r="F16" s="26" t="n">
        <v>204.52</v>
      </c>
      <c r="G16" s="26" t="n">
        <v>257.95</v>
      </c>
      <c r="H16" s="49" t="n">
        <v>43.99</v>
      </c>
      <c r="I16" s="38"/>
      <c r="J16" s="49" t="n">
        <v>60.66</v>
      </c>
      <c r="K16" s="21" t="n">
        <v>0.3148</v>
      </c>
      <c r="L16" s="21"/>
      <c r="M16" s="21" t="n">
        <v>0.63</v>
      </c>
      <c r="N16" s="21" t="n">
        <v>0.4314</v>
      </c>
      <c r="O16" s="38" t="n">
        <v>0.01</v>
      </c>
      <c r="P16" s="38" t="n">
        <v>3.05</v>
      </c>
      <c r="Q16" s="21" t="n">
        <v>0.3698</v>
      </c>
      <c r="R16" s="21" t="n">
        <v>0.2715</v>
      </c>
      <c r="S16" s="21"/>
      <c r="T16" s="21" t="n">
        <v>0.1666</v>
      </c>
      <c r="U16" s="25" t="n">
        <v>2</v>
      </c>
      <c r="V16" s="25" t="n">
        <v>2</v>
      </c>
      <c r="W16" s="26" t="n">
        <v>144.61</v>
      </c>
      <c r="X16" s="16" t="n">
        <f aca="false">IF(C16="","",IF(K16="",0,IF(K16&gt;=0.15,2,IF(K16&gt;=0.1,1,0)))+IF(L16="",0,IF(L16&gt;=0.12,2,IF(L16&gt;=0.08,1,0)))+(AND(N16&lt;&gt;"",N(N16)&gt;=0.15))+(AND(M16&lt;&gt;"",N(M16)&gt;=0.4)))</f>
        <v>4</v>
      </c>
      <c r="Y16" s="16" t="n">
        <f aca="false">IF(C16="","",IF(Q16="",0,IF(Q16&gt;=0.1,2,IF(Q16&gt;=0.05,1,0)))+IF(R16="",0,IF(R16&gt;=0.08,2,IF(R16&gt;=0.04,1,0))))</f>
        <v>4</v>
      </c>
      <c r="Z16" s="16" t="n">
        <f aca="false">IF(C16="","",IF(O16="",0,IF(O16&lt;=0.5,2,IF(O16&lt;=1,1,0)))+(AND(P16&lt;&gt;"",N(P16)&gt;=1.2)))</f>
        <v>3</v>
      </c>
      <c r="AA16" s="16" t="n">
        <f aca="false">IF(C16="","",IF(H16="",0,IF(AND(H16&gt;0,H16&lt;=20),2,IF(AND(H16&gt;0,H16&lt;=30),1,0)))+IF(J16="",0,IF(AND(J16&gt;0,J16&lt;=20),2,IF(AND(J16&gt;0,J16&lt;=30),1,0))))</f>
        <v>0</v>
      </c>
      <c r="AB16" s="16" t="n">
        <f aca="false">IF(C16="","",IF(OR(N(T16)&gt;=0.01,N(S16)&gt;=0.02),1,0))</f>
        <v>1</v>
      </c>
      <c r="AC16" s="16" t="n">
        <f aca="false">IF(C16="","",MIN(2,N(U16))+MIN(2,N(V16)))</f>
        <v>4</v>
      </c>
      <c r="AD16" s="50" t="n">
        <f aca="false">IFERROR(IF(OR(W16="",F16="",N(F16)=0),"",W16/F16-1),"")</f>
        <v>-0.292929786817915</v>
      </c>
      <c r="AE16" s="16" t="n">
        <f aca="false">IF(C16="","",IF(AD16="",0,IF(AD16&gt;=0.25,2,IF(AD16&gt;=0.1,1,0))))</f>
        <v>0</v>
      </c>
      <c r="AF16" s="23" t="n">
        <f aca="false">IF(C16="","",X16+Y16+Z16+AA16+AB16+AC16+AE16)</f>
        <v>16</v>
      </c>
      <c r="AG16" s="24" t="str">
        <f aca="false">IF(C16="","",IF(AF16&gt;=18,"A",IF(AF16&gt;=13,"B","C")))</f>
        <v>B</v>
      </c>
      <c r="AH16" s="14" t="str">
        <f aca="false">IF(C16="","",IF(OR(AI16="Sold",AI16="Rejected"),"Closed",IF(AI16="Owned",IF(AND(ISNUMBER(W16),ISNUMBER(AL16),AL16&gt;W16*1.2),"REVIEW — price 20%+ above fair value",IF(AF16&lt;13,"REVIEW — quality score fell below 13","HOLD — re-check thesis yearly")),IF(AG16="A","Full LRC Stock Analysis",IF(AG16="B","Watch — re-check next month","Reject")))))</f>
        <v>Closed</v>
      </c>
      <c r="AI16" s="35" t="s">
        <v>370</v>
      </c>
      <c r="AJ16" s="35" t="s">
        <v>375</v>
      </c>
      <c r="AK16" s="19" t="n">
        <v>46309</v>
      </c>
      <c r="AL16" s="26" t="n">
        <v>204.52</v>
      </c>
      <c r="AM16" s="41" t="n">
        <f aca="false">IFERROR(IF(OR(AL16="",F16="",N(F16)=0),"",AL16/F16-1),"")</f>
        <v>0</v>
      </c>
      <c r="AN16" s="35" t="s">
        <v>376</v>
      </c>
      <c r="AP16" s="43" t="n">
        <f aca="false">IF(AND(C16&lt;&gt;"",A16=$C$4,ISNUMBER(AF16)),AF16+ROW()/100000,"")</f>
        <v>16.00016</v>
      </c>
    </row>
    <row r="17" customFormat="false" ht="15" hidden="false" customHeight="false" outlineLevel="0" collapsed="false">
      <c r="A17" s="19" t="n">
        <v>46296</v>
      </c>
      <c r="B17" s="35" t="s">
        <v>179</v>
      </c>
      <c r="C17" s="35" t="s">
        <v>221</v>
      </c>
      <c r="D17" s="35" t="s">
        <v>222</v>
      </c>
      <c r="E17" s="35" t="s">
        <v>189</v>
      </c>
      <c r="F17" s="26" t="n">
        <v>51.43</v>
      </c>
      <c r="G17" s="26" t="n">
        <v>59.02</v>
      </c>
      <c r="H17" s="49" t="n">
        <v>38.23</v>
      </c>
      <c r="I17" s="38"/>
      <c r="J17" s="49" t="n">
        <v>56.17</v>
      </c>
      <c r="K17" s="21" t="n">
        <v>0.3433</v>
      </c>
      <c r="L17" s="21" t="n">
        <v>0.3206</v>
      </c>
      <c r="M17" s="21" t="n">
        <v>0.447</v>
      </c>
      <c r="N17" s="21" t="n">
        <v>0.2029</v>
      </c>
      <c r="O17" s="38" t="n">
        <v>0.11</v>
      </c>
      <c r="P17" s="38" t="n">
        <v>4.85</v>
      </c>
      <c r="Q17" s="21" t="n">
        <v>0.0506</v>
      </c>
      <c r="R17" s="21" t="n">
        <v>0.0552</v>
      </c>
      <c r="S17" s="21" t="n">
        <v>0.0189</v>
      </c>
      <c r="T17" s="21" t="n">
        <v>0.0009</v>
      </c>
      <c r="U17" s="25" t="n">
        <v>2</v>
      </c>
      <c r="V17" s="25" t="n">
        <v>2</v>
      </c>
      <c r="W17" s="26" t="n">
        <v>38.37</v>
      </c>
      <c r="X17" s="16" t="n">
        <f aca="false">IF(C17="","",IF(K17="",0,IF(K17&gt;=0.15,2,IF(K17&gt;=0.1,1,0)))+IF(L17="",0,IF(L17&gt;=0.12,2,IF(L17&gt;=0.08,1,0)))+(AND(N17&lt;&gt;"",N(N17)&gt;=0.15))+(AND(M17&lt;&gt;"",N(M17)&gt;=0.4)))</f>
        <v>6</v>
      </c>
      <c r="Y17" s="16" t="n">
        <f aca="false">IF(C17="","",IF(Q17="",0,IF(Q17&gt;=0.1,2,IF(Q17&gt;=0.05,1,0)))+IF(R17="",0,IF(R17&gt;=0.08,2,IF(R17&gt;=0.04,1,0))))</f>
        <v>2</v>
      </c>
      <c r="Z17" s="16" t="n">
        <f aca="false">IF(C17="","",IF(O17="",0,IF(O17&lt;=0.5,2,IF(O17&lt;=1,1,0)))+(AND(P17&lt;&gt;"",N(P17)&gt;=1.2)))</f>
        <v>3</v>
      </c>
      <c r="AA17" s="16" t="n">
        <f aca="false">IF(C17="","",IF(H17="",0,IF(AND(H17&gt;0,H17&lt;=20),2,IF(AND(H17&gt;0,H17&lt;=30),1,0)))+IF(J17="",0,IF(AND(J17&gt;0,J17&lt;=20),2,IF(AND(J17&gt;0,J17&lt;=30),1,0))))</f>
        <v>0</v>
      </c>
      <c r="AB17" s="16" t="n">
        <f aca="false">IF(C17="","",IF(OR(N(T17)&gt;=0.01,N(S17)&gt;=0.02),1,0))</f>
        <v>0</v>
      </c>
      <c r="AC17" s="16" t="n">
        <f aca="false">IF(C17="","",MIN(2,N(U17))+MIN(2,N(V17)))</f>
        <v>4</v>
      </c>
      <c r="AD17" s="50" t="n">
        <f aca="false">IFERROR(IF(OR(W17="",F17="",N(F17)=0),"",W17/F17-1),"")</f>
        <v>-0.253937390628038</v>
      </c>
      <c r="AE17" s="16" t="n">
        <f aca="false">IF(C17="","",IF(AD17="",0,IF(AD17&gt;=0.25,2,IF(AD17&gt;=0.1,1,0))))</f>
        <v>0</v>
      </c>
      <c r="AF17" s="23" t="n">
        <f aca="false">IF(C17="","",X17+Y17+Z17+AA17+AB17+AC17+AE17)</f>
        <v>15</v>
      </c>
      <c r="AG17" s="24" t="str">
        <f aca="false">IF(C17="","",IF(AF17&gt;=18,"A",IF(AF17&gt;=13,"B","C")))</f>
        <v>B</v>
      </c>
      <c r="AH17" s="14" t="str">
        <f aca="false">IF(C17="","",IF(OR(AI17="Sold",AI17="Rejected"),"Closed",IF(AI17="Owned",IF(AND(ISNUMBER(W17),ISNUMBER(AL17),AL17&gt;W17*1.2),"REVIEW — price 20%+ above fair value",IF(AF17&lt;13,"REVIEW — quality score fell below 13","HOLD — re-check thesis yearly")),IF(AG17="A","Full LRC Stock Analysis",IF(AG17="B","Watch — re-check next month","Reject")))))</f>
        <v>Closed</v>
      </c>
      <c r="AI17" s="35" t="s">
        <v>370</v>
      </c>
      <c r="AJ17" s="35" t="s">
        <v>377</v>
      </c>
      <c r="AK17" s="19" t="n">
        <v>46309</v>
      </c>
      <c r="AL17" s="26" t="n">
        <v>51.43</v>
      </c>
      <c r="AM17" s="41" t="n">
        <f aca="false">IFERROR(IF(OR(AL17="",F17="",N(F17)=0),"",AL17/F17-1),"")</f>
        <v>0</v>
      </c>
      <c r="AN17" s="35" t="s">
        <v>378</v>
      </c>
      <c r="AP17" s="43" t="n">
        <f aca="false">IF(AND(C17&lt;&gt;"",A17=$C$4,ISNUMBER(AF17)),AF17+ROW()/100000,"")</f>
        <v>15.00017</v>
      </c>
    </row>
    <row r="18" customFormat="false" ht="15" hidden="false" customHeight="false" outlineLevel="0" collapsed="false">
      <c r="A18" s="19" t="n">
        <v>46296</v>
      </c>
      <c r="B18" s="35" t="s">
        <v>179</v>
      </c>
      <c r="C18" s="35" t="s">
        <v>187</v>
      </c>
      <c r="D18" s="35" t="s">
        <v>188</v>
      </c>
      <c r="E18" s="35" t="s">
        <v>189</v>
      </c>
      <c r="F18" s="26" t="n">
        <v>286.51</v>
      </c>
      <c r="G18" s="26" t="n">
        <v>48.39</v>
      </c>
      <c r="H18" s="49" t="n">
        <v>24.9</v>
      </c>
      <c r="I18" s="38"/>
      <c r="J18" s="49" t="n">
        <v>32.28</v>
      </c>
      <c r="K18" s="21" t="n">
        <v>0.1155</v>
      </c>
      <c r="L18" s="21" t="n">
        <v>0.0918</v>
      </c>
      <c r="M18" s="21" t="n">
        <v>0.3573</v>
      </c>
      <c r="N18" s="21" t="n">
        <v>0.1792</v>
      </c>
      <c r="O18" s="38" t="n">
        <v>0.5</v>
      </c>
      <c r="P18" s="38" t="n">
        <v>1.11</v>
      </c>
      <c r="Q18" s="21" t="n">
        <v>0.2544</v>
      </c>
      <c r="R18" s="21" t="n">
        <v>0.1012</v>
      </c>
      <c r="S18" s="21" t="n">
        <v>0.0043</v>
      </c>
      <c r="T18" s="21" t="n">
        <v>0.0071</v>
      </c>
      <c r="U18" s="25" t="n">
        <v>1</v>
      </c>
      <c r="V18" s="25" t="n">
        <v>2</v>
      </c>
      <c r="W18" s="26" t="n">
        <v>248.07</v>
      </c>
      <c r="X18" s="16" t="n">
        <f aca="false">IF(C18="","",IF(K18="",0,IF(K18&gt;=0.15,2,IF(K18&gt;=0.1,1,0)))+IF(L18="",0,IF(L18&gt;=0.12,2,IF(L18&gt;=0.08,1,0)))+(AND(N18&lt;&gt;"",N(N18)&gt;=0.15))+(AND(M18&lt;&gt;"",N(M18)&gt;=0.4)))</f>
        <v>3</v>
      </c>
      <c r="Y18" s="16" t="n">
        <f aca="false">IF(C18="","",IF(Q18="",0,IF(Q18&gt;=0.1,2,IF(Q18&gt;=0.05,1,0)))+IF(R18="",0,IF(R18&gt;=0.08,2,IF(R18&gt;=0.04,1,0))))</f>
        <v>4</v>
      </c>
      <c r="Z18" s="16" t="n">
        <f aca="false">IF(C18="","",IF(O18="",0,IF(O18&lt;=0.5,2,IF(O18&lt;=1,1,0)))+(AND(P18&lt;&gt;"",N(P18)&gt;=1.2)))</f>
        <v>2</v>
      </c>
      <c r="AA18" s="16" t="n">
        <f aca="false">IF(C18="","",IF(H18="",0,IF(AND(H18&gt;0,H18&lt;=20),2,IF(AND(H18&gt;0,H18&lt;=30),1,0)))+IF(J18="",0,IF(AND(J18&gt;0,J18&lt;=20),2,IF(AND(J18&gt;0,J18&lt;=30),1,0))))</f>
        <v>1</v>
      </c>
      <c r="AB18" s="16" t="n">
        <f aca="false">IF(C18="","",IF(OR(N(T18)&gt;=0.01,N(S18)&gt;=0.02),1,0))</f>
        <v>0</v>
      </c>
      <c r="AC18" s="16" t="n">
        <f aca="false">IF(C18="","",MIN(2,N(U18))+MIN(2,N(V18)))</f>
        <v>3</v>
      </c>
      <c r="AD18" s="50" t="n">
        <f aca="false">IFERROR(IF(OR(W18="",F18="",N(F18)=0),"",W18/F18-1),"")</f>
        <v>-0.134166346724373</v>
      </c>
      <c r="AE18" s="16" t="n">
        <f aca="false">IF(C18="","",IF(AD18="",0,IF(AD18&gt;=0.25,2,IF(AD18&gt;=0.1,1,0))))</f>
        <v>0</v>
      </c>
      <c r="AF18" s="23" t="n">
        <f aca="false">IF(C18="","",X18+Y18+Z18+AA18+AB18+AC18+AE18)</f>
        <v>13</v>
      </c>
      <c r="AG18" s="24" t="str">
        <f aca="false">IF(C18="","",IF(AF18&gt;=18,"A",IF(AF18&gt;=13,"B","C")))</f>
        <v>B</v>
      </c>
      <c r="AH18" s="14" t="str">
        <f aca="false">IF(C18="","",IF(OR(AI18="Sold",AI18="Rejected"),"Closed",IF(AI18="Owned",IF(AND(ISNUMBER(W18),ISNUMBER(AL18),AL18&gt;W18*1.2),"REVIEW — price 20%+ above fair value",IF(AF18&lt;13,"REVIEW — quality score fell below 13","HOLD — re-check thesis yearly")),IF(AG18="A","Full LRC Stock Analysis",IF(AG18="B","Watch — re-check next month","Reject")))))</f>
        <v>Closed</v>
      </c>
      <c r="AI18" s="35" t="s">
        <v>370</v>
      </c>
      <c r="AJ18" s="35" t="s">
        <v>379</v>
      </c>
      <c r="AK18" s="19" t="n">
        <v>46309</v>
      </c>
      <c r="AL18" s="26" t="n">
        <v>286.51</v>
      </c>
      <c r="AM18" s="41" t="n">
        <f aca="false">IFERROR(IF(OR(AL18="",F18="",N(F18)=0),"",AL18/F18-1),"")</f>
        <v>0</v>
      </c>
      <c r="AN18" s="35" t="s">
        <v>380</v>
      </c>
      <c r="AP18" s="43" t="n">
        <f aca="false">IF(AND(C18&lt;&gt;"",A18=$C$4,ISNUMBER(AF18)),AF18+ROW()/100000,"")</f>
        <v>13.00018</v>
      </c>
    </row>
    <row r="19" customFormat="false" ht="15" hidden="false" customHeight="false" outlineLevel="0" collapsed="false">
      <c r="A19" s="19"/>
      <c r="B19" s="35"/>
      <c r="C19" s="35"/>
      <c r="D19" s="35"/>
      <c r="E19" s="35"/>
      <c r="F19" s="26"/>
      <c r="G19" s="26"/>
      <c r="H19" s="49"/>
      <c r="I19" s="38"/>
      <c r="J19" s="49"/>
      <c r="K19" s="21"/>
      <c r="L19" s="21"/>
      <c r="M19" s="21"/>
      <c r="N19" s="21"/>
      <c r="O19" s="38"/>
      <c r="P19" s="38"/>
      <c r="Q19" s="21"/>
      <c r="R19" s="21"/>
      <c r="S19" s="21"/>
      <c r="T19" s="21"/>
      <c r="U19" s="25"/>
      <c r="V19" s="25"/>
      <c r="W19" s="26"/>
      <c r="X19" s="16" t="str">
        <f aca="false">IF(C19="","",IF(K19="",0,IF(K19&gt;=0.15,2,IF(K19&gt;=0.1,1,0)))+IF(L19="",0,IF(L19&gt;=0.12,2,IF(L19&gt;=0.08,1,0)))+(AND(N19&lt;&gt;"",N(N19)&gt;=0.15))+(AND(M19&lt;&gt;"",N(M19)&gt;=0.4)))</f>
        <v/>
      </c>
      <c r="Y19" s="16" t="str">
        <f aca="false">IF(C19="","",IF(Q19="",0,IF(Q19&gt;=0.1,2,IF(Q19&gt;=0.05,1,0)))+IF(R19="",0,IF(R19&gt;=0.08,2,IF(R19&gt;=0.04,1,0))))</f>
        <v/>
      </c>
      <c r="Z19" s="16" t="str">
        <f aca="false">IF(C19="","",IF(O19="",0,IF(O19&lt;=0.5,2,IF(O19&lt;=1,1,0)))+(AND(P19&lt;&gt;"",N(P19)&gt;=1.2)))</f>
        <v/>
      </c>
      <c r="AA19" s="16" t="str">
        <f aca="false">IF(C19="","",IF(H19="",0,IF(AND(H19&gt;0,H19&lt;=20),2,IF(AND(H19&gt;0,H19&lt;=30),1,0)))+IF(J19="",0,IF(AND(J19&gt;0,J19&lt;=20),2,IF(AND(J19&gt;0,J19&lt;=30),1,0))))</f>
        <v/>
      </c>
      <c r="AB19" s="16" t="str">
        <f aca="false">IF(C19="","",IF(OR(N(T19)&gt;=0.01,N(S19)&gt;=0.02),1,0))</f>
        <v/>
      </c>
      <c r="AC19" s="16" t="str">
        <f aca="false">IF(C19="","",MIN(2,N(U19))+MIN(2,N(V19)))</f>
        <v/>
      </c>
      <c r="AD19" s="50" t="str">
        <f aca="false">IFERROR(IF(OR(W19="",F19="",N(F19)=0),"",W19/F19-1),"")</f>
        <v/>
      </c>
      <c r="AE19" s="16" t="str">
        <f aca="false">IF(C19="","",IF(AD19="",0,IF(AD19&gt;=0.25,2,IF(AD19&gt;=0.1,1,0))))</f>
        <v/>
      </c>
      <c r="AF19" s="23" t="str">
        <f aca="false">IF(C19="","",X19+Y19+Z19+AA19+AB19+AC19+AE19)</f>
        <v/>
      </c>
      <c r="AG19" s="24" t="str">
        <f aca="false">IF(C19="","",IF(AF19&gt;=18,"A",IF(AF19&gt;=13,"B","C")))</f>
        <v/>
      </c>
      <c r="AH19" s="14" t="str">
        <f aca="false">IF(C19="","",IF(OR(AI19="Sold",AI19="Rejected"),"Closed",IF(AI19="Owned",IF(AND(ISNUMBER(W19),ISNUMBER(AL19),AL19&gt;W19*1.2),"REVIEW — price 20%+ above fair value",IF(AF19&lt;13,"REVIEW — quality score fell below 13","HOLD — re-check thesis yearly")),IF(AG19="A","Full LRC Stock Analysis",IF(AG19="B","Watch — re-check next month","Reject")))))</f>
        <v/>
      </c>
      <c r="AI19" s="35"/>
      <c r="AJ19" s="35"/>
      <c r="AK19" s="19"/>
      <c r="AL19" s="26"/>
      <c r="AM19" s="41" t="str">
        <f aca="false">IFERROR(IF(OR(AL19="",F19="",N(F19)=0),"",AL19/F19-1),"")</f>
        <v/>
      </c>
      <c r="AN19" s="35"/>
      <c r="AP19" s="43" t="str">
        <f aca="false">IF(AND(C19&lt;&gt;"",A19=$C$4,ISNUMBER(AF19)),AF19+ROW()/100000,"")</f>
        <v/>
      </c>
    </row>
    <row r="20" customFormat="false" ht="15" hidden="false" customHeight="false" outlineLevel="0" collapsed="false">
      <c r="A20" s="19"/>
      <c r="B20" s="35"/>
      <c r="C20" s="35"/>
      <c r="D20" s="35"/>
      <c r="E20" s="35"/>
      <c r="F20" s="26"/>
      <c r="G20" s="26"/>
      <c r="H20" s="49"/>
      <c r="I20" s="38"/>
      <c r="J20" s="49"/>
      <c r="K20" s="21"/>
      <c r="L20" s="21"/>
      <c r="M20" s="21"/>
      <c r="N20" s="21"/>
      <c r="O20" s="38"/>
      <c r="P20" s="38"/>
      <c r="Q20" s="21"/>
      <c r="R20" s="21"/>
      <c r="S20" s="21"/>
      <c r="T20" s="21"/>
      <c r="U20" s="25"/>
      <c r="V20" s="25"/>
      <c r="W20" s="26"/>
      <c r="X20" s="16" t="str">
        <f aca="false">IF(C20="","",IF(K20="",0,IF(K20&gt;=0.15,2,IF(K20&gt;=0.1,1,0)))+IF(L20="",0,IF(L20&gt;=0.12,2,IF(L20&gt;=0.08,1,0)))+(AND(N20&lt;&gt;"",N(N20)&gt;=0.15))+(AND(M20&lt;&gt;"",N(M20)&gt;=0.4)))</f>
        <v/>
      </c>
      <c r="Y20" s="16" t="str">
        <f aca="false">IF(C20="","",IF(Q20="",0,IF(Q20&gt;=0.1,2,IF(Q20&gt;=0.05,1,0)))+IF(R20="",0,IF(R20&gt;=0.08,2,IF(R20&gt;=0.04,1,0))))</f>
        <v/>
      </c>
      <c r="Z20" s="16" t="str">
        <f aca="false">IF(C20="","",IF(O20="",0,IF(O20&lt;=0.5,2,IF(O20&lt;=1,1,0)))+(AND(P20&lt;&gt;"",N(P20)&gt;=1.2)))</f>
        <v/>
      </c>
      <c r="AA20" s="16" t="str">
        <f aca="false">IF(C20="","",IF(H20="",0,IF(AND(H20&gt;0,H20&lt;=20),2,IF(AND(H20&gt;0,H20&lt;=30),1,0)))+IF(J20="",0,IF(AND(J20&gt;0,J20&lt;=20),2,IF(AND(J20&gt;0,J20&lt;=30),1,0))))</f>
        <v/>
      </c>
      <c r="AB20" s="16" t="str">
        <f aca="false">IF(C20="","",IF(OR(N(T20)&gt;=0.01,N(S20)&gt;=0.02),1,0))</f>
        <v/>
      </c>
      <c r="AC20" s="16" t="str">
        <f aca="false">IF(C20="","",MIN(2,N(U20))+MIN(2,N(V20)))</f>
        <v/>
      </c>
      <c r="AD20" s="50" t="str">
        <f aca="false">IFERROR(IF(OR(W20="",F20="",N(F20)=0),"",W20/F20-1),"")</f>
        <v/>
      </c>
      <c r="AE20" s="16" t="str">
        <f aca="false">IF(C20="","",IF(AD20="",0,IF(AD20&gt;=0.25,2,IF(AD20&gt;=0.1,1,0))))</f>
        <v/>
      </c>
      <c r="AF20" s="23" t="str">
        <f aca="false">IF(C20="","",X20+Y20+Z20+AA20+AB20+AC20+AE20)</f>
        <v/>
      </c>
      <c r="AG20" s="24" t="str">
        <f aca="false">IF(C20="","",IF(AF20&gt;=18,"A",IF(AF20&gt;=13,"B","C")))</f>
        <v/>
      </c>
      <c r="AH20" s="14" t="str">
        <f aca="false">IF(C20="","",IF(OR(AI20="Sold",AI20="Rejected"),"Closed",IF(AI20="Owned",IF(AND(ISNUMBER(W20),ISNUMBER(AL20),AL20&gt;W20*1.2),"REVIEW — price 20%+ above fair value",IF(AF20&lt;13,"REVIEW — quality score fell below 13","HOLD — re-check thesis yearly")),IF(AG20="A","Full LRC Stock Analysis",IF(AG20="B","Watch — re-check next month","Reject")))))</f>
        <v/>
      </c>
      <c r="AI20" s="35"/>
      <c r="AJ20" s="35"/>
      <c r="AK20" s="19"/>
      <c r="AL20" s="26"/>
      <c r="AM20" s="41" t="str">
        <f aca="false">IFERROR(IF(OR(AL20="",F20="",N(F20)=0),"",AL20/F20-1),"")</f>
        <v/>
      </c>
      <c r="AN20" s="35"/>
      <c r="AP20" s="43" t="str">
        <f aca="false">IF(AND(C20&lt;&gt;"",A20=$C$4,ISNUMBER(AF20)),AF20+ROW()/100000,"")</f>
        <v/>
      </c>
    </row>
    <row r="21" customFormat="false" ht="15" hidden="false" customHeight="false" outlineLevel="0" collapsed="false">
      <c r="A21" s="19"/>
      <c r="B21" s="35"/>
      <c r="C21" s="35"/>
      <c r="D21" s="35"/>
      <c r="E21" s="35"/>
      <c r="F21" s="26"/>
      <c r="G21" s="26"/>
      <c r="H21" s="49"/>
      <c r="I21" s="38"/>
      <c r="J21" s="49"/>
      <c r="K21" s="21"/>
      <c r="L21" s="21"/>
      <c r="M21" s="21"/>
      <c r="N21" s="21"/>
      <c r="O21" s="38"/>
      <c r="P21" s="38"/>
      <c r="Q21" s="21"/>
      <c r="R21" s="21"/>
      <c r="S21" s="21"/>
      <c r="T21" s="21"/>
      <c r="U21" s="25"/>
      <c r="V21" s="25"/>
      <c r="W21" s="26"/>
      <c r="X21" s="16" t="str">
        <f aca="false">IF(C21="","",IF(K21="",0,IF(K21&gt;=0.15,2,IF(K21&gt;=0.1,1,0)))+IF(L21="",0,IF(L21&gt;=0.12,2,IF(L21&gt;=0.08,1,0)))+(AND(N21&lt;&gt;"",N(N21)&gt;=0.15))+(AND(M21&lt;&gt;"",N(M21)&gt;=0.4)))</f>
        <v/>
      </c>
      <c r="Y21" s="16" t="str">
        <f aca="false">IF(C21="","",IF(Q21="",0,IF(Q21&gt;=0.1,2,IF(Q21&gt;=0.05,1,0)))+IF(R21="",0,IF(R21&gt;=0.08,2,IF(R21&gt;=0.04,1,0))))</f>
        <v/>
      </c>
      <c r="Z21" s="16" t="str">
        <f aca="false">IF(C21="","",IF(O21="",0,IF(O21&lt;=0.5,2,IF(O21&lt;=1,1,0)))+(AND(P21&lt;&gt;"",N(P21)&gt;=1.2)))</f>
        <v/>
      </c>
      <c r="AA21" s="16" t="str">
        <f aca="false">IF(C21="","",IF(H21="",0,IF(AND(H21&gt;0,H21&lt;=20),2,IF(AND(H21&gt;0,H21&lt;=30),1,0)))+IF(J21="",0,IF(AND(J21&gt;0,J21&lt;=20),2,IF(AND(J21&gt;0,J21&lt;=30),1,0))))</f>
        <v/>
      </c>
      <c r="AB21" s="16" t="str">
        <f aca="false">IF(C21="","",IF(OR(N(T21)&gt;=0.01,N(S21)&gt;=0.02),1,0))</f>
        <v/>
      </c>
      <c r="AC21" s="16" t="str">
        <f aca="false">IF(C21="","",MIN(2,N(U21))+MIN(2,N(V21)))</f>
        <v/>
      </c>
      <c r="AD21" s="50" t="str">
        <f aca="false">IFERROR(IF(OR(W21="",F21="",N(F21)=0),"",W21/F21-1),"")</f>
        <v/>
      </c>
      <c r="AE21" s="16" t="str">
        <f aca="false">IF(C21="","",IF(AD21="",0,IF(AD21&gt;=0.25,2,IF(AD21&gt;=0.1,1,0))))</f>
        <v/>
      </c>
      <c r="AF21" s="23" t="str">
        <f aca="false">IF(C21="","",X21+Y21+Z21+AA21+AB21+AC21+AE21)</f>
        <v/>
      </c>
      <c r="AG21" s="24" t="str">
        <f aca="false">IF(C21="","",IF(AF21&gt;=18,"A",IF(AF21&gt;=13,"B","C")))</f>
        <v/>
      </c>
      <c r="AH21" s="14" t="str">
        <f aca="false">IF(C21="","",IF(OR(AI21="Sold",AI21="Rejected"),"Closed",IF(AI21="Owned",IF(AND(ISNUMBER(W21),ISNUMBER(AL21),AL21&gt;W21*1.2),"REVIEW — price 20%+ above fair value",IF(AF21&lt;13,"REVIEW — quality score fell below 13","HOLD — re-check thesis yearly")),IF(AG21="A","Full LRC Stock Analysis",IF(AG21="B","Watch — re-check next month","Reject")))))</f>
        <v/>
      </c>
      <c r="AI21" s="35"/>
      <c r="AJ21" s="35"/>
      <c r="AK21" s="19"/>
      <c r="AL21" s="26"/>
      <c r="AM21" s="41" t="str">
        <f aca="false">IFERROR(IF(OR(AL21="",F21="",N(F21)=0),"",AL21/F21-1),"")</f>
        <v/>
      </c>
      <c r="AN21" s="35"/>
      <c r="AP21" s="43" t="str">
        <f aca="false">IF(AND(C21&lt;&gt;"",A21=$C$4,ISNUMBER(AF21)),AF21+ROW()/100000,"")</f>
        <v/>
      </c>
    </row>
    <row r="22" customFormat="false" ht="15" hidden="false" customHeight="false" outlineLevel="0" collapsed="false">
      <c r="A22" s="19"/>
      <c r="B22" s="35"/>
      <c r="C22" s="35"/>
      <c r="D22" s="35"/>
      <c r="E22" s="35"/>
      <c r="F22" s="26"/>
      <c r="G22" s="26"/>
      <c r="H22" s="49"/>
      <c r="I22" s="38"/>
      <c r="J22" s="49"/>
      <c r="K22" s="21"/>
      <c r="L22" s="21"/>
      <c r="M22" s="21"/>
      <c r="N22" s="21"/>
      <c r="O22" s="38"/>
      <c r="P22" s="38"/>
      <c r="Q22" s="21"/>
      <c r="R22" s="21"/>
      <c r="S22" s="21"/>
      <c r="T22" s="21"/>
      <c r="U22" s="25"/>
      <c r="V22" s="25"/>
      <c r="W22" s="26"/>
      <c r="X22" s="16" t="str">
        <f aca="false">IF(C22="","",IF(K22="",0,IF(K22&gt;=0.15,2,IF(K22&gt;=0.1,1,0)))+IF(L22="",0,IF(L22&gt;=0.12,2,IF(L22&gt;=0.08,1,0)))+(AND(N22&lt;&gt;"",N(N22)&gt;=0.15))+(AND(M22&lt;&gt;"",N(M22)&gt;=0.4)))</f>
        <v/>
      </c>
      <c r="Y22" s="16" t="str">
        <f aca="false">IF(C22="","",IF(Q22="",0,IF(Q22&gt;=0.1,2,IF(Q22&gt;=0.05,1,0)))+IF(R22="",0,IF(R22&gt;=0.08,2,IF(R22&gt;=0.04,1,0))))</f>
        <v/>
      </c>
      <c r="Z22" s="16" t="str">
        <f aca="false">IF(C22="","",IF(O22="",0,IF(O22&lt;=0.5,2,IF(O22&lt;=1,1,0)))+(AND(P22&lt;&gt;"",N(P22)&gt;=1.2)))</f>
        <v/>
      </c>
      <c r="AA22" s="16" t="str">
        <f aca="false">IF(C22="","",IF(H22="",0,IF(AND(H22&gt;0,H22&lt;=20),2,IF(AND(H22&gt;0,H22&lt;=30),1,0)))+IF(J22="",0,IF(AND(J22&gt;0,J22&lt;=20),2,IF(AND(J22&gt;0,J22&lt;=30),1,0))))</f>
        <v/>
      </c>
      <c r="AB22" s="16" t="str">
        <f aca="false">IF(C22="","",IF(OR(N(T22)&gt;=0.01,N(S22)&gt;=0.02),1,0))</f>
        <v/>
      </c>
      <c r="AC22" s="16" t="str">
        <f aca="false">IF(C22="","",MIN(2,N(U22))+MIN(2,N(V22)))</f>
        <v/>
      </c>
      <c r="AD22" s="50" t="str">
        <f aca="false">IFERROR(IF(OR(W22="",F22="",N(F22)=0),"",W22/F22-1),"")</f>
        <v/>
      </c>
      <c r="AE22" s="16" t="str">
        <f aca="false">IF(C22="","",IF(AD22="",0,IF(AD22&gt;=0.25,2,IF(AD22&gt;=0.1,1,0))))</f>
        <v/>
      </c>
      <c r="AF22" s="23" t="str">
        <f aca="false">IF(C22="","",X22+Y22+Z22+AA22+AB22+AC22+AE22)</f>
        <v/>
      </c>
      <c r="AG22" s="24" t="str">
        <f aca="false">IF(C22="","",IF(AF22&gt;=18,"A",IF(AF22&gt;=13,"B","C")))</f>
        <v/>
      </c>
      <c r="AH22" s="14" t="str">
        <f aca="false">IF(C22="","",IF(OR(AI22="Sold",AI22="Rejected"),"Closed",IF(AI22="Owned",IF(AND(ISNUMBER(W22),ISNUMBER(AL22),AL22&gt;W22*1.2),"REVIEW — price 20%+ above fair value",IF(AF22&lt;13,"REVIEW — quality score fell below 13","HOLD — re-check thesis yearly")),IF(AG22="A","Full LRC Stock Analysis",IF(AG22="B","Watch — re-check next month","Reject")))))</f>
        <v/>
      </c>
      <c r="AI22" s="35"/>
      <c r="AJ22" s="35"/>
      <c r="AK22" s="19"/>
      <c r="AL22" s="26"/>
      <c r="AM22" s="41" t="str">
        <f aca="false">IFERROR(IF(OR(AL22="",F22="",N(F22)=0),"",AL22/F22-1),"")</f>
        <v/>
      </c>
      <c r="AN22" s="35"/>
      <c r="AP22" s="43" t="str">
        <f aca="false">IF(AND(C22&lt;&gt;"",A22=$C$4,ISNUMBER(AF22)),AF22+ROW()/100000,"")</f>
        <v/>
      </c>
    </row>
    <row r="23" customFormat="false" ht="15" hidden="false" customHeight="false" outlineLevel="0" collapsed="false">
      <c r="A23" s="19"/>
      <c r="B23" s="35"/>
      <c r="C23" s="35"/>
      <c r="D23" s="35"/>
      <c r="E23" s="35"/>
      <c r="F23" s="26"/>
      <c r="G23" s="26"/>
      <c r="H23" s="49"/>
      <c r="I23" s="38"/>
      <c r="J23" s="49"/>
      <c r="K23" s="21"/>
      <c r="L23" s="21"/>
      <c r="M23" s="21"/>
      <c r="N23" s="21"/>
      <c r="O23" s="38"/>
      <c r="P23" s="38"/>
      <c r="Q23" s="21"/>
      <c r="R23" s="21"/>
      <c r="S23" s="21"/>
      <c r="T23" s="21"/>
      <c r="U23" s="25"/>
      <c r="V23" s="25"/>
      <c r="W23" s="26"/>
      <c r="X23" s="16" t="str">
        <f aca="false">IF(C23="","",IF(K23="",0,IF(K23&gt;=0.15,2,IF(K23&gt;=0.1,1,0)))+IF(L23="",0,IF(L23&gt;=0.12,2,IF(L23&gt;=0.08,1,0)))+(AND(N23&lt;&gt;"",N(N23)&gt;=0.15))+(AND(M23&lt;&gt;"",N(M23)&gt;=0.4)))</f>
        <v/>
      </c>
      <c r="Y23" s="16" t="str">
        <f aca="false">IF(C23="","",IF(Q23="",0,IF(Q23&gt;=0.1,2,IF(Q23&gt;=0.05,1,0)))+IF(R23="",0,IF(R23&gt;=0.08,2,IF(R23&gt;=0.04,1,0))))</f>
        <v/>
      </c>
      <c r="Z23" s="16" t="str">
        <f aca="false">IF(C23="","",IF(O23="",0,IF(O23&lt;=0.5,2,IF(O23&lt;=1,1,0)))+(AND(P23&lt;&gt;"",N(P23)&gt;=1.2)))</f>
        <v/>
      </c>
      <c r="AA23" s="16" t="str">
        <f aca="false">IF(C23="","",IF(H23="",0,IF(AND(H23&gt;0,H23&lt;=20),2,IF(AND(H23&gt;0,H23&lt;=30),1,0)))+IF(J23="",0,IF(AND(J23&gt;0,J23&lt;=20),2,IF(AND(J23&gt;0,J23&lt;=30),1,0))))</f>
        <v/>
      </c>
      <c r="AB23" s="16" t="str">
        <f aca="false">IF(C23="","",IF(OR(N(T23)&gt;=0.01,N(S23)&gt;=0.02),1,0))</f>
        <v/>
      </c>
      <c r="AC23" s="16" t="str">
        <f aca="false">IF(C23="","",MIN(2,N(U23))+MIN(2,N(V23)))</f>
        <v/>
      </c>
      <c r="AD23" s="50" t="str">
        <f aca="false">IFERROR(IF(OR(W23="",F23="",N(F23)=0),"",W23/F23-1),"")</f>
        <v/>
      </c>
      <c r="AE23" s="16" t="str">
        <f aca="false">IF(C23="","",IF(AD23="",0,IF(AD23&gt;=0.25,2,IF(AD23&gt;=0.1,1,0))))</f>
        <v/>
      </c>
      <c r="AF23" s="23" t="str">
        <f aca="false">IF(C23="","",X23+Y23+Z23+AA23+AB23+AC23+AE23)</f>
        <v/>
      </c>
      <c r="AG23" s="24" t="str">
        <f aca="false">IF(C23="","",IF(AF23&gt;=18,"A",IF(AF23&gt;=13,"B","C")))</f>
        <v/>
      </c>
      <c r="AH23" s="14" t="str">
        <f aca="false">IF(C23="","",IF(OR(AI23="Sold",AI23="Rejected"),"Closed",IF(AI23="Owned",IF(AND(ISNUMBER(W23),ISNUMBER(AL23),AL23&gt;W23*1.2),"REVIEW — price 20%+ above fair value",IF(AF23&lt;13,"REVIEW — quality score fell below 13","HOLD — re-check thesis yearly")),IF(AG23="A","Full LRC Stock Analysis",IF(AG23="B","Watch — re-check next month","Reject")))))</f>
        <v/>
      </c>
      <c r="AI23" s="35"/>
      <c r="AJ23" s="35"/>
      <c r="AK23" s="19"/>
      <c r="AL23" s="26"/>
      <c r="AM23" s="41" t="str">
        <f aca="false">IFERROR(IF(OR(AL23="",F23="",N(F23)=0),"",AL23/F23-1),"")</f>
        <v/>
      </c>
      <c r="AN23" s="35"/>
      <c r="AP23" s="43" t="str">
        <f aca="false">IF(AND(C23&lt;&gt;"",A23=$C$4,ISNUMBER(AF23)),AF23+ROW()/100000,"")</f>
        <v/>
      </c>
    </row>
    <row r="24" customFormat="false" ht="15" hidden="false" customHeight="false" outlineLevel="0" collapsed="false">
      <c r="A24" s="19"/>
      <c r="B24" s="35"/>
      <c r="C24" s="35"/>
      <c r="D24" s="35"/>
      <c r="E24" s="35"/>
      <c r="F24" s="26"/>
      <c r="G24" s="26"/>
      <c r="H24" s="49"/>
      <c r="I24" s="38"/>
      <c r="J24" s="49"/>
      <c r="K24" s="21"/>
      <c r="L24" s="21"/>
      <c r="M24" s="21"/>
      <c r="N24" s="21"/>
      <c r="O24" s="38"/>
      <c r="P24" s="38"/>
      <c r="Q24" s="21"/>
      <c r="R24" s="21"/>
      <c r="S24" s="21"/>
      <c r="T24" s="21"/>
      <c r="U24" s="25"/>
      <c r="V24" s="25"/>
      <c r="W24" s="26"/>
      <c r="X24" s="16" t="str">
        <f aca="false">IF(C24="","",IF(K24="",0,IF(K24&gt;=0.15,2,IF(K24&gt;=0.1,1,0)))+IF(L24="",0,IF(L24&gt;=0.12,2,IF(L24&gt;=0.08,1,0)))+(AND(N24&lt;&gt;"",N(N24)&gt;=0.15))+(AND(M24&lt;&gt;"",N(M24)&gt;=0.4)))</f>
        <v/>
      </c>
      <c r="Y24" s="16" t="str">
        <f aca="false">IF(C24="","",IF(Q24="",0,IF(Q24&gt;=0.1,2,IF(Q24&gt;=0.05,1,0)))+IF(R24="",0,IF(R24&gt;=0.08,2,IF(R24&gt;=0.04,1,0))))</f>
        <v/>
      </c>
      <c r="Z24" s="16" t="str">
        <f aca="false">IF(C24="","",IF(O24="",0,IF(O24&lt;=0.5,2,IF(O24&lt;=1,1,0)))+(AND(P24&lt;&gt;"",N(P24)&gt;=1.2)))</f>
        <v/>
      </c>
      <c r="AA24" s="16" t="str">
        <f aca="false">IF(C24="","",IF(H24="",0,IF(AND(H24&gt;0,H24&lt;=20),2,IF(AND(H24&gt;0,H24&lt;=30),1,0)))+IF(J24="",0,IF(AND(J24&gt;0,J24&lt;=20),2,IF(AND(J24&gt;0,J24&lt;=30),1,0))))</f>
        <v/>
      </c>
      <c r="AB24" s="16" t="str">
        <f aca="false">IF(C24="","",IF(OR(N(T24)&gt;=0.01,N(S24)&gt;=0.02),1,0))</f>
        <v/>
      </c>
      <c r="AC24" s="16" t="str">
        <f aca="false">IF(C24="","",MIN(2,N(U24))+MIN(2,N(V24)))</f>
        <v/>
      </c>
      <c r="AD24" s="50" t="str">
        <f aca="false">IFERROR(IF(OR(W24="",F24="",N(F24)=0),"",W24/F24-1),"")</f>
        <v/>
      </c>
      <c r="AE24" s="16" t="str">
        <f aca="false">IF(C24="","",IF(AD24="",0,IF(AD24&gt;=0.25,2,IF(AD24&gt;=0.1,1,0))))</f>
        <v/>
      </c>
      <c r="AF24" s="23" t="str">
        <f aca="false">IF(C24="","",X24+Y24+Z24+AA24+AB24+AC24+AE24)</f>
        <v/>
      </c>
      <c r="AG24" s="24" t="str">
        <f aca="false">IF(C24="","",IF(AF24&gt;=18,"A",IF(AF24&gt;=13,"B","C")))</f>
        <v/>
      </c>
      <c r="AH24" s="14" t="str">
        <f aca="false">IF(C24="","",IF(OR(AI24="Sold",AI24="Rejected"),"Closed",IF(AI24="Owned",IF(AND(ISNUMBER(W24),ISNUMBER(AL24),AL24&gt;W24*1.2),"REVIEW — price 20%+ above fair value",IF(AF24&lt;13,"REVIEW — quality score fell below 13","HOLD — re-check thesis yearly")),IF(AG24="A","Full LRC Stock Analysis",IF(AG24="B","Watch — re-check next month","Reject")))))</f>
        <v/>
      </c>
      <c r="AI24" s="35"/>
      <c r="AJ24" s="35"/>
      <c r="AK24" s="19"/>
      <c r="AL24" s="26"/>
      <c r="AM24" s="41" t="str">
        <f aca="false">IFERROR(IF(OR(AL24="",F24="",N(F24)=0),"",AL24/F24-1),"")</f>
        <v/>
      </c>
      <c r="AN24" s="35"/>
      <c r="AP24" s="43" t="str">
        <f aca="false">IF(AND(C24&lt;&gt;"",A24=$C$4,ISNUMBER(AF24)),AF24+ROW()/100000,"")</f>
        <v/>
      </c>
    </row>
    <row r="25" customFormat="false" ht="15" hidden="false" customHeight="false" outlineLevel="0" collapsed="false">
      <c r="A25" s="19"/>
      <c r="B25" s="35"/>
      <c r="C25" s="35"/>
      <c r="D25" s="35"/>
      <c r="E25" s="35"/>
      <c r="F25" s="26"/>
      <c r="G25" s="26"/>
      <c r="H25" s="49"/>
      <c r="I25" s="38"/>
      <c r="J25" s="49"/>
      <c r="K25" s="21"/>
      <c r="L25" s="21"/>
      <c r="M25" s="21"/>
      <c r="N25" s="21"/>
      <c r="O25" s="38"/>
      <c r="P25" s="38"/>
      <c r="Q25" s="21"/>
      <c r="R25" s="21"/>
      <c r="S25" s="21"/>
      <c r="T25" s="21"/>
      <c r="U25" s="25"/>
      <c r="V25" s="25"/>
      <c r="W25" s="26"/>
      <c r="X25" s="16" t="str">
        <f aca="false">IF(C25="","",IF(K25="",0,IF(K25&gt;=0.15,2,IF(K25&gt;=0.1,1,0)))+IF(L25="",0,IF(L25&gt;=0.12,2,IF(L25&gt;=0.08,1,0)))+(AND(N25&lt;&gt;"",N(N25)&gt;=0.15))+(AND(M25&lt;&gt;"",N(M25)&gt;=0.4)))</f>
        <v/>
      </c>
      <c r="Y25" s="16" t="str">
        <f aca="false">IF(C25="","",IF(Q25="",0,IF(Q25&gt;=0.1,2,IF(Q25&gt;=0.05,1,0)))+IF(R25="",0,IF(R25&gt;=0.08,2,IF(R25&gt;=0.04,1,0))))</f>
        <v/>
      </c>
      <c r="Z25" s="16" t="str">
        <f aca="false">IF(C25="","",IF(O25="",0,IF(O25&lt;=0.5,2,IF(O25&lt;=1,1,0)))+(AND(P25&lt;&gt;"",N(P25)&gt;=1.2)))</f>
        <v/>
      </c>
      <c r="AA25" s="16" t="str">
        <f aca="false">IF(C25="","",IF(H25="",0,IF(AND(H25&gt;0,H25&lt;=20),2,IF(AND(H25&gt;0,H25&lt;=30),1,0)))+IF(J25="",0,IF(AND(J25&gt;0,J25&lt;=20),2,IF(AND(J25&gt;0,J25&lt;=30),1,0))))</f>
        <v/>
      </c>
      <c r="AB25" s="16" t="str">
        <f aca="false">IF(C25="","",IF(OR(N(T25)&gt;=0.01,N(S25)&gt;=0.02),1,0))</f>
        <v/>
      </c>
      <c r="AC25" s="16" t="str">
        <f aca="false">IF(C25="","",MIN(2,N(U25))+MIN(2,N(V25)))</f>
        <v/>
      </c>
      <c r="AD25" s="50" t="str">
        <f aca="false">IFERROR(IF(OR(W25="",F25="",N(F25)=0),"",W25/F25-1),"")</f>
        <v/>
      </c>
      <c r="AE25" s="16" t="str">
        <f aca="false">IF(C25="","",IF(AD25="",0,IF(AD25&gt;=0.25,2,IF(AD25&gt;=0.1,1,0))))</f>
        <v/>
      </c>
      <c r="AF25" s="23" t="str">
        <f aca="false">IF(C25="","",X25+Y25+Z25+AA25+AB25+AC25+AE25)</f>
        <v/>
      </c>
      <c r="AG25" s="24" t="str">
        <f aca="false">IF(C25="","",IF(AF25&gt;=18,"A",IF(AF25&gt;=13,"B","C")))</f>
        <v/>
      </c>
      <c r="AH25" s="14" t="str">
        <f aca="false">IF(C25="","",IF(OR(AI25="Sold",AI25="Rejected"),"Closed",IF(AI25="Owned",IF(AND(ISNUMBER(W25),ISNUMBER(AL25),AL25&gt;W25*1.2),"REVIEW — price 20%+ above fair value",IF(AF25&lt;13,"REVIEW — quality score fell below 13","HOLD — re-check thesis yearly")),IF(AG25="A","Full LRC Stock Analysis",IF(AG25="B","Watch — re-check next month","Reject")))))</f>
        <v/>
      </c>
      <c r="AI25" s="35"/>
      <c r="AJ25" s="35"/>
      <c r="AK25" s="19"/>
      <c r="AL25" s="26"/>
      <c r="AM25" s="41" t="str">
        <f aca="false">IFERROR(IF(OR(AL25="",F25="",N(F25)=0),"",AL25/F25-1),"")</f>
        <v/>
      </c>
      <c r="AN25" s="35"/>
      <c r="AP25" s="43" t="str">
        <f aca="false">IF(AND(C25&lt;&gt;"",A25=$C$4,ISNUMBER(AF25)),AF25+ROW()/100000,"")</f>
        <v/>
      </c>
    </row>
    <row r="26" customFormat="false" ht="15" hidden="false" customHeight="false" outlineLevel="0" collapsed="false">
      <c r="A26" s="19"/>
      <c r="B26" s="35"/>
      <c r="C26" s="35"/>
      <c r="D26" s="35"/>
      <c r="E26" s="35"/>
      <c r="F26" s="26"/>
      <c r="G26" s="26"/>
      <c r="H26" s="49"/>
      <c r="I26" s="38"/>
      <c r="J26" s="49"/>
      <c r="K26" s="21"/>
      <c r="L26" s="21"/>
      <c r="M26" s="21"/>
      <c r="N26" s="21"/>
      <c r="O26" s="38"/>
      <c r="P26" s="38"/>
      <c r="Q26" s="21"/>
      <c r="R26" s="21"/>
      <c r="S26" s="21"/>
      <c r="T26" s="21"/>
      <c r="U26" s="25"/>
      <c r="V26" s="25"/>
      <c r="W26" s="26"/>
      <c r="X26" s="16" t="str">
        <f aca="false">IF(C26="","",IF(K26="",0,IF(K26&gt;=0.15,2,IF(K26&gt;=0.1,1,0)))+IF(L26="",0,IF(L26&gt;=0.12,2,IF(L26&gt;=0.08,1,0)))+(AND(N26&lt;&gt;"",N(N26)&gt;=0.15))+(AND(M26&lt;&gt;"",N(M26)&gt;=0.4)))</f>
        <v/>
      </c>
      <c r="Y26" s="16" t="str">
        <f aca="false">IF(C26="","",IF(Q26="",0,IF(Q26&gt;=0.1,2,IF(Q26&gt;=0.05,1,0)))+IF(R26="",0,IF(R26&gt;=0.08,2,IF(R26&gt;=0.04,1,0))))</f>
        <v/>
      </c>
      <c r="Z26" s="16" t="str">
        <f aca="false">IF(C26="","",IF(O26="",0,IF(O26&lt;=0.5,2,IF(O26&lt;=1,1,0)))+(AND(P26&lt;&gt;"",N(P26)&gt;=1.2)))</f>
        <v/>
      </c>
      <c r="AA26" s="16" t="str">
        <f aca="false">IF(C26="","",IF(H26="",0,IF(AND(H26&gt;0,H26&lt;=20),2,IF(AND(H26&gt;0,H26&lt;=30),1,0)))+IF(J26="",0,IF(AND(J26&gt;0,J26&lt;=20),2,IF(AND(J26&gt;0,J26&lt;=30),1,0))))</f>
        <v/>
      </c>
      <c r="AB26" s="16" t="str">
        <f aca="false">IF(C26="","",IF(OR(N(T26)&gt;=0.01,N(S26)&gt;=0.02),1,0))</f>
        <v/>
      </c>
      <c r="AC26" s="16" t="str">
        <f aca="false">IF(C26="","",MIN(2,N(U26))+MIN(2,N(V26)))</f>
        <v/>
      </c>
      <c r="AD26" s="50" t="str">
        <f aca="false">IFERROR(IF(OR(W26="",F26="",N(F26)=0),"",W26/F26-1),"")</f>
        <v/>
      </c>
      <c r="AE26" s="16" t="str">
        <f aca="false">IF(C26="","",IF(AD26="",0,IF(AD26&gt;=0.25,2,IF(AD26&gt;=0.1,1,0))))</f>
        <v/>
      </c>
      <c r="AF26" s="23" t="str">
        <f aca="false">IF(C26="","",X26+Y26+Z26+AA26+AB26+AC26+AE26)</f>
        <v/>
      </c>
      <c r="AG26" s="24" t="str">
        <f aca="false">IF(C26="","",IF(AF26&gt;=18,"A",IF(AF26&gt;=13,"B","C")))</f>
        <v/>
      </c>
      <c r="AH26" s="14" t="str">
        <f aca="false">IF(C26="","",IF(OR(AI26="Sold",AI26="Rejected"),"Closed",IF(AI26="Owned",IF(AND(ISNUMBER(W26),ISNUMBER(AL26),AL26&gt;W26*1.2),"REVIEW — price 20%+ above fair value",IF(AF26&lt;13,"REVIEW — quality score fell below 13","HOLD — re-check thesis yearly")),IF(AG26="A","Full LRC Stock Analysis",IF(AG26="B","Watch — re-check next month","Reject")))))</f>
        <v/>
      </c>
      <c r="AI26" s="35"/>
      <c r="AJ26" s="35"/>
      <c r="AK26" s="19"/>
      <c r="AL26" s="26"/>
      <c r="AM26" s="41" t="str">
        <f aca="false">IFERROR(IF(OR(AL26="",F26="",N(F26)=0),"",AL26/F26-1),"")</f>
        <v/>
      </c>
      <c r="AN26" s="35"/>
      <c r="AP26" s="43" t="str">
        <f aca="false">IF(AND(C26&lt;&gt;"",A26=$C$4,ISNUMBER(AF26)),AF26+ROW()/100000,"")</f>
        <v/>
      </c>
    </row>
    <row r="27" customFormat="false" ht="15" hidden="false" customHeight="false" outlineLevel="0" collapsed="false">
      <c r="A27" s="19"/>
      <c r="B27" s="35"/>
      <c r="C27" s="35"/>
      <c r="D27" s="35"/>
      <c r="E27" s="35"/>
      <c r="F27" s="26"/>
      <c r="G27" s="26"/>
      <c r="H27" s="49"/>
      <c r="I27" s="38"/>
      <c r="J27" s="49"/>
      <c r="K27" s="21"/>
      <c r="L27" s="21"/>
      <c r="M27" s="21"/>
      <c r="N27" s="21"/>
      <c r="O27" s="38"/>
      <c r="P27" s="38"/>
      <c r="Q27" s="21"/>
      <c r="R27" s="21"/>
      <c r="S27" s="21"/>
      <c r="T27" s="21"/>
      <c r="U27" s="25"/>
      <c r="V27" s="25"/>
      <c r="W27" s="26"/>
      <c r="X27" s="16" t="str">
        <f aca="false">IF(C27="","",IF(K27="",0,IF(K27&gt;=0.15,2,IF(K27&gt;=0.1,1,0)))+IF(L27="",0,IF(L27&gt;=0.12,2,IF(L27&gt;=0.08,1,0)))+(AND(N27&lt;&gt;"",N(N27)&gt;=0.15))+(AND(M27&lt;&gt;"",N(M27)&gt;=0.4)))</f>
        <v/>
      </c>
      <c r="Y27" s="16" t="str">
        <f aca="false">IF(C27="","",IF(Q27="",0,IF(Q27&gt;=0.1,2,IF(Q27&gt;=0.05,1,0)))+IF(R27="",0,IF(R27&gt;=0.08,2,IF(R27&gt;=0.04,1,0))))</f>
        <v/>
      </c>
      <c r="Z27" s="16" t="str">
        <f aca="false">IF(C27="","",IF(O27="",0,IF(O27&lt;=0.5,2,IF(O27&lt;=1,1,0)))+(AND(P27&lt;&gt;"",N(P27)&gt;=1.2)))</f>
        <v/>
      </c>
      <c r="AA27" s="16" t="str">
        <f aca="false">IF(C27="","",IF(H27="",0,IF(AND(H27&gt;0,H27&lt;=20),2,IF(AND(H27&gt;0,H27&lt;=30),1,0)))+IF(J27="",0,IF(AND(J27&gt;0,J27&lt;=20),2,IF(AND(J27&gt;0,J27&lt;=30),1,0))))</f>
        <v/>
      </c>
      <c r="AB27" s="16" t="str">
        <f aca="false">IF(C27="","",IF(OR(N(T27)&gt;=0.01,N(S27)&gt;=0.02),1,0))</f>
        <v/>
      </c>
      <c r="AC27" s="16" t="str">
        <f aca="false">IF(C27="","",MIN(2,N(U27))+MIN(2,N(V27)))</f>
        <v/>
      </c>
      <c r="AD27" s="50" t="str">
        <f aca="false">IFERROR(IF(OR(W27="",F27="",N(F27)=0),"",W27/F27-1),"")</f>
        <v/>
      </c>
      <c r="AE27" s="16" t="str">
        <f aca="false">IF(C27="","",IF(AD27="",0,IF(AD27&gt;=0.25,2,IF(AD27&gt;=0.1,1,0))))</f>
        <v/>
      </c>
      <c r="AF27" s="23" t="str">
        <f aca="false">IF(C27="","",X27+Y27+Z27+AA27+AB27+AC27+AE27)</f>
        <v/>
      </c>
      <c r="AG27" s="24" t="str">
        <f aca="false">IF(C27="","",IF(AF27&gt;=18,"A",IF(AF27&gt;=13,"B","C")))</f>
        <v/>
      </c>
      <c r="AH27" s="14" t="str">
        <f aca="false">IF(C27="","",IF(OR(AI27="Sold",AI27="Rejected"),"Closed",IF(AI27="Owned",IF(AND(ISNUMBER(W27),ISNUMBER(AL27),AL27&gt;W27*1.2),"REVIEW — price 20%+ above fair value",IF(AF27&lt;13,"REVIEW — quality score fell below 13","HOLD — re-check thesis yearly")),IF(AG27="A","Full LRC Stock Analysis",IF(AG27="B","Watch — re-check next month","Reject")))))</f>
        <v/>
      </c>
      <c r="AI27" s="35"/>
      <c r="AJ27" s="35"/>
      <c r="AK27" s="19"/>
      <c r="AL27" s="26"/>
      <c r="AM27" s="41" t="str">
        <f aca="false">IFERROR(IF(OR(AL27="",F27="",N(F27)=0),"",AL27/F27-1),"")</f>
        <v/>
      </c>
      <c r="AN27" s="35"/>
      <c r="AP27" s="43" t="str">
        <f aca="false">IF(AND(C27&lt;&gt;"",A27=$C$4,ISNUMBER(AF27)),AF27+ROW()/100000,"")</f>
        <v/>
      </c>
    </row>
    <row r="28" customFormat="false" ht="15" hidden="false" customHeight="false" outlineLevel="0" collapsed="false">
      <c r="A28" s="19"/>
      <c r="B28" s="35"/>
      <c r="C28" s="35"/>
      <c r="D28" s="35"/>
      <c r="E28" s="35"/>
      <c r="F28" s="26"/>
      <c r="G28" s="26"/>
      <c r="H28" s="49"/>
      <c r="I28" s="38"/>
      <c r="J28" s="49"/>
      <c r="K28" s="21"/>
      <c r="L28" s="21"/>
      <c r="M28" s="21"/>
      <c r="N28" s="21"/>
      <c r="O28" s="38"/>
      <c r="P28" s="38"/>
      <c r="Q28" s="21"/>
      <c r="R28" s="21"/>
      <c r="S28" s="21"/>
      <c r="T28" s="21"/>
      <c r="U28" s="25"/>
      <c r="V28" s="25"/>
      <c r="W28" s="26"/>
      <c r="X28" s="16" t="str">
        <f aca="false">IF(C28="","",IF(K28="",0,IF(K28&gt;=0.15,2,IF(K28&gt;=0.1,1,0)))+IF(L28="",0,IF(L28&gt;=0.12,2,IF(L28&gt;=0.08,1,0)))+(AND(N28&lt;&gt;"",N(N28)&gt;=0.15))+(AND(M28&lt;&gt;"",N(M28)&gt;=0.4)))</f>
        <v/>
      </c>
      <c r="Y28" s="16" t="str">
        <f aca="false">IF(C28="","",IF(Q28="",0,IF(Q28&gt;=0.1,2,IF(Q28&gt;=0.05,1,0)))+IF(R28="",0,IF(R28&gt;=0.08,2,IF(R28&gt;=0.04,1,0))))</f>
        <v/>
      </c>
      <c r="Z28" s="16" t="str">
        <f aca="false">IF(C28="","",IF(O28="",0,IF(O28&lt;=0.5,2,IF(O28&lt;=1,1,0)))+(AND(P28&lt;&gt;"",N(P28)&gt;=1.2)))</f>
        <v/>
      </c>
      <c r="AA28" s="16" t="str">
        <f aca="false">IF(C28="","",IF(H28="",0,IF(AND(H28&gt;0,H28&lt;=20),2,IF(AND(H28&gt;0,H28&lt;=30),1,0)))+IF(J28="",0,IF(AND(J28&gt;0,J28&lt;=20),2,IF(AND(J28&gt;0,J28&lt;=30),1,0))))</f>
        <v/>
      </c>
      <c r="AB28" s="16" t="str">
        <f aca="false">IF(C28="","",IF(OR(N(T28)&gt;=0.01,N(S28)&gt;=0.02),1,0))</f>
        <v/>
      </c>
      <c r="AC28" s="16" t="str">
        <f aca="false">IF(C28="","",MIN(2,N(U28))+MIN(2,N(V28)))</f>
        <v/>
      </c>
      <c r="AD28" s="50" t="str">
        <f aca="false">IFERROR(IF(OR(W28="",F28="",N(F28)=0),"",W28/F28-1),"")</f>
        <v/>
      </c>
      <c r="AE28" s="16" t="str">
        <f aca="false">IF(C28="","",IF(AD28="",0,IF(AD28&gt;=0.25,2,IF(AD28&gt;=0.1,1,0))))</f>
        <v/>
      </c>
      <c r="AF28" s="23" t="str">
        <f aca="false">IF(C28="","",X28+Y28+Z28+AA28+AB28+AC28+AE28)</f>
        <v/>
      </c>
      <c r="AG28" s="24" t="str">
        <f aca="false">IF(C28="","",IF(AF28&gt;=18,"A",IF(AF28&gt;=13,"B","C")))</f>
        <v/>
      </c>
      <c r="AH28" s="14" t="str">
        <f aca="false">IF(C28="","",IF(OR(AI28="Sold",AI28="Rejected"),"Closed",IF(AI28="Owned",IF(AND(ISNUMBER(W28),ISNUMBER(AL28),AL28&gt;W28*1.2),"REVIEW — price 20%+ above fair value",IF(AF28&lt;13,"REVIEW — quality score fell below 13","HOLD — re-check thesis yearly")),IF(AG28="A","Full LRC Stock Analysis",IF(AG28="B","Watch — re-check next month","Reject")))))</f>
        <v/>
      </c>
      <c r="AI28" s="35"/>
      <c r="AJ28" s="35"/>
      <c r="AK28" s="19"/>
      <c r="AL28" s="26"/>
      <c r="AM28" s="41" t="str">
        <f aca="false">IFERROR(IF(OR(AL28="",F28="",N(F28)=0),"",AL28/F28-1),"")</f>
        <v/>
      </c>
      <c r="AN28" s="35"/>
      <c r="AP28" s="43" t="str">
        <f aca="false">IF(AND(C28&lt;&gt;"",A28=$C$4,ISNUMBER(AF28)),AF28+ROW()/100000,"")</f>
        <v/>
      </c>
    </row>
    <row r="29" customFormat="false" ht="15" hidden="false" customHeight="false" outlineLevel="0" collapsed="false">
      <c r="A29" s="19"/>
      <c r="B29" s="35"/>
      <c r="C29" s="35"/>
      <c r="D29" s="35"/>
      <c r="E29" s="35"/>
      <c r="F29" s="26"/>
      <c r="G29" s="26"/>
      <c r="H29" s="49"/>
      <c r="I29" s="38"/>
      <c r="J29" s="49"/>
      <c r="K29" s="21"/>
      <c r="L29" s="21"/>
      <c r="M29" s="21"/>
      <c r="N29" s="21"/>
      <c r="O29" s="38"/>
      <c r="P29" s="38"/>
      <c r="Q29" s="21"/>
      <c r="R29" s="21"/>
      <c r="S29" s="21"/>
      <c r="T29" s="21"/>
      <c r="U29" s="25"/>
      <c r="V29" s="25"/>
      <c r="W29" s="26"/>
      <c r="X29" s="16" t="str">
        <f aca="false">IF(C29="","",IF(K29="",0,IF(K29&gt;=0.15,2,IF(K29&gt;=0.1,1,0)))+IF(L29="",0,IF(L29&gt;=0.12,2,IF(L29&gt;=0.08,1,0)))+(AND(N29&lt;&gt;"",N(N29)&gt;=0.15))+(AND(M29&lt;&gt;"",N(M29)&gt;=0.4)))</f>
        <v/>
      </c>
      <c r="Y29" s="16" t="str">
        <f aca="false">IF(C29="","",IF(Q29="",0,IF(Q29&gt;=0.1,2,IF(Q29&gt;=0.05,1,0)))+IF(R29="",0,IF(R29&gt;=0.08,2,IF(R29&gt;=0.04,1,0))))</f>
        <v/>
      </c>
      <c r="Z29" s="16" t="str">
        <f aca="false">IF(C29="","",IF(O29="",0,IF(O29&lt;=0.5,2,IF(O29&lt;=1,1,0)))+(AND(P29&lt;&gt;"",N(P29)&gt;=1.2)))</f>
        <v/>
      </c>
      <c r="AA29" s="16" t="str">
        <f aca="false">IF(C29="","",IF(H29="",0,IF(AND(H29&gt;0,H29&lt;=20),2,IF(AND(H29&gt;0,H29&lt;=30),1,0)))+IF(J29="",0,IF(AND(J29&gt;0,J29&lt;=20),2,IF(AND(J29&gt;0,J29&lt;=30),1,0))))</f>
        <v/>
      </c>
      <c r="AB29" s="16" t="str">
        <f aca="false">IF(C29="","",IF(OR(N(T29)&gt;=0.01,N(S29)&gt;=0.02),1,0))</f>
        <v/>
      </c>
      <c r="AC29" s="16" t="str">
        <f aca="false">IF(C29="","",MIN(2,N(U29))+MIN(2,N(V29)))</f>
        <v/>
      </c>
      <c r="AD29" s="50" t="str">
        <f aca="false">IFERROR(IF(OR(W29="",F29="",N(F29)=0),"",W29/F29-1),"")</f>
        <v/>
      </c>
      <c r="AE29" s="16" t="str">
        <f aca="false">IF(C29="","",IF(AD29="",0,IF(AD29&gt;=0.25,2,IF(AD29&gt;=0.1,1,0))))</f>
        <v/>
      </c>
      <c r="AF29" s="23" t="str">
        <f aca="false">IF(C29="","",X29+Y29+Z29+AA29+AB29+AC29+AE29)</f>
        <v/>
      </c>
      <c r="AG29" s="24" t="str">
        <f aca="false">IF(C29="","",IF(AF29&gt;=18,"A",IF(AF29&gt;=13,"B","C")))</f>
        <v/>
      </c>
      <c r="AH29" s="14" t="str">
        <f aca="false">IF(C29="","",IF(OR(AI29="Sold",AI29="Rejected"),"Closed",IF(AI29="Owned",IF(AND(ISNUMBER(W29),ISNUMBER(AL29),AL29&gt;W29*1.2),"REVIEW — price 20%+ above fair value",IF(AF29&lt;13,"REVIEW — quality score fell below 13","HOLD — re-check thesis yearly")),IF(AG29="A","Full LRC Stock Analysis",IF(AG29="B","Watch — re-check next month","Reject")))))</f>
        <v/>
      </c>
      <c r="AI29" s="35"/>
      <c r="AJ29" s="35"/>
      <c r="AK29" s="19"/>
      <c r="AL29" s="26"/>
      <c r="AM29" s="41" t="str">
        <f aca="false">IFERROR(IF(OR(AL29="",F29="",N(F29)=0),"",AL29/F29-1),"")</f>
        <v/>
      </c>
      <c r="AN29" s="35"/>
      <c r="AP29" s="43" t="str">
        <f aca="false">IF(AND(C29&lt;&gt;"",A29=$C$4,ISNUMBER(AF29)),AF29+ROW()/100000,"")</f>
        <v/>
      </c>
    </row>
    <row r="30" customFormat="false" ht="15" hidden="false" customHeight="false" outlineLevel="0" collapsed="false">
      <c r="A30" s="19"/>
      <c r="B30" s="35"/>
      <c r="C30" s="35"/>
      <c r="D30" s="35"/>
      <c r="E30" s="35"/>
      <c r="F30" s="26"/>
      <c r="G30" s="26"/>
      <c r="H30" s="49"/>
      <c r="I30" s="38"/>
      <c r="J30" s="49"/>
      <c r="K30" s="21"/>
      <c r="L30" s="21"/>
      <c r="M30" s="21"/>
      <c r="N30" s="21"/>
      <c r="O30" s="38"/>
      <c r="P30" s="38"/>
      <c r="Q30" s="21"/>
      <c r="R30" s="21"/>
      <c r="S30" s="21"/>
      <c r="T30" s="21"/>
      <c r="U30" s="25"/>
      <c r="V30" s="25"/>
      <c r="W30" s="26"/>
      <c r="X30" s="16" t="str">
        <f aca="false">IF(C30="","",IF(K30="",0,IF(K30&gt;=0.15,2,IF(K30&gt;=0.1,1,0)))+IF(L30="",0,IF(L30&gt;=0.12,2,IF(L30&gt;=0.08,1,0)))+(AND(N30&lt;&gt;"",N(N30)&gt;=0.15))+(AND(M30&lt;&gt;"",N(M30)&gt;=0.4)))</f>
        <v/>
      </c>
      <c r="Y30" s="16" t="str">
        <f aca="false">IF(C30="","",IF(Q30="",0,IF(Q30&gt;=0.1,2,IF(Q30&gt;=0.05,1,0)))+IF(R30="",0,IF(R30&gt;=0.08,2,IF(R30&gt;=0.04,1,0))))</f>
        <v/>
      </c>
      <c r="Z30" s="16" t="str">
        <f aca="false">IF(C30="","",IF(O30="",0,IF(O30&lt;=0.5,2,IF(O30&lt;=1,1,0)))+(AND(P30&lt;&gt;"",N(P30)&gt;=1.2)))</f>
        <v/>
      </c>
      <c r="AA30" s="16" t="str">
        <f aca="false">IF(C30="","",IF(H30="",0,IF(AND(H30&gt;0,H30&lt;=20),2,IF(AND(H30&gt;0,H30&lt;=30),1,0)))+IF(J30="",0,IF(AND(J30&gt;0,J30&lt;=20),2,IF(AND(J30&gt;0,J30&lt;=30),1,0))))</f>
        <v/>
      </c>
      <c r="AB30" s="16" t="str">
        <f aca="false">IF(C30="","",IF(OR(N(T30)&gt;=0.01,N(S30)&gt;=0.02),1,0))</f>
        <v/>
      </c>
      <c r="AC30" s="16" t="str">
        <f aca="false">IF(C30="","",MIN(2,N(U30))+MIN(2,N(V30)))</f>
        <v/>
      </c>
      <c r="AD30" s="50" t="str">
        <f aca="false">IFERROR(IF(OR(W30="",F30="",N(F30)=0),"",W30/F30-1),"")</f>
        <v/>
      </c>
      <c r="AE30" s="16" t="str">
        <f aca="false">IF(C30="","",IF(AD30="",0,IF(AD30&gt;=0.25,2,IF(AD30&gt;=0.1,1,0))))</f>
        <v/>
      </c>
      <c r="AF30" s="23" t="str">
        <f aca="false">IF(C30="","",X30+Y30+Z30+AA30+AB30+AC30+AE30)</f>
        <v/>
      </c>
      <c r="AG30" s="24" t="str">
        <f aca="false">IF(C30="","",IF(AF30&gt;=18,"A",IF(AF30&gt;=13,"B","C")))</f>
        <v/>
      </c>
      <c r="AH30" s="14" t="str">
        <f aca="false">IF(C30="","",IF(OR(AI30="Sold",AI30="Rejected"),"Closed",IF(AI30="Owned",IF(AND(ISNUMBER(W30),ISNUMBER(AL30),AL30&gt;W30*1.2),"REVIEW — price 20%+ above fair value",IF(AF30&lt;13,"REVIEW — quality score fell below 13","HOLD — re-check thesis yearly")),IF(AG30="A","Full LRC Stock Analysis",IF(AG30="B","Watch — re-check next month","Reject")))))</f>
        <v/>
      </c>
      <c r="AI30" s="35"/>
      <c r="AJ30" s="35"/>
      <c r="AK30" s="19"/>
      <c r="AL30" s="26"/>
      <c r="AM30" s="41" t="str">
        <f aca="false">IFERROR(IF(OR(AL30="",F30="",N(F30)=0),"",AL30/F30-1),"")</f>
        <v/>
      </c>
      <c r="AN30" s="35"/>
      <c r="AP30" s="43" t="str">
        <f aca="false">IF(AND(C30&lt;&gt;"",A30=$C$4,ISNUMBER(AF30)),AF30+ROW()/100000,"")</f>
        <v/>
      </c>
    </row>
    <row r="31" customFormat="false" ht="15" hidden="false" customHeight="false" outlineLevel="0" collapsed="false">
      <c r="A31" s="19"/>
      <c r="B31" s="35"/>
      <c r="C31" s="35"/>
      <c r="D31" s="35"/>
      <c r="E31" s="35"/>
      <c r="F31" s="26"/>
      <c r="G31" s="26"/>
      <c r="H31" s="49"/>
      <c r="I31" s="38"/>
      <c r="J31" s="49"/>
      <c r="K31" s="21"/>
      <c r="L31" s="21"/>
      <c r="M31" s="21"/>
      <c r="N31" s="21"/>
      <c r="O31" s="38"/>
      <c r="P31" s="38"/>
      <c r="Q31" s="21"/>
      <c r="R31" s="21"/>
      <c r="S31" s="21"/>
      <c r="T31" s="21"/>
      <c r="U31" s="25"/>
      <c r="V31" s="25"/>
      <c r="W31" s="26"/>
      <c r="X31" s="16" t="str">
        <f aca="false">IF(C31="","",IF(K31="",0,IF(K31&gt;=0.15,2,IF(K31&gt;=0.1,1,0)))+IF(L31="",0,IF(L31&gt;=0.12,2,IF(L31&gt;=0.08,1,0)))+(AND(N31&lt;&gt;"",N(N31)&gt;=0.15))+(AND(M31&lt;&gt;"",N(M31)&gt;=0.4)))</f>
        <v/>
      </c>
      <c r="Y31" s="16" t="str">
        <f aca="false">IF(C31="","",IF(Q31="",0,IF(Q31&gt;=0.1,2,IF(Q31&gt;=0.05,1,0)))+IF(R31="",0,IF(R31&gt;=0.08,2,IF(R31&gt;=0.04,1,0))))</f>
        <v/>
      </c>
      <c r="Z31" s="16" t="str">
        <f aca="false">IF(C31="","",IF(O31="",0,IF(O31&lt;=0.5,2,IF(O31&lt;=1,1,0)))+(AND(P31&lt;&gt;"",N(P31)&gt;=1.2)))</f>
        <v/>
      </c>
      <c r="AA31" s="16" t="str">
        <f aca="false">IF(C31="","",IF(H31="",0,IF(AND(H31&gt;0,H31&lt;=20),2,IF(AND(H31&gt;0,H31&lt;=30),1,0)))+IF(J31="",0,IF(AND(J31&gt;0,J31&lt;=20),2,IF(AND(J31&gt;0,J31&lt;=30),1,0))))</f>
        <v/>
      </c>
      <c r="AB31" s="16" t="str">
        <f aca="false">IF(C31="","",IF(OR(N(T31)&gt;=0.01,N(S31)&gt;=0.02),1,0))</f>
        <v/>
      </c>
      <c r="AC31" s="16" t="str">
        <f aca="false">IF(C31="","",MIN(2,N(U31))+MIN(2,N(V31)))</f>
        <v/>
      </c>
      <c r="AD31" s="50" t="str">
        <f aca="false">IFERROR(IF(OR(W31="",F31="",N(F31)=0),"",W31/F31-1),"")</f>
        <v/>
      </c>
      <c r="AE31" s="16" t="str">
        <f aca="false">IF(C31="","",IF(AD31="",0,IF(AD31&gt;=0.25,2,IF(AD31&gt;=0.1,1,0))))</f>
        <v/>
      </c>
      <c r="AF31" s="23" t="str">
        <f aca="false">IF(C31="","",X31+Y31+Z31+AA31+AB31+AC31+AE31)</f>
        <v/>
      </c>
      <c r="AG31" s="24" t="str">
        <f aca="false">IF(C31="","",IF(AF31&gt;=18,"A",IF(AF31&gt;=13,"B","C")))</f>
        <v/>
      </c>
      <c r="AH31" s="14" t="str">
        <f aca="false">IF(C31="","",IF(OR(AI31="Sold",AI31="Rejected"),"Closed",IF(AI31="Owned",IF(AND(ISNUMBER(W31),ISNUMBER(AL31),AL31&gt;W31*1.2),"REVIEW — price 20%+ above fair value",IF(AF31&lt;13,"REVIEW — quality score fell below 13","HOLD — re-check thesis yearly")),IF(AG31="A","Full LRC Stock Analysis",IF(AG31="B","Watch — re-check next month","Reject")))))</f>
        <v/>
      </c>
      <c r="AI31" s="35"/>
      <c r="AJ31" s="35"/>
      <c r="AK31" s="19"/>
      <c r="AL31" s="26"/>
      <c r="AM31" s="41" t="str">
        <f aca="false">IFERROR(IF(OR(AL31="",F31="",N(F31)=0),"",AL31/F31-1),"")</f>
        <v/>
      </c>
      <c r="AN31" s="35"/>
      <c r="AP31" s="43" t="str">
        <f aca="false">IF(AND(C31&lt;&gt;"",A31=$C$4,ISNUMBER(AF31)),AF31+ROW()/100000,"")</f>
        <v/>
      </c>
    </row>
    <row r="32" customFormat="false" ht="15" hidden="false" customHeight="false" outlineLevel="0" collapsed="false">
      <c r="A32" s="19"/>
      <c r="B32" s="35"/>
      <c r="C32" s="35"/>
      <c r="D32" s="35"/>
      <c r="E32" s="35"/>
      <c r="F32" s="26"/>
      <c r="G32" s="26"/>
      <c r="H32" s="49"/>
      <c r="I32" s="38"/>
      <c r="J32" s="49"/>
      <c r="K32" s="21"/>
      <c r="L32" s="21"/>
      <c r="M32" s="21"/>
      <c r="N32" s="21"/>
      <c r="O32" s="38"/>
      <c r="P32" s="38"/>
      <c r="Q32" s="21"/>
      <c r="R32" s="21"/>
      <c r="S32" s="21"/>
      <c r="T32" s="21"/>
      <c r="U32" s="25"/>
      <c r="V32" s="25"/>
      <c r="W32" s="26"/>
      <c r="X32" s="16" t="str">
        <f aca="false">IF(C32="","",IF(K32="",0,IF(K32&gt;=0.15,2,IF(K32&gt;=0.1,1,0)))+IF(L32="",0,IF(L32&gt;=0.12,2,IF(L32&gt;=0.08,1,0)))+(AND(N32&lt;&gt;"",N(N32)&gt;=0.15))+(AND(M32&lt;&gt;"",N(M32)&gt;=0.4)))</f>
        <v/>
      </c>
      <c r="Y32" s="16" t="str">
        <f aca="false">IF(C32="","",IF(Q32="",0,IF(Q32&gt;=0.1,2,IF(Q32&gt;=0.05,1,0)))+IF(R32="",0,IF(R32&gt;=0.08,2,IF(R32&gt;=0.04,1,0))))</f>
        <v/>
      </c>
      <c r="Z32" s="16" t="str">
        <f aca="false">IF(C32="","",IF(O32="",0,IF(O32&lt;=0.5,2,IF(O32&lt;=1,1,0)))+(AND(P32&lt;&gt;"",N(P32)&gt;=1.2)))</f>
        <v/>
      </c>
      <c r="AA32" s="16" t="str">
        <f aca="false">IF(C32="","",IF(H32="",0,IF(AND(H32&gt;0,H32&lt;=20),2,IF(AND(H32&gt;0,H32&lt;=30),1,0)))+IF(J32="",0,IF(AND(J32&gt;0,J32&lt;=20),2,IF(AND(J32&gt;0,J32&lt;=30),1,0))))</f>
        <v/>
      </c>
      <c r="AB32" s="16" t="str">
        <f aca="false">IF(C32="","",IF(OR(N(T32)&gt;=0.01,N(S32)&gt;=0.02),1,0))</f>
        <v/>
      </c>
      <c r="AC32" s="16" t="str">
        <f aca="false">IF(C32="","",MIN(2,N(U32))+MIN(2,N(V32)))</f>
        <v/>
      </c>
      <c r="AD32" s="50" t="str">
        <f aca="false">IFERROR(IF(OR(W32="",F32="",N(F32)=0),"",W32/F32-1),"")</f>
        <v/>
      </c>
      <c r="AE32" s="16" t="str">
        <f aca="false">IF(C32="","",IF(AD32="",0,IF(AD32&gt;=0.25,2,IF(AD32&gt;=0.1,1,0))))</f>
        <v/>
      </c>
      <c r="AF32" s="23" t="str">
        <f aca="false">IF(C32="","",X32+Y32+Z32+AA32+AB32+AC32+AE32)</f>
        <v/>
      </c>
      <c r="AG32" s="24" t="str">
        <f aca="false">IF(C32="","",IF(AF32&gt;=18,"A",IF(AF32&gt;=13,"B","C")))</f>
        <v/>
      </c>
      <c r="AH32" s="14" t="str">
        <f aca="false">IF(C32="","",IF(OR(AI32="Sold",AI32="Rejected"),"Closed",IF(AI32="Owned",IF(AND(ISNUMBER(W32),ISNUMBER(AL32),AL32&gt;W32*1.2),"REVIEW — price 20%+ above fair value",IF(AF32&lt;13,"REVIEW — quality score fell below 13","HOLD — re-check thesis yearly")),IF(AG32="A","Full LRC Stock Analysis",IF(AG32="B","Watch — re-check next month","Reject")))))</f>
        <v/>
      </c>
      <c r="AI32" s="35"/>
      <c r="AJ32" s="35"/>
      <c r="AK32" s="19"/>
      <c r="AL32" s="26"/>
      <c r="AM32" s="41" t="str">
        <f aca="false">IFERROR(IF(OR(AL32="",F32="",N(F32)=0),"",AL32/F32-1),"")</f>
        <v/>
      </c>
      <c r="AN32" s="35"/>
      <c r="AP32" s="43" t="str">
        <f aca="false">IF(AND(C32&lt;&gt;"",A32=$C$4,ISNUMBER(AF32)),AF32+ROW()/100000,"")</f>
        <v/>
      </c>
    </row>
    <row r="33" customFormat="false" ht="15" hidden="false" customHeight="false" outlineLevel="0" collapsed="false">
      <c r="A33" s="19"/>
      <c r="B33" s="35"/>
      <c r="C33" s="35"/>
      <c r="D33" s="35"/>
      <c r="E33" s="35"/>
      <c r="F33" s="26"/>
      <c r="G33" s="26"/>
      <c r="H33" s="49"/>
      <c r="I33" s="38"/>
      <c r="J33" s="49"/>
      <c r="K33" s="21"/>
      <c r="L33" s="21"/>
      <c r="M33" s="21"/>
      <c r="N33" s="21"/>
      <c r="O33" s="38"/>
      <c r="P33" s="38"/>
      <c r="Q33" s="21"/>
      <c r="R33" s="21"/>
      <c r="S33" s="21"/>
      <c r="T33" s="21"/>
      <c r="U33" s="25"/>
      <c r="V33" s="25"/>
      <c r="W33" s="26"/>
      <c r="X33" s="16" t="str">
        <f aca="false">IF(C33="","",IF(K33="",0,IF(K33&gt;=0.15,2,IF(K33&gt;=0.1,1,0)))+IF(L33="",0,IF(L33&gt;=0.12,2,IF(L33&gt;=0.08,1,0)))+(AND(N33&lt;&gt;"",N(N33)&gt;=0.15))+(AND(M33&lt;&gt;"",N(M33)&gt;=0.4)))</f>
        <v/>
      </c>
      <c r="Y33" s="16" t="str">
        <f aca="false">IF(C33="","",IF(Q33="",0,IF(Q33&gt;=0.1,2,IF(Q33&gt;=0.05,1,0)))+IF(R33="",0,IF(R33&gt;=0.08,2,IF(R33&gt;=0.04,1,0))))</f>
        <v/>
      </c>
      <c r="Z33" s="16" t="str">
        <f aca="false">IF(C33="","",IF(O33="",0,IF(O33&lt;=0.5,2,IF(O33&lt;=1,1,0)))+(AND(P33&lt;&gt;"",N(P33)&gt;=1.2)))</f>
        <v/>
      </c>
      <c r="AA33" s="16" t="str">
        <f aca="false">IF(C33="","",IF(H33="",0,IF(AND(H33&gt;0,H33&lt;=20),2,IF(AND(H33&gt;0,H33&lt;=30),1,0)))+IF(J33="",0,IF(AND(J33&gt;0,J33&lt;=20),2,IF(AND(J33&gt;0,J33&lt;=30),1,0))))</f>
        <v/>
      </c>
      <c r="AB33" s="16" t="str">
        <f aca="false">IF(C33="","",IF(OR(N(T33)&gt;=0.01,N(S33)&gt;=0.02),1,0))</f>
        <v/>
      </c>
      <c r="AC33" s="16" t="str">
        <f aca="false">IF(C33="","",MIN(2,N(U33))+MIN(2,N(V33)))</f>
        <v/>
      </c>
      <c r="AD33" s="50" t="str">
        <f aca="false">IFERROR(IF(OR(W33="",F33="",N(F33)=0),"",W33/F33-1),"")</f>
        <v/>
      </c>
      <c r="AE33" s="16" t="str">
        <f aca="false">IF(C33="","",IF(AD33="",0,IF(AD33&gt;=0.25,2,IF(AD33&gt;=0.1,1,0))))</f>
        <v/>
      </c>
      <c r="AF33" s="23" t="str">
        <f aca="false">IF(C33="","",X33+Y33+Z33+AA33+AB33+AC33+AE33)</f>
        <v/>
      </c>
      <c r="AG33" s="24" t="str">
        <f aca="false">IF(C33="","",IF(AF33&gt;=18,"A",IF(AF33&gt;=13,"B","C")))</f>
        <v/>
      </c>
      <c r="AH33" s="14" t="str">
        <f aca="false">IF(C33="","",IF(OR(AI33="Sold",AI33="Rejected"),"Closed",IF(AI33="Owned",IF(AND(ISNUMBER(W33),ISNUMBER(AL33),AL33&gt;W33*1.2),"REVIEW — price 20%+ above fair value",IF(AF33&lt;13,"REVIEW — quality score fell below 13","HOLD — re-check thesis yearly")),IF(AG33="A","Full LRC Stock Analysis",IF(AG33="B","Watch — re-check next month","Reject")))))</f>
        <v/>
      </c>
      <c r="AI33" s="35"/>
      <c r="AJ33" s="35"/>
      <c r="AK33" s="19"/>
      <c r="AL33" s="26"/>
      <c r="AM33" s="41" t="str">
        <f aca="false">IFERROR(IF(OR(AL33="",F33="",N(F33)=0),"",AL33/F33-1),"")</f>
        <v/>
      </c>
      <c r="AN33" s="35"/>
      <c r="AP33" s="43" t="str">
        <f aca="false">IF(AND(C33&lt;&gt;"",A33=$C$4,ISNUMBER(AF33)),AF33+ROW()/100000,"")</f>
        <v/>
      </c>
    </row>
    <row r="34" customFormat="false" ht="15" hidden="false" customHeight="false" outlineLevel="0" collapsed="false">
      <c r="A34" s="19"/>
      <c r="B34" s="35"/>
      <c r="C34" s="35"/>
      <c r="D34" s="35"/>
      <c r="E34" s="35"/>
      <c r="F34" s="26"/>
      <c r="G34" s="26"/>
      <c r="H34" s="49"/>
      <c r="I34" s="38"/>
      <c r="J34" s="49"/>
      <c r="K34" s="21"/>
      <c r="L34" s="21"/>
      <c r="M34" s="21"/>
      <c r="N34" s="21"/>
      <c r="O34" s="38"/>
      <c r="P34" s="38"/>
      <c r="Q34" s="21"/>
      <c r="R34" s="21"/>
      <c r="S34" s="21"/>
      <c r="T34" s="21"/>
      <c r="U34" s="25"/>
      <c r="V34" s="25"/>
      <c r="W34" s="26"/>
      <c r="X34" s="16" t="str">
        <f aca="false">IF(C34="","",IF(K34="",0,IF(K34&gt;=0.15,2,IF(K34&gt;=0.1,1,0)))+IF(L34="",0,IF(L34&gt;=0.12,2,IF(L34&gt;=0.08,1,0)))+(AND(N34&lt;&gt;"",N(N34)&gt;=0.15))+(AND(M34&lt;&gt;"",N(M34)&gt;=0.4)))</f>
        <v/>
      </c>
      <c r="Y34" s="16" t="str">
        <f aca="false">IF(C34="","",IF(Q34="",0,IF(Q34&gt;=0.1,2,IF(Q34&gt;=0.05,1,0)))+IF(R34="",0,IF(R34&gt;=0.08,2,IF(R34&gt;=0.04,1,0))))</f>
        <v/>
      </c>
      <c r="Z34" s="16" t="str">
        <f aca="false">IF(C34="","",IF(O34="",0,IF(O34&lt;=0.5,2,IF(O34&lt;=1,1,0)))+(AND(P34&lt;&gt;"",N(P34)&gt;=1.2)))</f>
        <v/>
      </c>
      <c r="AA34" s="16" t="str">
        <f aca="false">IF(C34="","",IF(H34="",0,IF(AND(H34&gt;0,H34&lt;=20),2,IF(AND(H34&gt;0,H34&lt;=30),1,0)))+IF(J34="",0,IF(AND(J34&gt;0,J34&lt;=20),2,IF(AND(J34&gt;0,J34&lt;=30),1,0))))</f>
        <v/>
      </c>
      <c r="AB34" s="16" t="str">
        <f aca="false">IF(C34="","",IF(OR(N(T34)&gt;=0.01,N(S34)&gt;=0.02),1,0))</f>
        <v/>
      </c>
      <c r="AC34" s="16" t="str">
        <f aca="false">IF(C34="","",MIN(2,N(U34))+MIN(2,N(V34)))</f>
        <v/>
      </c>
      <c r="AD34" s="50" t="str">
        <f aca="false">IFERROR(IF(OR(W34="",F34="",N(F34)=0),"",W34/F34-1),"")</f>
        <v/>
      </c>
      <c r="AE34" s="16" t="str">
        <f aca="false">IF(C34="","",IF(AD34="",0,IF(AD34&gt;=0.25,2,IF(AD34&gt;=0.1,1,0))))</f>
        <v/>
      </c>
      <c r="AF34" s="23" t="str">
        <f aca="false">IF(C34="","",X34+Y34+Z34+AA34+AB34+AC34+AE34)</f>
        <v/>
      </c>
      <c r="AG34" s="24" t="str">
        <f aca="false">IF(C34="","",IF(AF34&gt;=18,"A",IF(AF34&gt;=13,"B","C")))</f>
        <v/>
      </c>
      <c r="AH34" s="14" t="str">
        <f aca="false">IF(C34="","",IF(OR(AI34="Sold",AI34="Rejected"),"Closed",IF(AI34="Owned",IF(AND(ISNUMBER(W34),ISNUMBER(AL34),AL34&gt;W34*1.2),"REVIEW — price 20%+ above fair value",IF(AF34&lt;13,"REVIEW — quality score fell below 13","HOLD — re-check thesis yearly")),IF(AG34="A","Full LRC Stock Analysis",IF(AG34="B","Watch — re-check next month","Reject")))))</f>
        <v/>
      </c>
      <c r="AI34" s="35"/>
      <c r="AJ34" s="35"/>
      <c r="AK34" s="19"/>
      <c r="AL34" s="26"/>
      <c r="AM34" s="41" t="str">
        <f aca="false">IFERROR(IF(OR(AL34="",F34="",N(F34)=0),"",AL34/F34-1),"")</f>
        <v/>
      </c>
      <c r="AN34" s="35"/>
      <c r="AP34" s="43" t="str">
        <f aca="false">IF(AND(C34&lt;&gt;"",A34=$C$4,ISNUMBER(AF34)),AF34+ROW()/100000,"")</f>
        <v/>
      </c>
    </row>
    <row r="35" customFormat="false" ht="15" hidden="false" customHeight="false" outlineLevel="0" collapsed="false">
      <c r="A35" s="19"/>
      <c r="B35" s="35"/>
      <c r="C35" s="35"/>
      <c r="D35" s="35"/>
      <c r="E35" s="35"/>
      <c r="F35" s="26"/>
      <c r="G35" s="26"/>
      <c r="H35" s="49"/>
      <c r="I35" s="38"/>
      <c r="J35" s="49"/>
      <c r="K35" s="21"/>
      <c r="L35" s="21"/>
      <c r="M35" s="21"/>
      <c r="N35" s="21"/>
      <c r="O35" s="38"/>
      <c r="P35" s="38"/>
      <c r="Q35" s="21"/>
      <c r="R35" s="21"/>
      <c r="S35" s="21"/>
      <c r="T35" s="21"/>
      <c r="U35" s="25"/>
      <c r="V35" s="25"/>
      <c r="W35" s="26"/>
      <c r="X35" s="16" t="str">
        <f aca="false">IF(C35="","",IF(K35="",0,IF(K35&gt;=0.15,2,IF(K35&gt;=0.1,1,0)))+IF(L35="",0,IF(L35&gt;=0.12,2,IF(L35&gt;=0.08,1,0)))+(AND(N35&lt;&gt;"",N(N35)&gt;=0.15))+(AND(M35&lt;&gt;"",N(M35)&gt;=0.4)))</f>
        <v/>
      </c>
      <c r="Y35" s="16" t="str">
        <f aca="false">IF(C35="","",IF(Q35="",0,IF(Q35&gt;=0.1,2,IF(Q35&gt;=0.05,1,0)))+IF(R35="",0,IF(R35&gt;=0.08,2,IF(R35&gt;=0.04,1,0))))</f>
        <v/>
      </c>
      <c r="Z35" s="16" t="str">
        <f aca="false">IF(C35="","",IF(O35="",0,IF(O35&lt;=0.5,2,IF(O35&lt;=1,1,0)))+(AND(P35&lt;&gt;"",N(P35)&gt;=1.2)))</f>
        <v/>
      </c>
      <c r="AA35" s="16" t="str">
        <f aca="false">IF(C35="","",IF(H35="",0,IF(AND(H35&gt;0,H35&lt;=20),2,IF(AND(H35&gt;0,H35&lt;=30),1,0)))+IF(J35="",0,IF(AND(J35&gt;0,J35&lt;=20),2,IF(AND(J35&gt;0,J35&lt;=30),1,0))))</f>
        <v/>
      </c>
      <c r="AB35" s="16" t="str">
        <f aca="false">IF(C35="","",IF(OR(N(T35)&gt;=0.01,N(S35)&gt;=0.02),1,0))</f>
        <v/>
      </c>
      <c r="AC35" s="16" t="str">
        <f aca="false">IF(C35="","",MIN(2,N(U35))+MIN(2,N(V35)))</f>
        <v/>
      </c>
      <c r="AD35" s="50" t="str">
        <f aca="false">IFERROR(IF(OR(W35="",F35="",N(F35)=0),"",W35/F35-1),"")</f>
        <v/>
      </c>
      <c r="AE35" s="16" t="str">
        <f aca="false">IF(C35="","",IF(AD35="",0,IF(AD35&gt;=0.25,2,IF(AD35&gt;=0.1,1,0))))</f>
        <v/>
      </c>
      <c r="AF35" s="23" t="str">
        <f aca="false">IF(C35="","",X35+Y35+Z35+AA35+AB35+AC35+AE35)</f>
        <v/>
      </c>
      <c r="AG35" s="24" t="str">
        <f aca="false">IF(C35="","",IF(AF35&gt;=18,"A",IF(AF35&gt;=13,"B","C")))</f>
        <v/>
      </c>
      <c r="AH35" s="14" t="str">
        <f aca="false">IF(C35="","",IF(OR(AI35="Sold",AI35="Rejected"),"Closed",IF(AI35="Owned",IF(AND(ISNUMBER(W35),ISNUMBER(AL35),AL35&gt;W35*1.2),"REVIEW — price 20%+ above fair value",IF(AF35&lt;13,"REVIEW — quality score fell below 13","HOLD — re-check thesis yearly")),IF(AG35="A","Full LRC Stock Analysis",IF(AG35="B","Watch — re-check next month","Reject")))))</f>
        <v/>
      </c>
      <c r="AI35" s="35"/>
      <c r="AJ35" s="35"/>
      <c r="AK35" s="19"/>
      <c r="AL35" s="26"/>
      <c r="AM35" s="41" t="str">
        <f aca="false">IFERROR(IF(OR(AL35="",F35="",N(F35)=0),"",AL35/F35-1),"")</f>
        <v/>
      </c>
      <c r="AN35" s="35"/>
      <c r="AP35" s="43" t="str">
        <f aca="false">IF(AND(C35&lt;&gt;"",A35=$C$4,ISNUMBER(AF35)),AF35+ROW()/100000,"")</f>
        <v/>
      </c>
    </row>
    <row r="36" customFormat="false" ht="15" hidden="false" customHeight="false" outlineLevel="0" collapsed="false">
      <c r="A36" s="19"/>
      <c r="B36" s="35"/>
      <c r="C36" s="35"/>
      <c r="D36" s="35"/>
      <c r="E36" s="35"/>
      <c r="F36" s="26"/>
      <c r="G36" s="26"/>
      <c r="H36" s="49"/>
      <c r="I36" s="38"/>
      <c r="J36" s="49"/>
      <c r="K36" s="21"/>
      <c r="L36" s="21"/>
      <c r="M36" s="21"/>
      <c r="N36" s="21"/>
      <c r="O36" s="38"/>
      <c r="P36" s="38"/>
      <c r="Q36" s="21"/>
      <c r="R36" s="21"/>
      <c r="S36" s="21"/>
      <c r="T36" s="21"/>
      <c r="U36" s="25"/>
      <c r="V36" s="25"/>
      <c r="W36" s="26"/>
      <c r="X36" s="16" t="str">
        <f aca="false">IF(C36="","",IF(K36="",0,IF(K36&gt;=0.15,2,IF(K36&gt;=0.1,1,0)))+IF(L36="",0,IF(L36&gt;=0.12,2,IF(L36&gt;=0.08,1,0)))+(AND(N36&lt;&gt;"",N(N36)&gt;=0.15))+(AND(M36&lt;&gt;"",N(M36)&gt;=0.4)))</f>
        <v/>
      </c>
      <c r="Y36" s="16" t="str">
        <f aca="false">IF(C36="","",IF(Q36="",0,IF(Q36&gt;=0.1,2,IF(Q36&gt;=0.05,1,0)))+IF(R36="",0,IF(R36&gt;=0.08,2,IF(R36&gt;=0.04,1,0))))</f>
        <v/>
      </c>
      <c r="Z36" s="16" t="str">
        <f aca="false">IF(C36="","",IF(O36="",0,IF(O36&lt;=0.5,2,IF(O36&lt;=1,1,0)))+(AND(P36&lt;&gt;"",N(P36)&gt;=1.2)))</f>
        <v/>
      </c>
      <c r="AA36" s="16" t="str">
        <f aca="false">IF(C36="","",IF(H36="",0,IF(AND(H36&gt;0,H36&lt;=20),2,IF(AND(H36&gt;0,H36&lt;=30),1,0)))+IF(J36="",0,IF(AND(J36&gt;0,J36&lt;=20),2,IF(AND(J36&gt;0,J36&lt;=30),1,0))))</f>
        <v/>
      </c>
      <c r="AB36" s="16" t="str">
        <f aca="false">IF(C36="","",IF(OR(N(T36)&gt;=0.01,N(S36)&gt;=0.02),1,0))</f>
        <v/>
      </c>
      <c r="AC36" s="16" t="str">
        <f aca="false">IF(C36="","",MIN(2,N(U36))+MIN(2,N(V36)))</f>
        <v/>
      </c>
      <c r="AD36" s="50" t="str">
        <f aca="false">IFERROR(IF(OR(W36="",F36="",N(F36)=0),"",W36/F36-1),"")</f>
        <v/>
      </c>
      <c r="AE36" s="16" t="str">
        <f aca="false">IF(C36="","",IF(AD36="",0,IF(AD36&gt;=0.25,2,IF(AD36&gt;=0.1,1,0))))</f>
        <v/>
      </c>
      <c r="AF36" s="23" t="str">
        <f aca="false">IF(C36="","",X36+Y36+Z36+AA36+AB36+AC36+AE36)</f>
        <v/>
      </c>
      <c r="AG36" s="24" t="str">
        <f aca="false">IF(C36="","",IF(AF36&gt;=18,"A",IF(AF36&gt;=13,"B","C")))</f>
        <v/>
      </c>
      <c r="AH36" s="14" t="str">
        <f aca="false">IF(C36="","",IF(OR(AI36="Sold",AI36="Rejected"),"Closed",IF(AI36="Owned",IF(AND(ISNUMBER(W36),ISNUMBER(AL36),AL36&gt;W36*1.2),"REVIEW — price 20%+ above fair value",IF(AF36&lt;13,"REVIEW — quality score fell below 13","HOLD — re-check thesis yearly")),IF(AG36="A","Full LRC Stock Analysis",IF(AG36="B","Watch — re-check next month","Reject")))))</f>
        <v/>
      </c>
      <c r="AI36" s="35"/>
      <c r="AJ36" s="35"/>
      <c r="AK36" s="19"/>
      <c r="AL36" s="26"/>
      <c r="AM36" s="41" t="str">
        <f aca="false">IFERROR(IF(OR(AL36="",F36="",N(F36)=0),"",AL36/F36-1),"")</f>
        <v/>
      </c>
      <c r="AN36" s="35"/>
      <c r="AP36" s="43" t="str">
        <f aca="false">IF(AND(C36&lt;&gt;"",A36=$C$4,ISNUMBER(AF36)),AF36+ROW()/100000,"")</f>
        <v/>
      </c>
    </row>
    <row r="37" customFormat="false" ht="15" hidden="false" customHeight="false" outlineLevel="0" collapsed="false">
      <c r="A37" s="19"/>
      <c r="B37" s="35"/>
      <c r="C37" s="35"/>
      <c r="D37" s="35"/>
      <c r="E37" s="35"/>
      <c r="F37" s="26"/>
      <c r="G37" s="26"/>
      <c r="H37" s="49"/>
      <c r="I37" s="38"/>
      <c r="J37" s="49"/>
      <c r="K37" s="21"/>
      <c r="L37" s="21"/>
      <c r="M37" s="21"/>
      <c r="N37" s="21"/>
      <c r="O37" s="38"/>
      <c r="P37" s="38"/>
      <c r="Q37" s="21"/>
      <c r="R37" s="21"/>
      <c r="S37" s="21"/>
      <c r="T37" s="21"/>
      <c r="U37" s="25"/>
      <c r="V37" s="25"/>
      <c r="W37" s="26"/>
      <c r="X37" s="16" t="str">
        <f aca="false">IF(C37="","",IF(K37="",0,IF(K37&gt;=0.15,2,IF(K37&gt;=0.1,1,0)))+IF(L37="",0,IF(L37&gt;=0.12,2,IF(L37&gt;=0.08,1,0)))+(AND(N37&lt;&gt;"",N(N37)&gt;=0.15))+(AND(M37&lt;&gt;"",N(M37)&gt;=0.4)))</f>
        <v/>
      </c>
      <c r="Y37" s="16" t="str">
        <f aca="false">IF(C37="","",IF(Q37="",0,IF(Q37&gt;=0.1,2,IF(Q37&gt;=0.05,1,0)))+IF(R37="",0,IF(R37&gt;=0.08,2,IF(R37&gt;=0.04,1,0))))</f>
        <v/>
      </c>
      <c r="Z37" s="16" t="str">
        <f aca="false">IF(C37="","",IF(O37="",0,IF(O37&lt;=0.5,2,IF(O37&lt;=1,1,0)))+(AND(P37&lt;&gt;"",N(P37)&gt;=1.2)))</f>
        <v/>
      </c>
      <c r="AA37" s="16" t="str">
        <f aca="false">IF(C37="","",IF(H37="",0,IF(AND(H37&gt;0,H37&lt;=20),2,IF(AND(H37&gt;0,H37&lt;=30),1,0)))+IF(J37="",0,IF(AND(J37&gt;0,J37&lt;=20),2,IF(AND(J37&gt;0,J37&lt;=30),1,0))))</f>
        <v/>
      </c>
      <c r="AB37" s="16" t="str">
        <f aca="false">IF(C37="","",IF(OR(N(T37)&gt;=0.01,N(S37)&gt;=0.02),1,0))</f>
        <v/>
      </c>
      <c r="AC37" s="16" t="str">
        <f aca="false">IF(C37="","",MIN(2,N(U37))+MIN(2,N(V37)))</f>
        <v/>
      </c>
      <c r="AD37" s="50" t="str">
        <f aca="false">IFERROR(IF(OR(W37="",F37="",N(F37)=0),"",W37/F37-1),"")</f>
        <v/>
      </c>
      <c r="AE37" s="16" t="str">
        <f aca="false">IF(C37="","",IF(AD37="",0,IF(AD37&gt;=0.25,2,IF(AD37&gt;=0.1,1,0))))</f>
        <v/>
      </c>
      <c r="AF37" s="23" t="str">
        <f aca="false">IF(C37="","",X37+Y37+Z37+AA37+AB37+AC37+AE37)</f>
        <v/>
      </c>
      <c r="AG37" s="24" t="str">
        <f aca="false">IF(C37="","",IF(AF37&gt;=18,"A",IF(AF37&gt;=13,"B","C")))</f>
        <v/>
      </c>
      <c r="AH37" s="14" t="str">
        <f aca="false">IF(C37="","",IF(OR(AI37="Sold",AI37="Rejected"),"Closed",IF(AI37="Owned",IF(AND(ISNUMBER(W37),ISNUMBER(AL37),AL37&gt;W37*1.2),"REVIEW — price 20%+ above fair value",IF(AF37&lt;13,"REVIEW — quality score fell below 13","HOLD — re-check thesis yearly")),IF(AG37="A","Full LRC Stock Analysis",IF(AG37="B","Watch — re-check next month","Reject")))))</f>
        <v/>
      </c>
      <c r="AI37" s="35"/>
      <c r="AJ37" s="35"/>
      <c r="AK37" s="19"/>
      <c r="AL37" s="26"/>
      <c r="AM37" s="41" t="str">
        <f aca="false">IFERROR(IF(OR(AL37="",F37="",N(F37)=0),"",AL37/F37-1),"")</f>
        <v/>
      </c>
      <c r="AN37" s="35"/>
      <c r="AP37" s="43" t="str">
        <f aca="false">IF(AND(C37&lt;&gt;"",A37=$C$4,ISNUMBER(AF37)),AF37+ROW()/100000,"")</f>
        <v/>
      </c>
    </row>
    <row r="38" customFormat="false" ht="15" hidden="false" customHeight="false" outlineLevel="0" collapsed="false">
      <c r="A38" s="19"/>
      <c r="B38" s="35"/>
      <c r="C38" s="35"/>
      <c r="D38" s="35"/>
      <c r="E38" s="35"/>
      <c r="F38" s="26"/>
      <c r="G38" s="26"/>
      <c r="H38" s="49"/>
      <c r="I38" s="38"/>
      <c r="J38" s="49"/>
      <c r="K38" s="21"/>
      <c r="L38" s="21"/>
      <c r="M38" s="21"/>
      <c r="N38" s="21"/>
      <c r="O38" s="38"/>
      <c r="P38" s="38"/>
      <c r="Q38" s="21"/>
      <c r="R38" s="21"/>
      <c r="S38" s="21"/>
      <c r="T38" s="21"/>
      <c r="U38" s="25"/>
      <c r="V38" s="25"/>
      <c r="W38" s="26"/>
      <c r="X38" s="16" t="str">
        <f aca="false">IF(C38="","",IF(K38="",0,IF(K38&gt;=0.15,2,IF(K38&gt;=0.1,1,0)))+IF(L38="",0,IF(L38&gt;=0.12,2,IF(L38&gt;=0.08,1,0)))+(AND(N38&lt;&gt;"",N(N38)&gt;=0.15))+(AND(M38&lt;&gt;"",N(M38)&gt;=0.4)))</f>
        <v/>
      </c>
      <c r="Y38" s="16" t="str">
        <f aca="false">IF(C38="","",IF(Q38="",0,IF(Q38&gt;=0.1,2,IF(Q38&gt;=0.05,1,0)))+IF(R38="",0,IF(R38&gt;=0.08,2,IF(R38&gt;=0.04,1,0))))</f>
        <v/>
      </c>
      <c r="Z38" s="16" t="str">
        <f aca="false">IF(C38="","",IF(O38="",0,IF(O38&lt;=0.5,2,IF(O38&lt;=1,1,0)))+(AND(P38&lt;&gt;"",N(P38)&gt;=1.2)))</f>
        <v/>
      </c>
      <c r="AA38" s="16" t="str">
        <f aca="false">IF(C38="","",IF(H38="",0,IF(AND(H38&gt;0,H38&lt;=20),2,IF(AND(H38&gt;0,H38&lt;=30),1,0)))+IF(J38="",0,IF(AND(J38&gt;0,J38&lt;=20),2,IF(AND(J38&gt;0,J38&lt;=30),1,0))))</f>
        <v/>
      </c>
      <c r="AB38" s="16" t="str">
        <f aca="false">IF(C38="","",IF(OR(N(T38)&gt;=0.01,N(S38)&gt;=0.02),1,0))</f>
        <v/>
      </c>
      <c r="AC38" s="16" t="str">
        <f aca="false">IF(C38="","",MIN(2,N(U38))+MIN(2,N(V38)))</f>
        <v/>
      </c>
      <c r="AD38" s="50" t="str">
        <f aca="false">IFERROR(IF(OR(W38="",F38="",N(F38)=0),"",W38/F38-1),"")</f>
        <v/>
      </c>
      <c r="AE38" s="16" t="str">
        <f aca="false">IF(C38="","",IF(AD38="",0,IF(AD38&gt;=0.25,2,IF(AD38&gt;=0.1,1,0))))</f>
        <v/>
      </c>
      <c r="AF38" s="23" t="str">
        <f aca="false">IF(C38="","",X38+Y38+Z38+AA38+AB38+AC38+AE38)</f>
        <v/>
      </c>
      <c r="AG38" s="24" t="str">
        <f aca="false">IF(C38="","",IF(AF38&gt;=18,"A",IF(AF38&gt;=13,"B","C")))</f>
        <v/>
      </c>
      <c r="AH38" s="14" t="str">
        <f aca="false">IF(C38="","",IF(OR(AI38="Sold",AI38="Rejected"),"Closed",IF(AI38="Owned",IF(AND(ISNUMBER(W38),ISNUMBER(AL38),AL38&gt;W38*1.2),"REVIEW — price 20%+ above fair value",IF(AF38&lt;13,"REVIEW — quality score fell below 13","HOLD — re-check thesis yearly")),IF(AG38="A","Full LRC Stock Analysis",IF(AG38="B","Watch — re-check next month","Reject")))))</f>
        <v/>
      </c>
      <c r="AI38" s="35"/>
      <c r="AJ38" s="35"/>
      <c r="AK38" s="19"/>
      <c r="AL38" s="26"/>
      <c r="AM38" s="41" t="str">
        <f aca="false">IFERROR(IF(OR(AL38="",F38="",N(F38)=0),"",AL38/F38-1),"")</f>
        <v/>
      </c>
      <c r="AN38" s="35"/>
      <c r="AP38" s="43" t="str">
        <f aca="false">IF(AND(C38&lt;&gt;"",A38=$C$4,ISNUMBER(AF38)),AF38+ROW()/100000,"")</f>
        <v/>
      </c>
    </row>
    <row r="39" customFormat="false" ht="15" hidden="false" customHeight="false" outlineLevel="0" collapsed="false">
      <c r="A39" s="19"/>
      <c r="B39" s="35"/>
      <c r="C39" s="35"/>
      <c r="D39" s="35"/>
      <c r="E39" s="35"/>
      <c r="F39" s="26"/>
      <c r="G39" s="26"/>
      <c r="H39" s="49"/>
      <c r="I39" s="38"/>
      <c r="J39" s="49"/>
      <c r="K39" s="21"/>
      <c r="L39" s="21"/>
      <c r="M39" s="21"/>
      <c r="N39" s="21"/>
      <c r="O39" s="38"/>
      <c r="P39" s="38"/>
      <c r="Q39" s="21"/>
      <c r="R39" s="21"/>
      <c r="S39" s="21"/>
      <c r="T39" s="21"/>
      <c r="U39" s="25"/>
      <c r="V39" s="25"/>
      <c r="W39" s="26"/>
      <c r="X39" s="16" t="str">
        <f aca="false">IF(C39="","",IF(K39="",0,IF(K39&gt;=0.15,2,IF(K39&gt;=0.1,1,0)))+IF(L39="",0,IF(L39&gt;=0.12,2,IF(L39&gt;=0.08,1,0)))+(AND(N39&lt;&gt;"",N(N39)&gt;=0.15))+(AND(M39&lt;&gt;"",N(M39)&gt;=0.4)))</f>
        <v/>
      </c>
      <c r="Y39" s="16" t="str">
        <f aca="false">IF(C39="","",IF(Q39="",0,IF(Q39&gt;=0.1,2,IF(Q39&gt;=0.05,1,0)))+IF(R39="",0,IF(R39&gt;=0.08,2,IF(R39&gt;=0.04,1,0))))</f>
        <v/>
      </c>
      <c r="Z39" s="16" t="str">
        <f aca="false">IF(C39="","",IF(O39="",0,IF(O39&lt;=0.5,2,IF(O39&lt;=1,1,0)))+(AND(P39&lt;&gt;"",N(P39)&gt;=1.2)))</f>
        <v/>
      </c>
      <c r="AA39" s="16" t="str">
        <f aca="false">IF(C39="","",IF(H39="",0,IF(AND(H39&gt;0,H39&lt;=20),2,IF(AND(H39&gt;0,H39&lt;=30),1,0)))+IF(J39="",0,IF(AND(J39&gt;0,J39&lt;=20),2,IF(AND(J39&gt;0,J39&lt;=30),1,0))))</f>
        <v/>
      </c>
      <c r="AB39" s="16" t="str">
        <f aca="false">IF(C39="","",IF(OR(N(T39)&gt;=0.01,N(S39)&gt;=0.02),1,0))</f>
        <v/>
      </c>
      <c r="AC39" s="16" t="str">
        <f aca="false">IF(C39="","",MIN(2,N(U39))+MIN(2,N(V39)))</f>
        <v/>
      </c>
      <c r="AD39" s="50" t="str">
        <f aca="false">IFERROR(IF(OR(W39="",F39="",N(F39)=0),"",W39/F39-1),"")</f>
        <v/>
      </c>
      <c r="AE39" s="16" t="str">
        <f aca="false">IF(C39="","",IF(AD39="",0,IF(AD39&gt;=0.25,2,IF(AD39&gt;=0.1,1,0))))</f>
        <v/>
      </c>
      <c r="AF39" s="23" t="str">
        <f aca="false">IF(C39="","",X39+Y39+Z39+AA39+AB39+AC39+AE39)</f>
        <v/>
      </c>
      <c r="AG39" s="24" t="str">
        <f aca="false">IF(C39="","",IF(AF39&gt;=18,"A",IF(AF39&gt;=13,"B","C")))</f>
        <v/>
      </c>
      <c r="AH39" s="14" t="str">
        <f aca="false">IF(C39="","",IF(OR(AI39="Sold",AI39="Rejected"),"Closed",IF(AI39="Owned",IF(AND(ISNUMBER(W39),ISNUMBER(AL39),AL39&gt;W39*1.2),"REVIEW — price 20%+ above fair value",IF(AF39&lt;13,"REVIEW — quality score fell below 13","HOLD — re-check thesis yearly")),IF(AG39="A","Full LRC Stock Analysis",IF(AG39="B","Watch — re-check next month","Reject")))))</f>
        <v/>
      </c>
      <c r="AI39" s="35"/>
      <c r="AJ39" s="35"/>
      <c r="AK39" s="19"/>
      <c r="AL39" s="26"/>
      <c r="AM39" s="41" t="str">
        <f aca="false">IFERROR(IF(OR(AL39="",F39="",N(F39)=0),"",AL39/F39-1),"")</f>
        <v/>
      </c>
      <c r="AN39" s="35"/>
      <c r="AP39" s="43" t="str">
        <f aca="false">IF(AND(C39&lt;&gt;"",A39=$C$4,ISNUMBER(AF39)),AF39+ROW()/100000,"")</f>
        <v/>
      </c>
    </row>
    <row r="40" customFormat="false" ht="15" hidden="false" customHeight="false" outlineLevel="0" collapsed="false">
      <c r="A40" s="19"/>
      <c r="B40" s="35"/>
      <c r="C40" s="35"/>
      <c r="D40" s="35"/>
      <c r="E40" s="35"/>
      <c r="F40" s="26"/>
      <c r="G40" s="26"/>
      <c r="H40" s="49"/>
      <c r="I40" s="38"/>
      <c r="J40" s="49"/>
      <c r="K40" s="21"/>
      <c r="L40" s="21"/>
      <c r="M40" s="21"/>
      <c r="N40" s="21"/>
      <c r="O40" s="38"/>
      <c r="P40" s="38"/>
      <c r="Q40" s="21"/>
      <c r="R40" s="21"/>
      <c r="S40" s="21"/>
      <c r="T40" s="21"/>
      <c r="U40" s="25"/>
      <c r="V40" s="25"/>
      <c r="W40" s="26"/>
      <c r="X40" s="16" t="str">
        <f aca="false">IF(C40="","",IF(K40="",0,IF(K40&gt;=0.15,2,IF(K40&gt;=0.1,1,0)))+IF(L40="",0,IF(L40&gt;=0.12,2,IF(L40&gt;=0.08,1,0)))+(AND(N40&lt;&gt;"",N(N40)&gt;=0.15))+(AND(M40&lt;&gt;"",N(M40)&gt;=0.4)))</f>
        <v/>
      </c>
      <c r="Y40" s="16" t="str">
        <f aca="false">IF(C40="","",IF(Q40="",0,IF(Q40&gt;=0.1,2,IF(Q40&gt;=0.05,1,0)))+IF(R40="",0,IF(R40&gt;=0.08,2,IF(R40&gt;=0.04,1,0))))</f>
        <v/>
      </c>
      <c r="Z40" s="16" t="str">
        <f aca="false">IF(C40="","",IF(O40="",0,IF(O40&lt;=0.5,2,IF(O40&lt;=1,1,0)))+(AND(P40&lt;&gt;"",N(P40)&gt;=1.2)))</f>
        <v/>
      </c>
      <c r="AA40" s="16" t="str">
        <f aca="false">IF(C40="","",IF(H40="",0,IF(AND(H40&gt;0,H40&lt;=20),2,IF(AND(H40&gt;0,H40&lt;=30),1,0)))+IF(J40="",0,IF(AND(J40&gt;0,J40&lt;=20),2,IF(AND(J40&gt;0,J40&lt;=30),1,0))))</f>
        <v/>
      </c>
      <c r="AB40" s="16" t="str">
        <f aca="false">IF(C40="","",IF(OR(N(T40)&gt;=0.01,N(S40)&gt;=0.02),1,0))</f>
        <v/>
      </c>
      <c r="AC40" s="16" t="str">
        <f aca="false">IF(C40="","",MIN(2,N(U40))+MIN(2,N(V40)))</f>
        <v/>
      </c>
      <c r="AD40" s="50" t="str">
        <f aca="false">IFERROR(IF(OR(W40="",F40="",N(F40)=0),"",W40/F40-1),"")</f>
        <v/>
      </c>
      <c r="AE40" s="16" t="str">
        <f aca="false">IF(C40="","",IF(AD40="",0,IF(AD40&gt;=0.25,2,IF(AD40&gt;=0.1,1,0))))</f>
        <v/>
      </c>
      <c r="AF40" s="23" t="str">
        <f aca="false">IF(C40="","",X40+Y40+Z40+AA40+AB40+AC40+AE40)</f>
        <v/>
      </c>
      <c r="AG40" s="24" t="str">
        <f aca="false">IF(C40="","",IF(AF40&gt;=18,"A",IF(AF40&gt;=13,"B","C")))</f>
        <v/>
      </c>
      <c r="AH40" s="14" t="str">
        <f aca="false">IF(C40="","",IF(OR(AI40="Sold",AI40="Rejected"),"Closed",IF(AI40="Owned",IF(AND(ISNUMBER(W40),ISNUMBER(AL40),AL40&gt;W40*1.2),"REVIEW — price 20%+ above fair value",IF(AF40&lt;13,"REVIEW — quality score fell below 13","HOLD — re-check thesis yearly")),IF(AG40="A","Full LRC Stock Analysis",IF(AG40="B","Watch — re-check next month","Reject")))))</f>
        <v/>
      </c>
      <c r="AI40" s="35"/>
      <c r="AJ40" s="35"/>
      <c r="AK40" s="19"/>
      <c r="AL40" s="26"/>
      <c r="AM40" s="41" t="str">
        <f aca="false">IFERROR(IF(OR(AL40="",F40="",N(F40)=0),"",AL40/F40-1),"")</f>
        <v/>
      </c>
      <c r="AN40" s="35"/>
      <c r="AP40" s="43" t="str">
        <f aca="false">IF(AND(C40&lt;&gt;"",A40=$C$4,ISNUMBER(AF40)),AF40+ROW()/100000,"")</f>
        <v/>
      </c>
    </row>
    <row r="41" customFormat="false" ht="15" hidden="false" customHeight="false" outlineLevel="0" collapsed="false">
      <c r="A41" s="19"/>
      <c r="B41" s="35"/>
      <c r="C41" s="35"/>
      <c r="D41" s="35"/>
      <c r="E41" s="35"/>
      <c r="F41" s="26"/>
      <c r="G41" s="26"/>
      <c r="H41" s="49"/>
      <c r="I41" s="38"/>
      <c r="J41" s="49"/>
      <c r="K41" s="21"/>
      <c r="L41" s="21"/>
      <c r="M41" s="21"/>
      <c r="N41" s="21"/>
      <c r="O41" s="38"/>
      <c r="P41" s="38"/>
      <c r="Q41" s="21"/>
      <c r="R41" s="21"/>
      <c r="S41" s="21"/>
      <c r="T41" s="21"/>
      <c r="U41" s="25"/>
      <c r="V41" s="25"/>
      <c r="W41" s="26"/>
      <c r="X41" s="16" t="str">
        <f aca="false">IF(C41="","",IF(K41="",0,IF(K41&gt;=0.15,2,IF(K41&gt;=0.1,1,0)))+IF(L41="",0,IF(L41&gt;=0.12,2,IF(L41&gt;=0.08,1,0)))+(AND(N41&lt;&gt;"",N(N41)&gt;=0.15))+(AND(M41&lt;&gt;"",N(M41)&gt;=0.4)))</f>
        <v/>
      </c>
      <c r="Y41" s="16" t="str">
        <f aca="false">IF(C41="","",IF(Q41="",0,IF(Q41&gt;=0.1,2,IF(Q41&gt;=0.05,1,0)))+IF(R41="",0,IF(R41&gt;=0.08,2,IF(R41&gt;=0.04,1,0))))</f>
        <v/>
      </c>
      <c r="Z41" s="16" t="str">
        <f aca="false">IF(C41="","",IF(O41="",0,IF(O41&lt;=0.5,2,IF(O41&lt;=1,1,0)))+(AND(P41&lt;&gt;"",N(P41)&gt;=1.2)))</f>
        <v/>
      </c>
      <c r="AA41" s="16" t="str">
        <f aca="false">IF(C41="","",IF(H41="",0,IF(AND(H41&gt;0,H41&lt;=20),2,IF(AND(H41&gt;0,H41&lt;=30),1,0)))+IF(J41="",0,IF(AND(J41&gt;0,J41&lt;=20),2,IF(AND(J41&gt;0,J41&lt;=30),1,0))))</f>
        <v/>
      </c>
      <c r="AB41" s="16" t="str">
        <f aca="false">IF(C41="","",IF(OR(N(T41)&gt;=0.01,N(S41)&gt;=0.02),1,0))</f>
        <v/>
      </c>
      <c r="AC41" s="16" t="str">
        <f aca="false">IF(C41="","",MIN(2,N(U41))+MIN(2,N(V41)))</f>
        <v/>
      </c>
      <c r="AD41" s="50" t="str">
        <f aca="false">IFERROR(IF(OR(W41="",F41="",N(F41)=0),"",W41/F41-1),"")</f>
        <v/>
      </c>
      <c r="AE41" s="16" t="str">
        <f aca="false">IF(C41="","",IF(AD41="",0,IF(AD41&gt;=0.25,2,IF(AD41&gt;=0.1,1,0))))</f>
        <v/>
      </c>
      <c r="AF41" s="23" t="str">
        <f aca="false">IF(C41="","",X41+Y41+Z41+AA41+AB41+AC41+AE41)</f>
        <v/>
      </c>
      <c r="AG41" s="24" t="str">
        <f aca="false">IF(C41="","",IF(AF41&gt;=18,"A",IF(AF41&gt;=13,"B","C")))</f>
        <v/>
      </c>
      <c r="AH41" s="14" t="str">
        <f aca="false">IF(C41="","",IF(OR(AI41="Sold",AI41="Rejected"),"Closed",IF(AI41="Owned",IF(AND(ISNUMBER(W41),ISNUMBER(AL41),AL41&gt;W41*1.2),"REVIEW — price 20%+ above fair value",IF(AF41&lt;13,"REVIEW — quality score fell below 13","HOLD — re-check thesis yearly")),IF(AG41="A","Full LRC Stock Analysis",IF(AG41="B","Watch — re-check next month","Reject")))))</f>
        <v/>
      </c>
      <c r="AI41" s="35"/>
      <c r="AJ41" s="35"/>
      <c r="AK41" s="19"/>
      <c r="AL41" s="26"/>
      <c r="AM41" s="41" t="str">
        <f aca="false">IFERROR(IF(OR(AL41="",F41="",N(F41)=0),"",AL41/F41-1),"")</f>
        <v/>
      </c>
      <c r="AN41" s="35"/>
      <c r="AP41" s="43" t="str">
        <f aca="false">IF(AND(C41&lt;&gt;"",A41=$C$4,ISNUMBER(AF41)),AF41+ROW()/100000,"")</f>
        <v/>
      </c>
    </row>
    <row r="42" customFormat="false" ht="15" hidden="false" customHeight="false" outlineLevel="0" collapsed="false">
      <c r="A42" s="19"/>
      <c r="B42" s="35"/>
      <c r="C42" s="35"/>
      <c r="D42" s="35"/>
      <c r="E42" s="35"/>
      <c r="F42" s="26"/>
      <c r="G42" s="26"/>
      <c r="H42" s="49"/>
      <c r="I42" s="38"/>
      <c r="J42" s="49"/>
      <c r="K42" s="21"/>
      <c r="L42" s="21"/>
      <c r="M42" s="21"/>
      <c r="N42" s="21"/>
      <c r="O42" s="38"/>
      <c r="P42" s="38"/>
      <c r="Q42" s="21"/>
      <c r="R42" s="21"/>
      <c r="S42" s="21"/>
      <c r="T42" s="21"/>
      <c r="U42" s="25"/>
      <c r="V42" s="25"/>
      <c r="W42" s="26"/>
      <c r="X42" s="16" t="str">
        <f aca="false">IF(C42="","",IF(K42="",0,IF(K42&gt;=0.15,2,IF(K42&gt;=0.1,1,0)))+IF(L42="",0,IF(L42&gt;=0.12,2,IF(L42&gt;=0.08,1,0)))+(AND(N42&lt;&gt;"",N(N42)&gt;=0.15))+(AND(M42&lt;&gt;"",N(M42)&gt;=0.4)))</f>
        <v/>
      </c>
      <c r="Y42" s="16" t="str">
        <f aca="false">IF(C42="","",IF(Q42="",0,IF(Q42&gt;=0.1,2,IF(Q42&gt;=0.05,1,0)))+IF(R42="",0,IF(R42&gt;=0.08,2,IF(R42&gt;=0.04,1,0))))</f>
        <v/>
      </c>
      <c r="Z42" s="16" t="str">
        <f aca="false">IF(C42="","",IF(O42="",0,IF(O42&lt;=0.5,2,IF(O42&lt;=1,1,0)))+(AND(P42&lt;&gt;"",N(P42)&gt;=1.2)))</f>
        <v/>
      </c>
      <c r="AA42" s="16" t="str">
        <f aca="false">IF(C42="","",IF(H42="",0,IF(AND(H42&gt;0,H42&lt;=20),2,IF(AND(H42&gt;0,H42&lt;=30),1,0)))+IF(J42="",0,IF(AND(J42&gt;0,J42&lt;=20),2,IF(AND(J42&gt;0,J42&lt;=30),1,0))))</f>
        <v/>
      </c>
      <c r="AB42" s="16" t="str">
        <f aca="false">IF(C42="","",IF(OR(N(T42)&gt;=0.01,N(S42)&gt;=0.02),1,0))</f>
        <v/>
      </c>
      <c r="AC42" s="16" t="str">
        <f aca="false">IF(C42="","",MIN(2,N(U42))+MIN(2,N(V42)))</f>
        <v/>
      </c>
      <c r="AD42" s="50" t="str">
        <f aca="false">IFERROR(IF(OR(W42="",F42="",N(F42)=0),"",W42/F42-1),"")</f>
        <v/>
      </c>
      <c r="AE42" s="16" t="str">
        <f aca="false">IF(C42="","",IF(AD42="",0,IF(AD42&gt;=0.25,2,IF(AD42&gt;=0.1,1,0))))</f>
        <v/>
      </c>
      <c r="AF42" s="23" t="str">
        <f aca="false">IF(C42="","",X42+Y42+Z42+AA42+AB42+AC42+AE42)</f>
        <v/>
      </c>
      <c r="AG42" s="24" t="str">
        <f aca="false">IF(C42="","",IF(AF42&gt;=18,"A",IF(AF42&gt;=13,"B","C")))</f>
        <v/>
      </c>
      <c r="AH42" s="14" t="str">
        <f aca="false">IF(C42="","",IF(OR(AI42="Sold",AI42="Rejected"),"Closed",IF(AI42="Owned",IF(AND(ISNUMBER(W42),ISNUMBER(AL42),AL42&gt;W42*1.2),"REVIEW — price 20%+ above fair value",IF(AF42&lt;13,"REVIEW — quality score fell below 13","HOLD — re-check thesis yearly")),IF(AG42="A","Full LRC Stock Analysis",IF(AG42="B","Watch — re-check next month","Reject")))))</f>
        <v/>
      </c>
      <c r="AI42" s="35"/>
      <c r="AJ42" s="35"/>
      <c r="AK42" s="19"/>
      <c r="AL42" s="26"/>
      <c r="AM42" s="41" t="str">
        <f aca="false">IFERROR(IF(OR(AL42="",F42="",N(F42)=0),"",AL42/F42-1),"")</f>
        <v/>
      </c>
      <c r="AN42" s="35"/>
      <c r="AP42" s="43" t="str">
        <f aca="false">IF(AND(C42&lt;&gt;"",A42=$C$4,ISNUMBER(AF42)),AF42+ROW()/100000,"")</f>
        <v/>
      </c>
    </row>
    <row r="43" customFormat="false" ht="15" hidden="false" customHeight="false" outlineLevel="0" collapsed="false">
      <c r="A43" s="19"/>
      <c r="B43" s="35"/>
      <c r="C43" s="35"/>
      <c r="D43" s="35"/>
      <c r="E43" s="35"/>
      <c r="F43" s="26"/>
      <c r="G43" s="26"/>
      <c r="H43" s="49"/>
      <c r="I43" s="38"/>
      <c r="J43" s="49"/>
      <c r="K43" s="21"/>
      <c r="L43" s="21"/>
      <c r="M43" s="21"/>
      <c r="N43" s="21"/>
      <c r="O43" s="38"/>
      <c r="P43" s="38"/>
      <c r="Q43" s="21"/>
      <c r="R43" s="21"/>
      <c r="S43" s="21"/>
      <c r="T43" s="21"/>
      <c r="U43" s="25"/>
      <c r="V43" s="25"/>
      <c r="W43" s="26"/>
      <c r="X43" s="16" t="str">
        <f aca="false">IF(C43="","",IF(K43="",0,IF(K43&gt;=0.15,2,IF(K43&gt;=0.1,1,0)))+IF(L43="",0,IF(L43&gt;=0.12,2,IF(L43&gt;=0.08,1,0)))+(AND(N43&lt;&gt;"",N(N43)&gt;=0.15))+(AND(M43&lt;&gt;"",N(M43)&gt;=0.4)))</f>
        <v/>
      </c>
      <c r="Y43" s="16" t="str">
        <f aca="false">IF(C43="","",IF(Q43="",0,IF(Q43&gt;=0.1,2,IF(Q43&gt;=0.05,1,0)))+IF(R43="",0,IF(R43&gt;=0.08,2,IF(R43&gt;=0.04,1,0))))</f>
        <v/>
      </c>
      <c r="Z43" s="16" t="str">
        <f aca="false">IF(C43="","",IF(O43="",0,IF(O43&lt;=0.5,2,IF(O43&lt;=1,1,0)))+(AND(P43&lt;&gt;"",N(P43)&gt;=1.2)))</f>
        <v/>
      </c>
      <c r="AA43" s="16" t="str">
        <f aca="false">IF(C43="","",IF(H43="",0,IF(AND(H43&gt;0,H43&lt;=20),2,IF(AND(H43&gt;0,H43&lt;=30),1,0)))+IF(J43="",0,IF(AND(J43&gt;0,J43&lt;=20),2,IF(AND(J43&gt;0,J43&lt;=30),1,0))))</f>
        <v/>
      </c>
      <c r="AB43" s="16" t="str">
        <f aca="false">IF(C43="","",IF(OR(N(T43)&gt;=0.01,N(S43)&gt;=0.02),1,0))</f>
        <v/>
      </c>
      <c r="AC43" s="16" t="str">
        <f aca="false">IF(C43="","",MIN(2,N(U43))+MIN(2,N(V43)))</f>
        <v/>
      </c>
      <c r="AD43" s="50" t="str">
        <f aca="false">IFERROR(IF(OR(W43="",F43="",N(F43)=0),"",W43/F43-1),"")</f>
        <v/>
      </c>
      <c r="AE43" s="16" t="str">
        <f aca="false">IF(C43="","",IF(AD43="",0,IF(AD43&gt;=0.25,2,IF(AD43&gt;=0.1,1,0))))</f>
        <v/>
      </c>
      <c r="AF43" s="23" t="str">
        <f aca="false">IF(C43="","",X43+Y43+Z43+AA43+AB43+AC43+AE43)</f>
        <v/>
      </c>
      <c r="AG43" s="24" t="str">
        <f aca="false">IF(C43="","",IF(AF43&gt;=18,"A",IF(AF43&gt;=13,"B","C")))</f>
        <v/>
      </c>
      <c r="AH43" s="14" t="str">
        <f aca="false">IF(C43="","",IF(OR(AI43="Sold",AI43="Rejected"),"Closed",IF(AI43="Owned",IF(AND(ISNUMBER(W43),ISNUMBER(AL43),AL43&gt;W43*1.2),"REVIEW — price 20%+ above fair value",IF(AF43&lt;13,"REVIEW — quality score fell below 13","HOLD — re-check thesis yearly")),IF(AG43="A","Full LRC Stock Analysis",IF(AG43="B","Watch — re-check next month","Reject")))))</f>
        <v/>
      </c>
      <c r="AI43" s="35"/>
      <c r="AJ43" s="35"/>
      <c r="AK43" s="19"/>
      <c r="AL43" s="26"/>
      <c r="AM43" s="41" t="str">
        <f aca="false">IFERROR(IF(OR(AL43="",F43="",N(F43)=0),"",AL43/F43-1),"")</f>
        <v/>
      </c>
      <c r="AN43" s="35"/>
      <c r="AP43" s="43" t="str">
        <f aca="false">IF(AND(C43&lt;&gt;"",A43=$C$4,ISNUMBER(AF43)),AF43+ROW()/100000,"")</f>
        <v/>
      </c>
    </row>
    <row r="44" customFormat="false" ht="15" hidden="false" customHeight="false" outlineLevel="0" collapsed="false">
      <c r="A44" s="19"/>
      <c r="B44" s="35"/>
      <c r="C44" s="35"/>
      <c r="D44" s="35"/>
      <c r="E44" s="35"/>
      <c r="F44" s="26"/>
      <c r="G44" s="26"/>
      <c r="H44" s="49"/>
      <c r="I44" s="38"/>
      <c r="J44" s="49"/>
      <c r="K44" s="21"/>
      <c r="L44" s="21"/>
      <c r="M44" s="21"/>
      <c r="N44" s="21"/>
      <c r="O44" s="38"/>
      <c r="P44" s="38"/>
      <c r="Q44" s="21"/>
      <c r="R44" s="21"/>
      <c r="S44" s="21"/>
      <c r="T44" s="21"/>
      <c r="U44" s="25"/>
      <c r="V44" s="25"/>
      <c r="W44" s="26"/>
      <c r="X44" s="16" t="str">
        <f aca="false">IF(C44="","",IF(K44="",0,IF(K44&gt;=0.15,2,IF(K44&gt;=0.1,1,0)))+IF(L44="",0,IF(L44&gt;=0.12,2,IF(L44&gt;=0.08,1,0)))+(AND(N44&lt;&gt;"",N(N44)&gt;=0.15))+(AND(M44&lt;&gt;"",N(M44)&gt;=0.4)))</f>
        <v/>
      </c>
      <c r="Y44" s="16" t="str">
        <f aca="false">IF(C44="","",IF(Q44="",0,IF(Q44&gt;=0.1,2,IF(Q44&gt;=0.05,1,0)))+IF(R44="",0,IF(R44&gt;=0.08,2,IF(R44&gt;=0.04,1,0))))</f>
        <v/>
      </c>
      <c r="Z44" s="16" t="str">
        <f aca="false">IF(C44="","",IF(O44="",0,IF(O44&lt;=0.5,2,IF(O44&lt;=1,1,0)))+(AND(P44&lt;&gt;"",N(P44)&gt;=1.2)))</f>
        <v/>
      </c>
      <c r="AA44" s="16" t="str">
        <f aca="false">IF(C44="","",IF(H44="",0,IF(AND(H44&gt;0,H44&lt;=20),2,IF(AND(H44&gt;0,H44&lt;=30),1,0)))+IF(J44="",0,IF(AND(J44&gt;0,J44&lt;=20),2,IF(AND(J44&gt;0,J44&lt;=30),1,0))))</f>
        <v/>
      </c>
      <c r="AB44" s="16" t="str">
        <f aca="false">IF(C44="","",IF(OR(N(T44)&gt;=0.01,N(S44)&gt;=0.02),1,0))</f>
        <v/>
      </c>
      <c r="AC44" s="16" t="str">
        <f aca="false">IF(C44="","",MIN(2,N(U44))+MIN(2,N(V44)))</f>
        <v/>
      </c>
      <c r="AD44" s="50" t="str">
        <f aca="false">IFERROR(IF(OR(W44="",F44="",N(F44)=0),"",W44/F44-1),"")</f>
        <v/>
      </c>
      <c r="AE44" s="16" t="str">
        <f aca="false">IF(C44="","",IF(AD44="",0,IF(AD44&gt;=0.25,2,IF(AD44&gt;=0.1,1,0))))</f>
        <v/>
      </c>
      <c r="AF44" s="23" t="str">
        <f aca="false">IF(C44="","",X44+Y44+Z44+AA44+AB44+AC44+AE44)</f>
        <v/>
      </c>
      <c r="AG44" s="24" t="str">
        <f aca="false">IF(C44="","",IF(AF44&gt;=18,"A",IF(AF44&gt;=13,"B","C")))</f>
        <v/>
      </c>
      <c r="AH44" s="14" t="str">
        <f aca="false">IF(C44="","",IF(OR(AI44="Sold",AI44="Rejected"),"Closed",IF(AI44="Owned",IF(AND(ISNUMBER(W44),ISNUMBER(AL44),AL44&gt;W44*1.2),"REVIEW — price 20%+ above fair value",IF(AF44&lt;13,"REVIEW — quality score fell below 13","HOLD — re-check thesis yearly")),IF(AG44="A","Full LRC Stock Analysis",IF(AG44="B","Watch — re-check next month","Reject")))))</f>
        <v/>
      </c>
      <c r="AI44" s="35"/>
      <c r="AJ44" s="35"/>
      <c r="AK44" s="19"/>
      <c r="AL44" s="26"/>
      <c r="AM44" s="41" t="str">
        <f aca="false">IFERROR(IF(OR(AL44="",F44="",N(F44)=0),"",AL44/F44-1),"")</f>
        <v/>
      </c>
      <c r="AN44" s="35"/>
      <c r="AP44" s="43" t="str">
        <f aca="false">IF(AND(C44&lt;&gt;"",A44=$C$4,ISNUMBER(AF44)),AF44+ROW()/100000,"")</f>
        <v/>
      </c>
    </row>
    <row r="45" customFormat="false" ht="15" hidden="false" customHeight="false" outlineLevel="0" collapsed="false">
      <c r="A45" s="19"/>
      <c r="B45" s="35"/>
      <c r="C45" s="35"/>
      <c r="D45" s="35"/>
      <c r="E45" s="35"/>
      <c r="F45" s="26"/>
      <c r="G45" s="26"/>
      <c r="H45" s="49"/>
      <c r="I45" s="38"/>
      <c r="J45" s="49"/>
      <c r="K45" s="21"/>
      <c r="L45" s="21"/>
      <c r="M45" s="21"/>
      <c r="N45" s="21"/>
      <c r="O45" s="38"/>
      <c r="P45" s="38"/>
      <c r="Q45" s="21"/>
      <c r="R45" s="21"/>
      <c r="S45" s="21"/>
      <c r="T45" s="21"/>
      <c r="U45" s="25"/>
      <c r="V45" s="25"/>
      <c r="W45" s="26"/>
      <c r="X45" s="16" t="str">
        <f aca="false">IF(C45="","",IF(K45="",0,IF(K45&gt;=0.15,2,IF(K45&gt;=0.1,1,0)))+IF(L45="",0,IF(L45&gt;=0.12,2,IF(L45&gt;=0.08,1,0)))+(AND(N45&lt;&gt;"",N(N45)&gt;=0.15))+(AND(M45&lt;&gt;"",N(M45)&gt;=0.4)))</f>
        <v/>
      </c>
      <c r="Y45" s="16" t="str">
        <f aca="false">IF(C45="","",IF(Q45="",0,IF(Q45&gt;=0.1,2,IF(Q45&gt;=0.05,1,0)))+IF(R45="",0,IF(R45&gt;=0.08,2,IF(R45&gt;=0.04,1,0))))</f>
        <v/>
      </c>
      <c r="Z45" s="16" t="str">
        <f aca="false">IF(C45="","",IF(O45="",0,IF(O45&lt;=0.5,2,IF(O45&lt;=1,1,0)))+(AND(P45&lt;&gt;"",N(P45)&gt;=1.2)))</f>
        <v/>
      </c>
      <c r="AA45" s="16" t="str">
        <f aca="false">IF(C45="","",IF(H45="",0,IF(AND(H45&gt;0,H45&lt;=20),2,IF(AND(H45&gt;0,H45&lt;=30),1,0)))+IF(J45="",0,IF(AND(J45&gt;0,J45&lt;=20),2,IF(AND(J45&gt;0,J45&lt;=30),1,0))))</f>
        <v/>
      </c>
      <c r="AB45" s="16" t="str">
        <f aca="false">IF(C45="","",IF(OR(N(T45)&gt;=0.01,N(S45)&gt;=0.02),1,0))</f>
        <v/>
      </c>
      <c r="AC45" s="16" t="str">
        <f aca="false">IF(C45="","",MIN(2,N(U45))+MIN(2,N(V45)))</f>
        <v/>
      </c>
      <c r="AD45" s="50" t="str">
        <f aca="false">IFERROR(IF(OR(W45="",F45="",N(F45)=0),"",W45/F45-1),"")</f>
        <v/>
      </c>
      <c r="AE45" s="16" t="str">
        <f aca="false">IF(C45="","",IF(AD45="",0,IF(AD45&gt;=0.25,2,IF(AD45&gt;=0.1,1,0))))</f>
        <v/>
      </c>
      <c r="AF45" s="23" t="str">
        <f aca="false">IF(C45="","",X45+Y45+Z45+AA45+AB45+AC45+AE45)</f>
        <v/>
      </c>
      <c r="AG45" s="24" t="str">
        <f aca="false">IF(C45="","",IF(AF45&gt;=18,"A",IF(AF45&gt;=13,"B","C")))</f>
        <v/>
      </c>
      <c r="AH45" s="14" t="str">
        <f aca="false">IF(C45="","",IF(OR(AI45="Sold",AI45="Rejected"),"Closed",IF(AI45="Owned",IF(AND(ISNUMBER(W45),ISNUMBER(AL45),AL45&gt;W45*1.2),"REVIEW — price 20%+ above fair value",IF(AF45&lt;13,"REVIEW — quality score fell below 13","HOLD — re-check thesis yearly")),IF(AG45="A","Full LRC Stock Analysis",IF(AG45="B","Watch — re-check next month","Reject")))))</f>
        <v/>
      </c>
      <c r="AI45" s="35"/>
      <c r="AJ45" s="35"/>
      <c r="AK45" s="19"/>
      <c r="AL45" s="26"/>
      <c r="AM45" s="41" t="str">
        <f aca="false">IFERROR(IF(OR(AL45="",F45="",N(F45)=0),"",AL45/F45-1),"")</f>
        <v/>
      </c>
      <c r="AN45" s="35"/>
      <c r="AP45" s="43" t="str">
        <f aca="false">IF(AND(C45&lt;&gt;"",A45=$C$4,ISNUMBER(AF45)),AF45+ROW()/100000,"")</f>
        <v/>
      </c>
    </row>
    <row r="46" customFormat="false" ht="15" hidden="false" customHeight="false" outlineLevel="0" collapsed="false">
      <c r="A46" s="19"/>
      <c r="B46" s="35"/>
      <c r="C46" s="35"/>
      <c r="D46" s="35"/>
      <c r="E46" s="35"/>
      <c r="F46" s="26"/>
      <c r="G46" s="26"/>
      <c r="H46" s="49"/>
      <c r="I46" s="38"/>
      <c r="J46" s="49"/>
      <c r="K46" s="21"/>
      <c r="L46" s="21"/>
      <c r="M46" s="21"/>
      <c r="N46" s="21"/>
      <c r="O46" s="38"/>
      <c r="P46" s="38"/>
      <c r="Q46" s="21"/>
      <c r="R46" s="21"/>
      <c r="S46" s="21"/>
      <c r="T46" s="21"/>
      <c r="U46" s="25"/>
      <c r="V46" s="25"/>
      <c r="W46" s="26"/>
      <c r="X46" s="16" t="str">
        <f aca="false">IF(C46="","",IF(K46="",0,IF(K46&gt;=0.15,2,IF(K46&gt;=0.1,1,0)))+IF(L46="",0,IF(L46&gt;=0.12,2,IF(L46&gt;=0.08,1,0)))+(AND(N46&lt;&gt;"",N(N46)&gt;=0.15))+(AND(M46&lt;&gt;"",N(M46)&gt;=0.4)))</f>
        <v/>
      </c>
      <c r="Y46" s="16" t="str">
        <f aca="false">IF(C46="","",IF(Q46="",0,IF(Q46&gt;=0.1,2,IF(Q46&gt;=0.05,1,0)))+IF(R46="",0,IF(R46&gt;=0.08,2,IF(R46&gt;=0.04,1,0))))</f>
        <v/>
      </c>
      <c r="Z46" s="16" t="str">
        <f aca="false">IF(C46="","",IF(O46="",0,IF(O46&lt;=0.5,2,IF(O46&lt;=1,1,0)))+(AND(P46&lt;&gt;"",N(P46)&gt;=1.2)))</f>
        <v/>
      </c>
      <c r="AA46" s="16" t="str">
        <f aca="false">IF(C46="","",IF(H46="",0,IF(AND(H46&gt;0,H46&lt;=20),2,IF(AND(H46&gt;0,H46&lt;=30),1,0)))+IF(J46="",0,IF(AND(J46&gt;0,J46&lt;=20),2,IF(AND(J46&gt;0,J46&lt;=30),1,0))))</f>
        <v/>
      </c>
      <c r="AB46" s="16" t="str">
        <f aca="false">IF(C46="","",IF(OR(N(T46)&gt;=0.01,N(S46)&gt;=0.02),1,0))</f>
        <v/>
      </c>
      <c r="AC46" s="16" t="str">
        <f aca="false">IF(C46="","",MIN(2,N(U46))+MIN(2,N(V46)))</f>
        <v/>
      </c>
      <c r="AD46" s="50" t="str">
        <f aca="false">IFERROR(IF(OR(W46="",F46="",N(F46)=0),"",W46/F46-1),"")</f>
        <v/>
      </c>
      <c r="AE46" s="16" t="str">
        <f aca="false">IF(C46="","",IF(AD46="",0,IF(AD46&gt;=0.25,2,IF(AD46&gt;=0.1,1,0))))</f>
        <v/>
      </c>
      <c r="AF46" s="23" t="str">
        <f aca="false">IF(C46="","",X46+Y46+Z46+AA46+AB46+AC46+AE46)</f>
        <v/>
      </c>
      <c r="AG46" s="24" t="str">
        <f aca="false">IF(C46="","",IF(AF46&gt;=18,"A",IF(AF46&gt;=13,"B","C")))</f>
        <v/>
      </c>
      <c r="AH46" s="14" t="str">
        <f aca="false">IF(C46="","",IF(OR(AI46="Sold",AI46="Rejected"),"Closed",IF(AI46="Owned",IF(AND(ISNUMBER(W46),ISNUMBER(AL46),AL46&gt;W46*1.2),"REVIEW — price 20%+ above fair value",IF(AF46&lt;13,"REVIEW — quality score fell below 13","HOLD — re-check thesis yearly")),IF(AG46="A","Full LRC Stock Analysis",IF(AG46="B","Watch — re-check next month","Reject")))))</f>
        <v/>
      </c>
      <c r="AI46" s="35"/>
      <c r="AJ46" s="35"/>
      <c r="AK46" s="19"/>
      <c r="AL46" s="26"/>
      <c r="AM46" s="41" t="str">
        <f aca="false">IFERROR(IF(OR(AL46="",F46="",N(F46)=0),"",AL46/F46-1),"")</f>
        <v/>
      </c>
      <c r="AN46" s="35"/>
      <c r="AP46" s="43" t="str">
        <f aca="false">IF(AND(C46&lt;&gt;"",A46=$C$4,ISNUMBER(AF46)),AF46+ROW()/100000,"")</f>
        <v/>
      </c>
    </row>
    <row r="47" customFormat="false" ht="15" hidden="false" customHeight="false" outlineLevel="0" collapsed="false">
      <c r="A47" s="19"/>
      <c r="B47" s="35"/>
      <c r="C47" s="35"/>
      <c r="D47" s="35"/>
      <c r="E47" s="35"/>
      <c r="F47" s="26"/>
      <c r="G47" s="26"/>
      <c r="H47" s="49"/>
      <c r="I47" s="38"/>
      <c r="J47" s="49"/>
      <c r="K47" s="21"/>
      <c r="L47" s="21"/>
      <c r="M47" s="21"/>
      <c r="N47" s="21"/>
      <c r="O47" s="38"/>
      <c r="P47" s="38"/>
      <c r="Q47" s="21"/>
      <c r="R47" s="21"/>
      <c r="S47" s="21"/>
      <c r="T47" s="21"/>
      <c r="U47" s="25"/>
      <c r="V47" s="25"/>
      <c r="W47" s="26"/>
      <c r="X47" s="16" t="str">
        <f aca="false">IF(C47="","",IF(K47="",0,IF(K47&gt;=0.15,2,IF(K47&gt;=0.1,1,0)))+IF(L47="",0,IF(L47&gt;=0.12,2,IF(L47&gt;=0.08,1,0)))+(AND(N47&lt;&gt;"",N(N47)&gt;=0.15))+(AND(M47&lt;&gt;"",N(M47)&gt;=0.4)))</f>
        <v/>
      </c>
      <c r="Y47" s="16" t="str">
        <f aca="false">IF(C47="","",IF(Q47="",0,IF(Q47&gt;=0.1,2,IF(Q47&gt;=0.05,1,0)))+IF(R47="",0,IF(R47&gt;=0.08,2,IF(R47&gt;=0.04,1,0))))</f>
        <v/>
      </c>
      <c r="Z47" s="16" t="str">
        <f aca="false">IF(C47="","",IF(O47="",0,IF(O47&lt;=0.5,2,IF(O47&lt;=1,1,0)))+(AND(P47&lt;&gt;"",N(P47)&gt;=1.2)))</f>
        <v/>
      </c>
      <c r="AA47" s="16" t="str">
        <f aca="false">IF(C47="","",IF(H47="",0,IF(AND(H47&gt;0,H47&lt;=20),2,IF(AND(H47&gt;0,H47&lt;=30),1,0)))+IF(J47="",0,IF(AND(J47&gt;0,J47&lt;=20),2,IF(AND(J47&gt;0,J47&lt;=30),1,0))))</f>
        <v/>
      </c>
      <c r="AB47" s="16" t="str">
        <f aca="false">IF(C47="","",IF(OR(N(T47)&gt;=0.01,N(S47)&gt;=0.02),1,0))</f>
        <v/>
      </c>
      <c r="AC47" s="16" t="str">
        <f aca="false">IF(C47="","",MIN(2,N(U47))+MIN(2,N(V47)))</f>
        <v/>
      </c>
      <c r="AD47" s="50" t="str">
        <f aca="false">IFERROR(IF(OR(W47="",F47="",N(F47)=0),"",W47/F47-1),"")</f>
        <v/>
      </c>
      <c r="AE47" s="16" t="str">
        <f aca="false">IF(C47="","",IF(AD47="",0,IF(AD47&gt;=0.25,2,IF(AD47&gt;=0.1,1,0))))</f>
        <v/>
      </c>
      <c r="AF47" s="23" t="str">
        <f aca="false">IF(C47="","",X47+Y47+Z47+AA47+AB47+AC47+AE47)</f>
        <v/>
      </c>
      <c r="AG47" s="24" t="str">
        <f aca="false">IF(C47="","",IF(AF47&gt;=18,"A",IF(AF47&gt;=13,"B","C")))</f>
        <v/>
      </c>
      <c r="AH47" s="14" t="str">
        <f aca="false">IF(C47="","",IF(OR(AI47="Sold",AI47="Rejected"),"Closed",IF(AI47="Owned",IF(AND(ISNUMBER(W47),ISNUMBER(AL47),AL47&gt;W47*1.2),"REVIEW — price 20%+ above fair value",IF(AF47&lt;13,"REVIEW — quality score fell below 13","HOLD — re-check thesis yearly")),IF(AG47="A","Full LRC Stock Analysis",IF(AG47="B","Watch — re-check next month","Reject")))))</f>
        <v/>
      </c>
      <c r="AI47" s="35"/>
      <c r="AJ47" s="35"/>
      <c r="AK47" s="19"/>
      <c r="AL47" s="26"/>
      <c r="AM47" s="41" t="str">
        <f aca="false">IFERROR(IF(OR(AL47="",F47="",N(F47)=0),"",AL47/F47-1),"")</f>
        <v/>
      </c>
      <c r="AN47" s="35"/>
      <c r="AP47" s="43" t="str">
        <f aca="false">IF(AND(C47&lt;&gt;"",A47=$C$4,ISNUMBER(AF47)),AF47+ROW()/100000,"")</f>
        <v/>
      </c>
    </row>
    <row r="48" customFormat="false" ht="15" hidden="false" customHeight="false" outlineLevel="0" collapsed="false">
      <c r="A48" s="19"/>
      <c r="B48" s="35"/>
      <c r="C48" s="35"/>
      <c r="D48" s="35"/>
      <c r="E48" s="35"/>
      <c r="F48" s="26"/>
      <c r="G48" s="26"/>
      <c r="H48" s="49"/>
      <c r="I48" s="38"/>
      <c r="J48" s="49"/>
      <c r="K48" s="21"/>
      <c r="L48" s="21"/>
      <c r="M48" s="21"/>
      <c r="N48" s="21"/>
      <c r="O48" s="38"/>
      <c r="P48" s="38"/>
      <c r="Q48" s="21"/>
      <c r="R48" s="21"/>
      <c r="S48" s="21"/>
      <c r="T48" s="21"/>
      <c r="U48" s="25"/>
      <c r="V48" s="25"/>
      <c r="W48" s="26"/>
      <c r="X48" s="16" t="str">
        <f aca="false">IF(C48="","",IF(K48="",0,IF(K48&gt;=0.15,2,IF(K48&gt;=0.1,1,0)))+IF(L48="",0,IF(L48&gt;=0.12,2,IF(L48&gt;=0.08,1,0)))+(AND(N48&lt;&gt;"",N(N48)&gt;=0.15))+(AND(M48&lt;&gt;"",N(M48)&gt;=0.4)))</f>
        <v/>
      </c>
      <c r="Y48" s="16" t="str">
        <f aca="false">IF(C48="","",IF(Q48="",0,IF(Q48&gt;=0.1,2,IF(Q48&gt;=0.05,1,0)))+IF(R48="",0,IF(R48&gt;=0.08,2,IF(R48&gt;=0.04,1,0))))</f>
        <v/>
      </c>
      <c r="Z48" s="16" t="str">
        <f aca="false">IF(C48="","",IF(O48="",0,IF(O48&lt;=0.5,2,IF(O48&lt;=1,1,0)))+(AND(P48&lt;&gt;"",N(P48)&gt;=1.2)))</f>
        <v/>
      </c>
      <c r="AA48" s="16" t="str">
        <f aca="false">IF(C48="","",IF(H48="",0,IF(AND(H48&gt;0,H48&lt;=20),2,IF(AND(H48&gt;0,H48&lt;=30),1,0)))+IF(J48="",0,IF(AND(J48&gt;0,J48&lt;=20),2,IF(AND(J48&gt;0,J48&lt;=30),1,0))))</f>
        <v/>
      </c>
      <c r="AB48" s="16" t="str">
        <f aca="false">IF(C48="","",IF(OR(N(T48)&gt;=0.01,N(S48)&gt;=0.02),1,0))</f>
        <v/>
      </c>
      <c r="AC48" s="16" t="str">
        <f aca="false">IF(C48="","",MIN(2,N(U48))+MIN(2,N(V48)))</f>
        <v/>
      </c>
      <c r="AD48" s="50" t="str">
        <f aca="false">IFERROR(IF(OR(W48="",F48="",N(F48)=0),"",W48/F48-1),"")</f>
        <v/>
      </c>
      <c r="AE48" s="16" t="str">
        <f aca="false">IF(C48="","",IF(AD48="",0,IF(AD48&gt;=0.25,2,IF(AD48&gt;=0.1,1,0))))</f>
        <v/>
      </c>
      <c r="AF48" s="23" t="str">
        <f aca="false">IF(C48="","",X48+Y48+Z48+AA48+AB48+AC48+AE48)</f>
        <v/>
      </c>
      <c r="AG48" s="24" t="str">
        <f aca="false">IF(C48="","",IF(AF48&gt;=18,"A",IF(AF48&gt;=13,"B","C")))</f>
        <v/>
      </c>
      <c r="AH48" s="14" t="str">
        <f aca="false">IF(C48="","",IF(OR(AI48="Sold",AI48="Rejected"),"Closed",IF(AI48="Owned",IF(AND(ISNUMBER(W48),ISNUMBER(AL48),AL48&gt;W48*1.2),"REVIEW — price 20%+ above fair value",IF(AF48&lt;13,"REVIEW — quality score fell below 13","HOLD — re-check thesis yearly")),IF(AG48="A","Full LRC Stock Analysis",IF(AG48="B","Watch — re-check next month","Reject")))))</f>
        <v/>
      </c>
      <c r="AI48" s="35"/>
      <c r="AJ48" s="35"/>
      <c r="AK48" s="19"/>
      <c r="AL48" s="26"/>
      <c r="AM48" s="41" t="str">
        <f aca="false">IFERROR(IF(OR(AL48="",F48="",N(F48)=0),"",AL48/F48-1),"")</f>
        <v/>
      </c>
      <c r="AN48" s="35"/>
      <c r="AP48" s="43" t="str">
        <f aca="false">IF(AND(C48&lt;&gt;"",A48=$C$4,ISNUMBER(AF48)),AF48+ROW()/100000,"")</f>
        <v/>
      </c>
    </row>
    <row r="49" customFormat="false" ht="15" hidden="false" customHeight="false" outlineLevel="0" collapsed="false">
      <c r="A49" s="19"/>
      <c r="B49" s="35"/>
      <c r="C49" s="35"/>
      <c r="D49" s="35"/>
      <c r="E49" s="35"/>
      <c r="F49" s="26"/>
      <c r="G49" s="26"/>
      <c r="H49" s="49"/>
      <c r="I49" s="38"/>
      <c r="J49" s="49"/>
      <c r="K49" s="21"/>
      <c r="L49" s="21"/>
      <c r="M49" s="21"/>
      <c r="N49" s="21"/>
      <c r="O49" s="38"/>
      <c r="P49" s="38"/>
      <c r="Q49" s="21"/>
      <c r="R49" s="21"/>
      <c r="S49" s="21"/>
      <c r="T49" s="21"/>
      <c r="U49" s="25"/>
      <c r="V49" s="25"/>
      <c r="W49" s="26"/>
      <c r="X49" s="16" t="str">
        <f aca="false">IF(C49="","",IF(K49="",0,IF(K49&gt;=0.15,2,IF(K49&gt;=0.1,1,0)))+IF(L49="",0,IF(L49&gt;=0.12,2,IF(L49&gt;=0.08,1,0)))+(AND(N49&lt;&gt;"",N(N49)&gt;=0.15))+(AND(M49&lt;&gt;"",N(M49)&gt;=0.4)))</f>
        <v/>
      </c>
      <c r="Y49" s="16" t="str">
        <f aca="false">IF(C49="","",IF(Q49="",0,IF(Q49&gt;=0.1,2,IF(Q49&gt;=0.05,1,0)))+IF(R49="",0,IF(R49&gt;=0.08,2,IF(R49&gt;=0.04,1,0))))</f>
        <v/>
      </c>
      <c r="Z49" s="16" t="str">
        <f aca="false">IF(C49="","",IF(O49="",0,IF(O49&lt;=0.5,2,IF(O49&lt;=1,1,0)))+(AND(P49&lt;&gt;"",N(P49)&gt;=1.2)))</f>
        <v/>
      </c>
      <c r="AA49" s="16" t="str">
        <f aca="false">IF(C49="","",IF(H49="",0,IF(AND(H49&gt;0,H49&lt;=20),2,IF(AND(H49&gt;0,H49&lt;=30),1,0)))+IF(J49="",0,IF(AND(J49&gt;0,J49&lt;=20),2,IF(AND(J49&gt;0,J49&lt;=30),1,0))))</f>
        <v/>
      </c>
      <c r="AB49" s="16" t="str">
        <f aca="false">IF(C49="","",IF(OR(N(T49)&gt;=0.01,N(S49)&gt;=0.02),1,0))</f>
        <v/>
      </c>
      <c r="AC49" s="16" t="str">
        <f aca="false">IF(C49="","",MIN(2,N(U49))+MIN(2,N(V49)))</f>
        <v/>
      </c>
      <c r="AD49" s="50" t="str">
        <f aca="false">IFERROR(IF(OR(W49="",F49="",N(F49)=0),"",W49/F49-1),"")</f>
        <v/>
      </c>
      <c r="AE49" s="16" t="str">
        <f aca="false">IF(C49="","",IF(AD49="",0,IF(AD49&gt;=0.25,2,IF(AD49&gt;=0.1,1,0))))</f>
        <v/>
      </c>
      <c r="AF49" s="23" t="str">
        <f aca="false">IF(C49="","",X49+Y49+Z49+AA49+AB49+AC49+AE49)</f>
        <v/>
      </c>
      <c r="AG49" s="24" t="str">
        <f aca="false">IF(C49="","",IF(AF49&gt;=18,"A",IF(AF49&gt;=13,"B","C")))</f>
        <v/>
      </c>
      <c r="AH49" s="14" t="str">
        <f aca="false">IF(C49="","",IF(OR(AI49="Sold",AI49="Rejected"),"Closed",IF(AI49="Owned",IF(AND(ISNUMBER(W49),ISNUMBER(AL49),AL49&gt;W49*1.2),"REVIEW — price 20%+ above fair value",IF(AF49&lt;13,"REVIEW — quality score fell below 13","HOLD — re-check thesis yearly")),IF(AG49="A","Full LRC Stock Analysis",IF(AG49="B","Watch — re-check next month","Reject")))))</f>
        <v/>
      </c>
      <c r="AI49" s="35"/>
      <c r="AJ49" s="35"/>
      <c r="AK49" s="19"/>
      <c r="AL49" s="26"/>
      <c r="AM49" s="41" t="str">
        <f aca="false">IFERROR(IF(OR(AL49="",F49="",N(F49)=0),"",AL49/F49-1),"")</f>
        <v/>
      </c>
      <c r="AN49" s="35"/>
      <c r="AP49" s="43" t="str">
        <f aca="false">IF(AND(C49&lt;&gt;"",A49=$C$4,ISNUMBER(AF49)),AF49+ROW()/100000,"")</f>
        <v/>
      </c>
    </row>
    <row r="50" customFormat="false" ht="15" hidden="false" customHeight="false" outlineLevel="0" collapsed="false">
      <c r="A50" s="19"/>
      <c r="B50" s="35"/>
      <c r="C50" s="35"/>
      <c r="D50" s="35"/>
      <c r="E50" s="35"/>
      <c r="F50" s="26"/>
      <c r="G50" s="26"/>
      <c r="H50" s="49"/>
      <c r="I50" s="38"/>
      <c r="J50" s="49"/>
      <c r="K50" s="21"/>
      <c r="L50" s="21"/>
      <c r="M50" s="21"/>
      <c r="N50" s="21"/>
      <c r="O50" s="38"/>
      <c r="P50" s="38"/>
      <c r="Q50" s="21"/>
      <c r="R50" s="21"/>
      <c r="S50" s="21"/>
      <c r="T50" s="21"/>
      <c r="U50" s="25"/>
      <c r="V50" s="25"/>
      <c r="W50" s="26"/>
      <c r="X50" s="16" t="str">
        <f aca="false">IF(C50="","",IF(K50="",0,IF(K50&gt;=0.15,2,IF(K50&gt;=0.1,1,0)))+IF(L50="",0,IF(L50&gt;=0.12,2,IF(L50&gt;=0.08,1,0)))+(AND(N50&lt;&gt;"",N(N50)&gt;=0.15))+(AND(M50&lt;&gt;"",N(M50)&gt;=0.4)))</f>
        <v/>
      </c>
      <c r="Y50" s="16" t="str">
        <f aca="false">IF(C50="","",IF(Q50="",0,IF(Q50&gt;=0.1,2,IF(Q50&gt;=0.05,1,0)))+IF(R50="",0,IF(R50&gt;=0.08,2,IF(R50&gt;=0.04,1,0))))</f>
        <v/>
      </c>
      <c r="Z50" s="16" t="str">
        <f aca="false">IF(C50="","",IF(O50="",0,IF(O50&lt;=0.5,2,IF(O50&lt;=1,1,0)))+(AND(P50&lt;&gt;"",N(P50)&gt;=1.2)))</f>
        <v/>
      </c>
      <c r="AA50" s="16" t="str">
        <f aca="false">IF(C50="","",IF(H50="",0,IF(AND(H50&gt;0,H50&lt;=20),2,IF(AND(H50&gt;0,H50&lt;=30),1,0)))+IF(J50="",0,IF(AND(J50&gt;0,J50&lt;=20),2,IF(AND(J50&gt;0,J50&lt;=30),1,0))))</f>
        <v/>
      </c>
      <c r="AB50" s="16" t="str">
        <f aca="false">IF(C50="","",IF(OR(N(T50)&gt;=0.01,N(S50)&gt;=0.02),1,0))</f>
        <v/>
      </c>
      <c r="AC50" s="16" t="str">
        <f aca="false">IF(C50="","",MIN(2,N(U50))+MIN(2,N(V50)))</f>
        <v/>
      </c>
      <c r="AD50" s="50" t="str">
        <f aca="false">IFERROR(IF(OR(W50="",F50="",N(F50)=0),"",W50/F50-1),"")</f>
        <v/>
      </c>
      <c r="AE50" s="16" t="str">
        <f aca="false">IF(C50="","",IF(AD50="",0,IF(AD50&gt;=0.25,2,IF(AD50&gt;=0.1,1,0))))</f>
        <v/>
      </c>
      <c r="AF50" s="23" t="str">
        <f aca="false">IF(C50="","",X50+Y50+Z50+AA50+AB50+AC50+AE50)</f>
        <v/>
      </c>
      <c r="AG50" s="24" t="str">
        <f aca="false">IF(C50="","",IF(AF50&gt;=18,"A",IF(AF50&gt;=13,"B","C")))</f>
        <v/>
      </c>
      <c r="AH50" s="14" t="str">
        <f aca="false">IF(C50="","",IF(OR(AI50="Sold",AI50="Rejected"),"Closed",IF(AI50="Owned",IF(AND(ISNUMBER(W50),ISNUMBER(AL50),AL50&gt;W50*1.2),"REVIEW — price 20%+ above fair value",IF(AF50&lt;13,"REVIEW — quality score fell below 13","HOLD — re-check thesis yearly")),IF(AG50="A","Full LRC Stock Analysis",IF(AG50="B","Watch — re-check next month","Reject")))))</f>
        <v/>
      </c>
      <c r="AI50" s="35"/>
      <c r="AJ50" s="35"/>
      <c r="AK50" s="19"/>
      <c r="AL50" s="26"/>
      <c r="AM50" s="41" t="str">
        <f aca="false">IFERROR(IF(OR(AL50="",F50="",N(F50)=0),"",AL50/F50-1),"")</f>
        <v/>
      </c>
      <c r="AN50" s="35"/>
      <c r="AP50" s="43" t="str">
        <f aca="false">IF(AND(C50&lt;&gt;"",A50=$C$4,ISNUMBER(AF50)),AF50+ROW()/100000,"")</f>
        <v/>
      </c>
    </row>
    <row r="51" customFormat="false" ht="15" hidden="false" customHeight="false" outlineLevel="0" collapsed="false">
      <c r="A51" s="19"/>
      <c r="B51" s="35"/>
      <c r="C51" s="35"/>
      <c r="D51" s="35"/>
      <c r="E51" s="35"/>
      <c r="F51" s="26"/>
      <c r="G51" s="26"/>
      <c r="H51" s="49"/>
      <c r="I51" s="38"/>
      <c r="J51" s="49"/>
      <c r="K51" s="21"/>
      <c r="L51" s="21"/>
      <c r="M51" s="21"/>
      <c r="N51" s="21"/>
      <c r="O51" s="38"/>
      <c r="P51" s="38"/>
      <c r="Q51" s="21"/>
      <c r="R51" s="21"/>
      <c r="S51" s="21"/>
      <c r="T51" s="21"/>
      <c r="U51" s="25"/>
      <c r="V51" s="25"/>
      <c r="W51" s="26"/>
      <c r="X51" s="16" t="str">
        <f aca="false">IF(C51="","",IF(K51="",0,IF(K51&gt;=0.15,2,IF(K51&gt;=0.1,1,0)))+IF(L51="",0,IF(L51&gt;=0.12,2,IF(L51&gt;=0.08,1,0)))+(AND(N51&lt;&gt;"",N(N51)&gt;=0.15))+(AND(M51&lt;&gt;"",N(M51)&gt;=0.4)))</f>
        <v/>
      </c>
      <c r="Y51" s="16" t="str">
        <f aca="false">IF(C51="","",IF(Q51="",0,IF(Q51&gt;=0.1,2,IF(Q51&gt;=0.05,1,0)))+IF(R51="",0,IF(R51&gt;=0.08,2,IF(R51&gt;=0.04,1,0))))</f>
        <v/>
      </c>
      <c r="Z51" s="16" t="str">
        <f aca="false">IF(C51="","",IF(O51="",0,IF(O51&lt;=0.5,2,IF(O51&lt;=1,1,0)))+(AND(P51&lt;&gt;"",N(P51)&gt;=1.2)))</f>
        <v/>
      </c>
      <c r="AA51" s="16" t="str">
        <f aca="false">IF(C51="","",IF(H51="",0,IF(AND(H51&gt;0,H51&lt;=20),2,IF(AND(H51&gt;0,H51&lt;=30),1,0)))+IF(J51="",0,IF(AND(J51&gt;0,J51&lt;=20),2,IF(AND(J51&gt;0,J51&lt;=30),1,0))))</f>
        <v/>
      </c>
      <c r="AB51" s="16" t="str">
        <f aca="false">IF(C51="","",IF(OR(N(T51)&gt;=0.01,N(S51)&gt;=0.02),1,0))</f>
        <v/>
      </c>
      <c r="AC51" s="16" t="str">
        <f aca="false">IF(C51="","",MIN(2,N(U51))+MIN(2,N(V51)))</f>
        <v/>
      </c>
      <c r="AD51" s="50" t="str">
        <f aca="false">IFERROR(IF(OR(W51="",F51="",N(F51)=0),"",W51/F51-1),"")</f>
        <v/>
      </c>
      <c r="AE51" s="16" t="str">
        <f aca="false">IF(C51="","",IF(AD51="",0,IF(AD51&gt;=0.25,2,IF(AD51&gt;=0.1,1,0))))</f>
        <v/>
      </c>
      <c r="AF51" s="23" t="str">
        <f aca="false">IF(C51="","",X51+Y51+Z51+AA51+AB51+AC51+AE51)</f>
        <v/>
      </c>
      <c r="AG51" s="24" t="str">
        <f aca="false">IF(C51="","",IF(AF51&gt;=18,"A",IF(AF51&gt;=13,"B","C")))</f>
        <v/>
      </c>
      <c r="AH51" s="14" t="str">
        <f aca="false">IF(C51="","",IF(OR(AI51="Sold",AI51="Rejected"),"Closed",IF(AI51="Owned",IF(AND(ISNUMBER(W51),ISNUMBER(AL51),AL51&gt;W51*1.2),"REVIEW — price 20%+ above fair value",IF(AF51&lt;13,"REVIEW — quality score fell below 13","HOLD — re-check thesis yearly")),IF(AG51="A","Full LRC Stock Analysis",IF(AG51="B","Watch — re-check next month","Reject")))))</f>
        <v/>
      </c>
      <c r="AI51" s="35"/>
      <c r="AJ51" s="35"/>
      <c r="AK51" s="19"/>
      <c r="AL51" s="26"/>
      <c r="AM51" s="41" t="str">
        <f aca="false">IFERROR(IF(OR(AL51="",F51="",N(F51)=0),"",AL51/F51-1),"")</f>
        <v/>
      </c>
      <c r="AN51" s="35"/>
      <c r="AP51" s="43" t="str">
        <f aca="false">IF(AND(C51&lt;&gt;"",A51=$C$4,ISNUMBER(AF51)),AF51+ROW()/100000,"")</f>
        <v/>
      </c>
    </row>
    <row r="52" customFormat="false" ht="15" hidden="false" customHeight="false" outlineLevel="0" collapsed="false">
      <c r="A52" s="19"/>
      <c r="B52" s="35"/>
      <c r="C52" s="35"/>
      <c r="D52" s="35"/>
      <c r="E52" s="35"/>
      <c r="F52" s="26"/>
      <c r="G52" s="26"/>
      <c r="H52" s="49"/>
      <c r="I52" s="38"/>
      <c r="J52" s="49"/>
      <c r="K52" s="21"/>
      <c r="L52" s="21"/>
      <c r="M52" s="21"/>
      <c r="N52" s="21"/>
      <c r="O52" s="38"/>
      <c r="P52" s="38"/>
      <c r="Q52" s="21"/>
      <c r="R52" s="21"/>
      <c r="S52" s="21"/>
      <c r="T52" s="21"/>
      <c r="U52" s="25"/>
      <c r="V52" s="25"/>
      <c r="W52" s="26"/>
      <c r="X52" s="16" t="str">
        <f aca="false">IF(C52="","",IF(K52="",0,IF(K52&gt;=0.15,2,IF(K52&gt;=0.1,1,0)))+IF(L52="",0,IF(L52&gt;=0.12,2,IF(L52&gt;=0.08,1,0)))+(AND(N52&lt;&gt;"",N(N52)&gt;=0.15))+(AND(M52&lt;&gt;"",N(M52)&gt;=0.4)))</f>
        <v/>
      </c>
      <c r="Y52" s="16" t="str">
        <f aca="false">IF(C52="","",IF(Q52="",0,IF(Q52&gt;=0.1,2,IF(Q52&gt;=0.05,1,0)))+IF(R52="",0,IF(R52&gt;=0.08,2,IF(R52&gt;=0.04,1,0))))</f>
        <v/>
      </c>
      <c r="Z52" s="16" t="str">
        <f aca="false">IF(C52="","",IF(O52="",0,IF(O52&lt;=0.5,2,IF(O52&lt;=1,1,0)))+(AND(P52&lt;&gt;"",N(P52)&gt;=1.2)))</f>
        <v/>
      </c>
      <c r="AA52" s="16" t="str">
        <f aca="false">IF(C52="","",IF(H52="",0,IF(AND(H52&gt;0,H52&lt;=20),2,IF(AND(H52&gt;0,H52&lt;=30),1,0)))+IF(J52="",0,IF(AND(J52&gt;0,J52&lt;=20),2,IF(AND(J52&gt;0,J52&lt;=30),1,0))))</f>
        <v/>
      </c>
      <c r="AB52" s="16" t="str">
        <f aca="false">IF(C52="","",IF(OR(N(T52)&gt;=0.01,N(S52)&gt;=0.02),1,0))</f>
        <v/>
      </c>
      <c r="AC52" s="16" t="str">
        <f aca="false">IF(C52="","",MIN(2,N(U52))+MIN(2,N(V52)))</f>
        <v/>
      </c>
      <c r="AD52" s="50" t="str">
        <f aca="false">IFERROR(IF(OR(W52="",F52="",N(F52)=0),"",W52/F52-1),"")</f>
        <v/>
      </c>
      <c r="AE52" s="16" t="str">
        <f aca="false">IF(C52="","",IF(AD52="",0,IF(AD52&gt;=0.25,2,IF(AD52&gt;=0.1,1,0))))</f>
        <v/>
      </c>
      <c r="AF52" s="23" t="str">
        <f aca="false">IF(C52="","",X52+Y52+Z52+AA52+AB52+AC52+AE52)</f>
        <v/>
      </c>
      <c r="AG52" s="24" t="str">
        <f aca="false">IF(C52="","",IF(AF52&gt;=18,"A",IF(AF52&gt;=13,"B","C")))</f>
        <v/>
      </c>
      <c r="AH52" s="14" t="str">
        <f aca="false">IF(C52="","",IF(OR(AI52="Sold",AI52="Rejected"),"Closed",IF(AI52="Owned",IF(AND(ISNUMBER(W52),ISNUMBER(AL52),AL52&gt;W52*1.2),"REVIEW — price 20%+ above fair value",IF(AF52&lt;13,"REVIEW — quality score fell below 13","HOLD — re-check thesis yearly")),IF(AG52="A","Full LRC Stock Analysis",IF(AG52="B","Watch — re-check next month","Reject")))))</f>
        <v/>
      </c>
      <c r="AI52" s="35"/>
      <c r="AJ52" s="35"/>
      <c r="AK52" s="19"/>
      <c r="AL52" s="26"/>
      <c r="AM52" s="41" t="str">
        <f aca="false">IFERROR(IF(OR(AL52="",F52="",N(F52)=0),"",AL52/F52-1),"")</f>
        <v/>
      </c>
      <c r="AN52" s="35"/>
      <c r="AP52" s="43" t="str">
        <f aca="false">IF(AND(C52&lt;&gt;"",A52=$C$4,ISNUMBER(AF52)),AF52+ROW()/100000,"")</f>
        <v/>
      </c>
    </row>
    <row r="53" customFormat="false" ht="15" hidden="false" customHeight="false" outlineLevel="0" collapsed="false">
      <c r="A53" s="19"/>
      <c r="B53" s="35"/>
      <c r="C53" s="35"/>
      <c r="D53" s="35"/>
      <c r="E53" s="35"/>
      <c r="F53" s="26"/>
      <c r="G53" s="26"/>
      <c r="H53" s="49"/>
      <c r="I53" s="38"/>
      <c r="J53" s="49"/>
      <c r="K53" s="21"/>
      <c r="L53" s="21"/>
      <c r="M53" s="21"/>
      <c r="N53" s="21"/>
      <c r="O53" s="38"/>
      <c r="P53" s="38"/>
      <c r="Q53" s="21"/>
      <c r="R53" s="21"/>
      <c r="S53" s="21"/>
      <c r="T53" s="21"/>
      <c r="U53" s="25"/>
      <c r="V53" s="25"/>
      <c r="W53" s="26"/>
      <c r="X53" s="16" t="str">
        <f aca="false">IF(C53="","",IF(K53="",0,IF(K53&gt;=0.15,2,IF(K53&gt;=0.1,1,0)))+IF(L53="",0,IF(L53&gt;=0.12,2,IF(L53&gt;=0.08,1,0)))+(AND(N53&lt;&gt;"",N(N53)&gt;=0.15))+(AND(M53&lt;&gt;"",N(M53)&gt;=0.4)))</f>
        <v/>
      </c>
      <c r="Y53" s="16" t="str">
        <f aca="false">IF(C53="","",IF(Q53="",0,IF(Q53&gt;=0.1,2,IF(Q53&gt;=0.05,1,0)))+IF(R53="",0,IF(R53&gt;=0.08,2,IF(R53&gt;=0.04,1,0))))</f>
        <v/>
      </c>
      <c r="Z53" s="16" t="str">
        <f aca="false">IF(C53="","",IF(O53="",0,IF(O53&lt;=0.5,2,IF(O53&lt;=1,1,0)))+(AND(P53&lt;&gt;"",N(P53)&gt;=1.2)))</f>
        <v/>
      </c>
      <c r="AA53" s="16" t="str">
        <f aca="false">IF(C53="","",IF(H53="",0,IF(AND(H53&gt;0,H53&lt;=20),2,IF(AND(H53&gt;0,H53&lt;=30),1,0)))+IF(J53="",0,IF(AND(J53&gt;0,J53&lt;=20),2,IF(AND(J53&gt;0,J53&lt;=30),1,0))))</f>
        <v/>
      </c>
      <c r="AB53" s="16" t="str">
        <f aca="false">IF(C53="","",IF(OR(N(T53)&gt;=0.01,N(S53)&gt;=0.02),1,0))</f>
        <v/>
      </c>
      <c r="AC53" s="16" t="str">
        <f aca="false">IF(C53="","",MIN(2,N(U53))+MIN(2,N(V53)))</f>
        <v/>
      </c>
      <c r="AD53" s="50" t="str">
        <f aca="false">IFERROR(IF(OR(W53="",F53="",N(F53)=0),"",W53/F53-1),"")</f>
        <v/>
      </c>
      <c r="AE53" s="16" t="str">
        <f aca="false">IF(C53="","",IF(AD53="",0,IF(AD53&gt;=0.25,2,IF(AD53&gt;=0.1,1,0))))</f>
        <v/>
      </c>
      <c r="AF53" s="23" t="str">
        <f aca="false">IF(C53="","",X53+Y53+Z53+AA53+AB53+AC53+AE53)</f>
        <v/>
      </c>
      <c r="AG53" s="24" t="str">
        <f aca="false">IF(C53="","",IF(AF53&gt;=18,"A",IF(AF53&gt;=13,"B","C")))</f>
        <v/>
      </c>
      <c r="AH53" s="14" t="str">
        <f aca="false">IF(C53="","",IF(OR(AI53="Sold",AI53="Rejected"),"Closed",IF(AI53="Owned",IF(AND(ISNUMBER(W53),ISNUMBER(AL53),AL53&gt;W53*1.2),"REVIEW — price 20%+ above fair value",IF(AF53&lt;13,"REVIEW — quality score fell below 13","HOLD — re-check thesis yearly")),IF(AG53="A","Full LRC Stock Analysis",IF(AG53="B","Watch — re-check next month","Reject")))))</f>
        <v/>
      </c>
      <c r="AI53" s="35"/>
      <c r="AJ53" s="35"/>
      <c r="AK53" s="19"/>
      <c r="AL53" s="26"/>
      <c r="AM53" s="41" t="str">
        <f aca="false">IFERROR(IF(OR(AL53="",F53="",N(F53)=0),"",AL53/F53-1),"")</f>
        <v/>
      </c>
      <c r="AN53" s="35"/>
      <c r="AP53" s="43" t="str">
        <f aca="false">IF(AND(C53&lt;&gt;"",A53=$C$4,ISNUMBER(AF53)),AF53+ROW()/100000,"")</f>
        <v/>
      </c>
    </row>
    <row r="54" customFormat="false" ht="15" hidden="false" customHeight="false" outlineLevel="0" collapsed="false">
      <c r="A54" s="19"/>
      <c r="B54" s="35"/>
      <c r="C54" s="35"/>
      <c r="D54" s="35"/>
      <c r="E54" s="35"/>
      <c r="F54" s="26"/>
      <c r="G54" s="26"/>
      <c r="H54" s="49"/>
      <c r="I54" s="38"/>
      <c r="J54" s="49"/>
      <c r="K54" s="21"/>
      <c r="L54" s="21"/>
      <c r="M54" s="21"/>
      <c r="N54" s="21"/>
      <c r="O54" s="38"/>
      <c r="P54" s="38"/>
      <c r="Q54" s="21"/>
      <c r="R54" s="21"/>
      <c r="S54" s="21"/>
      <c r="T54" s="21"/>
      <c r="U54" s="25"/>
      <c r="V54" s="25"/>
      <c r="W54" s="26"/>
      <c r="X54" s="16" t="str">
        <f aca="false">IF(C54="","",IF(K54="",0,IF(K54&gt;=0.15,2,IF(K54&gt;=0.1,1,0)))+IF(L54="",0,IF(L54&gt;=0.12,2,IF(L54&gt;=0.08,1,0)))+(AND(N54&lt;&gt;"",N(N54)&gt;=0.15))+(AND(M54&lt;&gt;"",N(M54)&gt;=0.4)))</f>
        <v/>
      </c>
      <c r="Y54" s="16" t="str">
        <f aca="false">IF(C54="","",IF(Q54="",0,IF(Q54&gt;=0.1,2,IF(Q54&gt;=0.05,1,0)))+IF(R54="",0,IF(R54&gt;=0.08,2,IF(R54&gt;=0.04,1,0))))</f>
        <v/>
      </c>
      <c r="Z54" s="16" t="str">
        <f aca="false">IF(C54="","",IF(O54="",0,IF(O54&lt;=0.5,2,IF(O54&lt;=1,1,0)))+(AND(P54&lt;&gt;"",N(P54)&gt;=1.2)))</f>
        <v/>
      </c>
      <c r="AA54" s="16" t="str">
        <f aca="false">IF(C54="","",IF(H54="",0,IF(AND(H54&gt;0,H54&lt;=20),2,IF(AND(H54&gt;0,H54&lt;=30),1,0)))+IF(J54="",0,IF(AND(J54&gt;0,J54&lt;=20),2,IF(AND(J54&gt;0,J54&lt;=30),1,0))))</f>
        <v/>
      </c>
      <c r="AB54" s="16" t="str">
        <f aca="false">IF(C54="","",IF(OR(N(T54)&gt;=0.01,N(S54)&gt;=0.02),1,0))</f>
        <v/>
      </c>
      <c r="AC54" s="16" t="str">
        <f aca="false">IF(C54="","",MIN(2,N(U54))+MIN(2,N(V54)))</f>
        <v/>
      </c>
      <c r="AD54" s="50" t="str">
        <f aca="false">IFERROR(IF(OR(W54="",F54="",N(F54)=0),"",W54/F54-1),"")</f>
        <v/>
      </c>
      <c r="AE54" s="16" t="str">
        <f aca="false">IF(C54="","",IF(AD54="",0,IF(AD54&gt;=0.25,2,IF(AD54&gt;=0.1,1,0))))</f>
        <v/>
      </c>
      <c r="AF54" s="23" t="str">
        <f aca="false">IF(C54="","",X54+Y54+Z54+AA54+AB54+AC54+AE54)</f>
        <v/>
      </c>
      <c r="AG54" s="24" t="str">
        <f aca="false">IF(C54="","",IF(AF54&gt;=18,"A",IF(AF54&gt;=13,"B","C")))</f>
        <v/>
      </c>
      <c r="AH54" s="14" t="str">
        <f aca="false">IF(C54="","",IF(OR(AI54="Sold",AI54="Rejected"),"Closed",IF(AI54="Owned",IF(AND(ISNUMBER(W54),ISNUMBER(AL54),AL54&gt;W54*1.2),"REVIEW — price 20%+ above fair value",IF(AF54&lt;13,"REVIEW — quality score fell below 13","HOLD — re-check thesis yearly")),IF(AG54="A","Full LRC Stock Analysis",IF(AG54="B","Watch — re-check next month","Reject")))))</f>
        <v/>
      </c>
      <c r="AI54" s="35"/>
      <c r="AJ54" s="35"/>
      <c r="AK54" s="19"/>
      <c r="AL54" s="26"/>
      <c r="AM54" s="41" t="str">
        <f aca="false">IFERROR(IF(OR(AL54="",F54="",N(F54)=0),"",AL54/F54-1),"")</f>
        <v/>
      </c>
      <c r="AN54" s="35"/>
      <c r="AP54" s="43" t="str">
        <f aca="false">IF(AND(C54&lt;&gt;"",A54=$C$4,ISNUMBER(AF54)),AF54+ROW()/100000,"")</f>
        <v/>
      </c>
    </row>
    <row r="55" customFormat="false" ht="15" hidden="false" customHeight="false" outlineLevel="0" collapsed="false">
      <c r="A55" s="19"/>
      <c r="B55" s="35"/>
      <c r="C55" s="35"/>
      <c r="D55" s="35"/>
      <c r="E55" s="35"/>
      <c r="F55" s="26"/>
      <c r="G55" s="26"/>
      <c r="H55" s="49"/>
      <c r="I55" s="38"/>
      <c r="J55" s="49"/>
      <c r="K55" s="21"/>
      <c r="L55" s="21"/>
      <c r="M55" s="21"/>
      <c r="N55" s="21"/>
      <c r="O55" s="38"/>
      <c r="P55" s="38"/>
      <c r="Q55" s="21"/>
      <c r="R55" s="21"/>
      <c r="S55" s="21"/>
      <c r="T55" s="21"/>
      <c r="U55" s="25"/>
      <c r="V55" s="25"/>
      <c r="W55" s="26"/>
      <c r="X55" s="16" t="str">
        <f aca="false">IF(C55="","",IF(K55="",0,IF(K55&gt;=0.15,2,IF(K55&gt;=0.1,1,0)))+IF(L55="",0,IF(L55&gt;=0.12,2,IF(L55&gt;=0.08,1,0)))+(AND(N55&lt;&gt;"",N(N55)&gt;=0.15))+(AND(M55&lt;&gt;"",N(M55)&gt;=0.4)))</f>
        <v/>
      </c>
      <c r="Y55" s="16" t="str">
        <f aca="false">IF(C55="","",IF(Q55="",0,IF(Q55&gt;=0.1,2,IF(Q55&gt;=0.05,1,0)))+IF(R55="",0,IF(R55&gt;=0.08,2,IF(R55&gt;=0.04,1,0))))</f>
        <v/>
      </c>
      <c r="Z55" s="16" t="str">
        <f aca="false">IF(C55="","",IF(O55="",0,IF(O55&lt;=0.5,2,IF(O55&lt;=1,1,0)))+(AND(P55&lt;&gt;"",N(P55)&gt;=1.2)))</f>
        <v/>
      </c>
      <c r="AA55" s="16" t="str">
        <f aca="false">IF(C55="","",IF(H55="",0,IF(AND(H55&gt;0,H55&lt;=20),2,IF(AND(H55&gt;0,H55&lt;=30),1,0)))+IF(J55="",0,IF(AND(J55&gt;0,J55&lt;=20),2,IF(AND(J55&gt;0,J55&lt;=30),1,0))))</f>
        <v/>
      </c>
      <c r="AB55" s="16" t="str">
        <f aca="false">IF(C55="","",IF(OR(N(T55)&gt;=0.01,N(S55)&gt;=0.02),1,0))</f>
        <v/>
      </c>
      <c r="AC55" s="16" t="str">
        <f aca="false">IF(C55="","",MIN(2,N(U55))+MIN(2,N(V55)))</f>
        <v/>
      </c>
      <c r="AD55" s="50" t="str">
        <f aca="false">IFERROR(IF(OR(W55="",F55="",N(F55)=0),"",W55/F55-1),"")</f>
        <v/>
      </c>
      <c r="AE55" s="16" t="str">
        <f aca="false">IF(C55="","",IF(AD55="",0,IF(AD55&gt;=0.25,2,IF(AD55&gt;=0.1,1,0))))</f>
        <v/>
      </c>
      <c r="AF55" s="23" t="str">
        <f aca="false">IF(C55="","",X55+Y55+Z55+AA55+AB55+AC55+AE55)</f>
        <v/>
      </c>
      <c r="AG55" s="24" t="str">
        <f aca="false">IF(C55="","",IF(AF55&gt;=18,"A",IF(AF55&gt;=13,"B","C")))</f>
        <v/>
      </c>
      <c r="AH55" s="14" t="str">
        <f aca="false">IF(C55="","",IF(OR(AI55="Sold",AI55="Rejected"),"Closed",IF(AI55="Owned",IF(AND(ISNUMBER(W55),ISNUMBER(AL55),AL55&gt;W55*1.2),"REVIEW — price 20%+ above fair value",IF(AF55&lt;13,"REVIEW — quality score fell below 13","HOLD — re-check thesis yearly")),IF(AG55="A","Full LRC Stock Analysis",IF(AG55="B","Watch — re-check next month","Reject")))))</f>
        <v/>
      </c>
      <c r="AI55" s="35"/>
      <c r="AJ55" s="35"/>
      <c r="AK55" s="19"/>
      <c r="AL55" s="26"/>
      <c r="AM55" s="41" t="str">
        <f aca="false">IFERROR(IF(OR(AL55="",F55="",N(F55)=0),"",AL55/F55-1),"")</f>
        <v/>
      </c>
      <c r="AN55" s="35"/>
      <c r="AP55" s="43" t="str">
        <f aca="false">IF(AND(C55&lt;&gt;"",A55=$C$4,ISNUMBER(AF55)),AF55+ROW()/100000,"")</f>
        <v/>
      </c>
    </row>
    <row r="56" customFormat="false" ht="15" hidden="false" customHeight="false" outlineLevel="0" collapsed="false">
      <c r="A56" s="19"/>
      <c r="B56" s="35"/>
      <c r="C56" s="35"/>
      <c r="D56" s="35"/>
      <c r="E56" s="35"/>
      <c r="F56" s="26"/>
      <c r="G56" s="26"/>
      <c r="H56" s="49"/>
      <c r="I56" s="38"/>
      <c r="J56" s="49"/>
      <c r="K56" s="21"/>
      <c r="L56" s="21"/>
      <c r="M56" s="21"/>
      <c r="N56" s="21"/>
      <c r="O56" s="38"/>
      <c r="P56" s="38"/>
      <c r="Q56" s="21"/>
      <c r="R56" s="21"/>
      <c r="S56" s="21"/>
      <c r="T56" s="21"/>
      <c r="U56" s="25"/>
      <c r="V56" s="25"/>
      <c r="W56" s="26"/>
      <c r="X56" s="16" t="str">
        <f aca="false">IF(C56="","",IF(K56="",0,IF(K56&gt;=0.15,2,IF(K56&gt;=0.1,1,0)))+IF(L56="",0,IF(L56&gt;=0.12,2,IF(L56&gt;=0.08,1,0)))+(AND(N56&lt;&gt;"",N(N56)&gt;=0.15))+(AND(M56&lt;&gt;"",N(M56)&gt;=0.4)))</f>
        <v/>
      </c>
      <c r="Y56" s="16" t="str">
        <f aca="false">IF(C56="","",IF(Q56="",0,IF(Q56&gt;=0.1,2,IF(Q56&gt;=0.05,1,0)))+IF(R56="",0,IF(R56&gt;=0.08,2,IF(R56&gt;=0.04,1,0))))</f>
        <v/>
      </c>
      <c r="Z56" s="16" t="str">
        <f aca="false">IF(C56="","",IF(O56="",0,IF(O56&lt;=0.5,2,IF(O56&lt;=1,1,0)))+(AND(P56&lt;&gt;"",N(P56)&gt;=1.2)))</f>
        <v/>
      </c>
      <c r="AA56" s="16" t="str">
        <f aca="false">IF(C56="","",IF(H56="",0,IF(AND(H56&gt;0,H56&lt;=20),2,IF(AND(H56&gt;0,H56&lt;=30),1,0)))+IF(J56="",0,IF(AND(J56&gt;0,J56&lt;=20),2,IF(AND(J56&gt;0,J56&lt;=30),1,0))))</f>
        <v/>
      </c>
      <c r="AB56" s="16" t="str">
        <f aca="false">IF(C56="","",IF(OR(N(T56)&gt;=0.01,N(S56)&gt;=0.02),1,0))</f>
        <v/>
      </c>
      <c r="AC56" s="16" t="str">
        <f aca="false">IF(C56="","",MIN(2,N(U56))+MIN(2,N(V56)))</f>
        <v/>
      </c>
      <c r="AD56" s="50" t="str">
        <f aca="false">IFERROR(IF(OR(W56="",F56="",N(F56)=0),"",W56/F56-1),"")</f>
        <v/>
      </c>
      <c r="AE56" s="16" t="str">
        <f aca="false">IF(C56="","",IF(AD56="",0,IF(AD56&gt;=0.25,2,IF(AD56&gt;=0.1,1,0))))</f>
        <v/>
      </c>
      <c r="AF56" s="23" t="str">
        <f aca="false">IF(C56="","",X56+Y56+Z56+AA56+AB56+AC56+AE56)</f>
        <v/>
      </c>
      <c r="AG56" s="24" t="str">
        <f aca="false">IF(C56="","",IF(AF56&gt;=18,"A",IF(AF56&gt;=13,"B","C")))</f>
        <v/>
      </c>
      <c r="AH56" s="14" t="str">
        <f aca="false">IF(C56="","",IF(OR(AI56="Sold",AI56="Rejected"),"Closed",IF(AI56="Owned",IF(AND(ISNUMBER(W56),ISNUMBER(AL56),AL56&gt;W56*1.2),"REVIEW — price 20%+ above fair value",IF(AF56&lt;13,"REVIEW — quality score fell below 13","HOLD — re-check thesis yearly")),IF(AG56="A","Full LRC Stock Analysis",IF(AG56="B","Watch — re-check next month","Reject")))))</f>
        <v/>
      </c>
      <c r="AI56" s="35"/>
      <c r="AJ56" s="35"/>
      <c r="AK56" s="19"/>
      <c r="AL56" s="26"/>
      <c r="AM56" s="41" t="str">
        <f aca="false">IFERROR(IF(OR(AL56="",F56="",N(F56)=0),"",AL56/F56-1),"")</f>
        <v/>
      </c>
      <c r="AN56" s="35"/>
      <c r="AP56" s="43" t="str">
        <f aca="false">IF(AND(C56&lt;&gt;"",A56=$C$4,ISNUMBER(AF56)),AF56+ROW()/100000,"")</f>
        <v/>
      </c>
    </row>
    <row r="57" customFormat="false" ht="15" hidden="false" customHeight="false" outlineLevel="0" collapsed="false">
      <c r="A57" s="19"/>
      <c r="B57" s="35"/>
      <c r="C57" s="35"/>
      <c r="D57" s="35"/>
      <c r="E57" s="35"/>
      <c r="F57" s="26"/>
      <c r="G57" s="26"/>
      <c r="H57" s="49"/>
      <c r="I57" s="38"/>
      <c r="J57" s="49"/>
      <c r="K57" s="21"/>
      <c r="L57" s="21"/>
      <c r="M57" s="21"/>
      <c r="N57" s="21"/>
      <c r="O57" s="38"/>
      <c r="P57" s="38"/>
      <c r="Q57" s="21"/>
      <c r="R57" s="21"/>
      <c r="S57" s="21"/>
      <c r="T57" s="21"/>
      <c r="U57" s="25"/>
      <c r="V57" s="25"/>
      <c r="W57" s="26"/>
      <c r="X57" s="16" t="str">
        <f aca="false">IF(C57="","",IF(K57="",0,IF(K57&gt;=0.15,2,IF(K57&gt;=0.1,1,0)))+IF(L57="",0,IF(L57&gt;=0.12,2,IF(L57&gt;=0.08,1,0)))+(AND(N57&lt;&gt;"",N(N57)&gt;=0.15))+(AND(M57&lt;&gt;"",N(M57)&gt;=0.4)))</f>
        <v/>
      </c>
      <c r="Y57" s="16" t="str">
        <f aca="false">IF(C57="","",IF(Q57="",0,IF(Q57&gt;=0.1,2,IF(Q57&gt;=0.05,1,0)))+IF(R57="",0,IF(R57&gt;=0.08,2,IF(R57&gt;=0.04,1,0))))</f>
        <v/>
      </c>
      <c r="Z57" s="16" t="str">
        <f aca="false">IF(C57="","",IF(O57="",0,IF(O57&lt;=0.5,2,IF(O57&lt;=1,1,0)))+(AND(P57&lt;&gt;"",N(P57)&gt;=1.2)))</f>
        <v/>
      </c>
      <c r="AA57" s="16" t="str">
        <f aca="false">IF(C57="","",IF(H57="",0,IF(AND(H57&gt;0,H57&lt;=20),2,IF(AND(H57&gt;0,H57&lt;=30),1,0)))+IF(J57="",0,IF(AND(J57&gt;0,J57&lt;=20),2,IF(AND(J57&gt;0,J57&lt;=30),1,0))))</f>
        <v/>
      </c>
      <c r="AB57" s="16" t="str">
        <f aca="false">IF(C57="","",IF(OR(N(T57)&gt;=0.01,N(S57)&gt;=0.02),1,0))</f>
        <v/>
      </c>
      <c r="AC57" s="16" t="str">
        <f aca="false">IF(C57="","",MIN(2,N(U57))+MIN(2,N(V57)))</f>
        <v/>
      </c>
      <c r="AD57" s="50" t="str">
        <f aca="false">IFERROR(IF(OR(W57="",F57="",N(F57)=0),"",W57/F57-1),"")</f>
        <v/>
      </c>
      <c r="AE57" s="16" t="str">
        <f aca="false">IF(C57="","",IF(AD57="",0,IF(AD57&gt;=0.25,2,IF(AD57&gt;=0.1,1,0))))</f>
        <v/>
      </c>
      <c r="AF57" s="23" t="str">
        <f aca="false">IF(C57="","",X57+Y57+Z57+AA57+AB57+AC57+AE57)</f>
        <v/>
      </c>
      <c r="AG57" s="24" t="str">
        <f aca="false">IF(C57="","",IF(AF57&gt;=18,"A",IF(AF57&gt;=13,"B","C")))</f>
        <v/>
      </c>
      <c r="AH57" s="14" t="str">
        <f aca="false">IF(C57="","",IF(OR(AI57="Sold",AI57="Rejected"),"Closed",IF(AI57="Owned",IF(AND(ISNUMBER(W57),ISNUMBER(AL57),AL57&gt;W57*1.2),"REVIEW — price 20%+ above fair value",IF(AF57&lt;13,"REVIEW — quality score fell below 13","HOLD — re-check thesis yearly")),IF(AG57="A","Full LRC Stock Analysis",IF(AG57="B","Watch — re-check next month","Reject")))))</f>
        <v/>
      </c>
      <c r="AI57" s="35"/>
      <c r="AJ57" s="35"/>
      <c r="AK57" s="19"/>
      <c r="AL57" s="26"/>
      <c r="AM57" s="41" t="str">
        <f aca="false">IFERROR(IF(OR(AL57="",F57="",N(F57)=0),"",AL57/F57-1),"")</f>
        <v/>
      </c>
      <c r="AN57" s="35"/>
      <c r="AP57" s="43" t="str">
        <f aca="false">IF(AND(C57&lt;&gt;"",A57=$C$4,ISNUMBER(AF57)),AF57+ROW()/100000,"")</f>
        <v/>
      </c>
    </row>
    <row r="58" customFormat="false" ht="15" hidden="false" customHeight="false" outlineLevel="0" collapsed="false">
      <c r="A58" s="19"/>
      <c r="B58" s="35"/>
      <c r="C58" s="35"/>
      <c r="D58" s="35"/>
      <c r="E58" s="35"/>
      <c r="F58" s="26"/>
      <c r="G58" s="26"/>
      <c r="H58" s="49"/>
      <c r="I58" s="38"/>
      <c r="J58" s="49"/>
      <c r="K58" s="21"/>
      <c r="L58" s="21"/>
      <c r="M58" s="21"/>
      <c r="N58" s="21"/>
      <c r="O58" s="38"/>
      <c r="P58" s="38"/>
      <c r="Q58" s="21"/>
      <c r="R58" s="21"/>
      <c r="S58" s="21"/>
      <c r="T58" s="21"/>
      <c r="U58" s="25"/>
      <c r="V58" s="25"/>
      <c r="W58" s="26"/>
      <c r="X58" s="16" t="str">
        <f aca="false">IF(C58="","",IF(K58="",0,IF(K58&gt;=0.15,2,IF(K58&gt;=0.1,1,0)))+IF(L58="",0,IF(L58&gt;=0.12,2,IF(L58&gt;=0.08,1,0)))+(AND(N58&lt;&gt;"",N(N58)&gt;=0.15))+(AND(M58&lt;&gt;"",N(M58)&gt;=0.4)))</f>
        <v/>
      </c>
      <c r="Y58" s="16" t="str">
        <f aca="false">IF(C58="","",IF(Q58="",0,IF(Q58&gt;=0.1,2,IF(Q58&gt;=0.05,1,0)))+IF(R58="",0,IF(R58&gt;=0.08,2,IF(R58&gt;=0.04,1,0))))</f>
        <v/>
      </c>
      <c r="Z58" s="16" t="str">
        <f aca="false">IF(C58="","",IF(O58="",0,IF(O58&lt;=0.5,2,IF(O58&lt;=1,1,0)))+(AND(P58&lt;&gt;"",N(P58)&gt;=1.2)))</f>
        <v/>
      </c>
      <c r="AA58" s="16" t="str">
        <f aca="false">IF(C58="","",IF(H58="",0,IF(AND(H58&gt;0,H58&lt;=20),2,IF(AND(H58&gt;0,H58&lt;=30),1,0)))+IF(J58="",0,IF(AND(J58&gt;0,J58&lt;=20),2,IF(AND(J58&gt;0,J58&lt;=30),1,0))))</f>
        <v/>
      </c>
      <c r="AB58" s="16" t="str">
        <f aca="false">IF(C58="","",IF(OR(N(T58)&gt;=0.01,N(S58)&gt;=0.02),1,0))</f>
        <v/>
      </c>
      <c r="AC58" s="16" t="str">
        <f aca="false">IF(C58="","",MIN(2,N(U58))+MIN(2,N(V58)))</f>
        <v/>
      </c>
      <c r="AD58" s="50" t="str">
        <f aca="false">IFERROR(IF(OR(W58="",F58="",N(F58)=0),"",W58/F58-1),"")</f>
        <v/>
      </c>
      <c r="AE58" s="16" t="str">
        <f aca="false">IF(C58="","",IF(AD58="",0,IF(AD58&gt;=0.25,2,IF(AD58&gt;=0.1,1,0))))</f>
        <v/>
      </c>
      <c r="AF58" s="23" t="str">
        <f aca="false">IF(C58="","",X58+Y58+Z58+AA58+AB58+AC58+AE58)</f>
        <v/>
      </c>
      <c r="AG58" s="24" t="str">
        <f aca="false">IF(C58="","",IF(AF58&gt;=18,"A",IF(AF58&gt;=13,"B","C")))</f>
        <v/>
      </c>
      <c r="AH58" s="14" t="str">
        <f aca="false">IF(C58="","",IF(OR(AI58="Sold",AI58="Rejected"),"Closed",IF(AI58="Owned",IF(AND(ISNUMBER(W58),ISNUMBER(AL58),AL58&gt;W58*1.2),"REVIEW — price 20%+ above fair value",IF(AF58&lt;13,"REVIEW — quality score fell below 13","HOLD — re-check thesis yearly")),IF(AG58="A","Full LRC Stock Analysis",IF(AG58="B","Watch — re-check next month","Reject")))))</f>
        <v/>
      </c>
      <c r="AI58" s="35"/>
      <c r="AJ58" s="35"/>
      <c r="AK58" s="19"/>
      <c r="AL58" s="26"/>
      <c r="AM58" s="41" t="str">
        <f aca="false">IFERROR(IF(OR(AL58="",F58="",N(F58)=0),"",AL58/F58-1),"")</f>
        <v/>
      </c>
      <c r="AN58" s="35"/>
      <c r="AP58" s="43" t="str">
        <f aca="false">IF(AND(C58&lt;&gt;"",A58=$C$4,ISNUMBER(AF58)),AF58+ROW()/100000,"")</f>
        <v/>
      </c>
    </row>
    <row r="59" customFormat="false" ht="15" hidden="false" customHeight="false" outlineLevel="0" collapsed="false">
      <c r="A59" s="19"/>
      <c r="B59" s="35"/>
      <c r="C59" s="35"/>
      <c r="D59" s="35"/>
      <c r="E59" s="35"/>
      <c r="F59" s="26"/>
      <c r="G59" s="26"/>
      <c r="H59" s="49"/>
      <c r="I59" s="38"/>
      <c r="J59" s="49"/>
      <c r="K59" s="21"/>
      <c r="L59" s="21"/>
      <c r="M59" s="21"/>
      <c r="N59" s="21"/>
      <c r="O59" s="38"/>
      <c r="P59" s="38"/>
      <c r="Q59" s="21"/>
      <c r="R59" s="21"/>
      <c r="S59" s="21"/>
      <c r="T59" s="21"/>
      <c r="U59" s="25"/>
      <c r="V59" s="25"/>
      <c r="W59" s="26"/>
      <c r="X59" s="16" t="str">
        <f aca="false">IF(C59="","",IF(K59="",0,IF(K59&gt;=0.15,2,IF(K59&gt;=0.1,1,0)))+IF(L59="",0,IF(L59&gt;=0.12,2,IF(L59&gt;=0.08,1,0)))+(AND(N59&lt;&gt;"",N(N59)&gt;=0.15))+(AND(M59&lt;&gt;"",N(M59)&gt;=0.4)))</f>
        <v/>
      </c>
      <c r="Y59" s="16" t="str">
        <f aca="false">IF(C59="","",IF(Q59="",0,IF(Q59&gt;=0.1,2,IF(Q59&gt;=0.05,1,0)))+IF(R59="",0,IF(R59&gt;=0.08,2,IF(R59&gt;=0.04,1,0))))</f>
        <v/>
      </c>
      <c r="Z59" s="16" t="str">
        <f aca="false">IF(C59="","",IF(O59="",0,IF(O59&lt;=0.5,2,IF(O59&lt;=1,1,0)))+(AND(P59&lt;&gt;"",N(P59)&gt;=1.2)))</f>
        <v/>
      </c>
      <c r="AA59" s="16" t="str">
        <f aca="false">IF(C59="","",IF(H59="",0,IF(AND(H59&gt;0,H59&lt;=20),2,IF(AND(H59&gt;0,H59&lt;=30),1,0)))+IF(J59="",0,IF(AND(J59&gt;0,J59&lt;=20),2,IF(AND(J59&gt;0,J59&lt;=30),1,0))))</f>
        <v/>
      </c>
      <c r="AB59" s="16" t="str">
        <f aca="false">IF(C59="","",IF(OR(N(T59)&gt;=0.01,N(S59)&gt;=0.02),1,0))</f>
        <v/>
      </c>
      <c r="AC59" s="16" t="str">
        <f aca="false">IF(C59="","",MIN(2,N(U59))+MIN(2,N(V59)))</f>
        <v/>
      </c>
      <c r="AD59" s="50" t="str">
        <f aca="false">IFERROR(IF(OR(W59="",F59="",N(F59)=0),"",W59/F59-1),"")</f>
        <v/>
      </c>
      <c r="AE59" s="16" t="str">
        <f aca="false">IF(C59="","",IF(AD59="",0,IF(AD59&gt;=0.25,2,IF(AD59&gt;=0.1,1,0))))</f>
        <v/>
      </c>
      <c r="AF59" s="23" t="str">
        <f aca="false">IF(C59="","",X59+Y59+Z59+AA59+AB59+AC59+AE59)</f>
        <v/>
      </c>
      <c r="AG59" s="24" t="str">
        <f aca="false">IF(C59="","",IF(AF59&gt;=18,"A",IF(AF59&gt;=13,"B","C")))</f>
        <v/>
      </c>
      <c r="AH59" s="14" t="str">
        <f aca="false">IF(C59="","",IF(OR(AI59="Sold",AI59="Rejected"),"Closed",IF(AI59="Owned",IF(AND(ISNUMBER(W59),ISNUMBER(AL59),AL59&gt;W59*1.2),"REVIEW — price 20%+ above fair value",IF(AF59&lt;13,"REVIEW — quality score fell below 13","HOLD — re-check thesis yearly")),IF(AG59="A","Full LRC Stock Analysis",IF(AG59="B","Watch — re-check next month","Reject")))))</f>
        <v/>
      </c>
      <c r="AI59" s="35"/>
      <c r="AJ59" s="35"/>
      <c r="AK59" s="19"/>
      <c r="AL59" s="26"/>
      <c r="AM59" s="41" t="str">
        <f aca="false">IFERROR(IF(OR(AL59="",F59="",N(F59)=0),"",AL59/F59-1),"")</f>
        <v/>
      </c>
      <c r="AN59" s="35"/>
      <c r="AP59" s="43" t="str">
        <f aca="false">IF(AND(C59&lt;&gt;"",A59=$C$4,ISNUMBER(AF59)),AF59+ROW()/100000,"")</f>
        <v/>
      </c>
    </row>
    <row r="60" customFormat="false" ht="15" hidden="false" customHeight="false" outlineLevel="0" collapsed="false">
      <c r="A60" s="19"/>
      <c r="B60" s="35"/>
      <c r="C60" s="35"/>
      <c r="D60" s="35"/>
      <c r="E60" s="35"/>
      <c r="F60" s="26"/>
      <c r="G60" s="26"/>
      <c r="H60" s="49"/>
      <c r="I60" s="38"/>
      <c r="J60" s="49"/>
      <c r="K60" s="21"/>
      <c r="L60" s="21"/>
      <c r="M60" s="21"/>
      <c r="N60" s="21"/>
      <c r="O60" s="38"/>
      <c r="P60" s="38"/>
      <c r="Q60" s="21"/>
      <c r="R60" s="21"/>
      <c r="S60" s="21"/>
      <c r="T60" s="21"/>
      <c r="U60" s="25"/>
      <c r="V60" s="25"/>
      <c r="W60" s="26"/>
      <c r="X60" s="16" t="str">
        <f aca="false">IF(C60="","",IF(K60="",0,IF(K60&gt;=0.15,2,IF(K60&gt;=0.1,1,0)))+IF(L60="",0,IF(L60&gt;=0.12,2,IF(L60&gt;=0.08,1,0)))+(AND(N60&lt;&gt;"",N(N60)&gt;=0.15))+(AND(M60&lt;&gt;"",N(M60)&gt;=0.4)))</f>
        <v/>
      </c>
      <c r="Y60" s="16" t="str">
        <f aca="false">IF(C60="","",IF(Q60="",0,IF(Q60&gt;=0.1,2,IF(Q60&gt;=0.05,1,0)))+IF(R60="",0,IF(R60&gt;=0.08,2,IF(R60&gt;=0.04,1,0))))</f>
        <v/>
      </c>
      <c r="Z60" s="16" t="str">
        <f aca="false">IF(C60="","",IF(O60="",0,IF(O60&lt;=0.5,2,IF(O60&lt;=1,1,0)))+(AND(P60&lt;&gt;"",N(P60)&gt;=1.2)))</f>
        <v/>
      </c>
      <c r="AA60" s="16" t="str">
        <f aca="false">IF(C60="","",IF(H60="",0,IF(AND(H60&gt;0,H60&lt;=20),2,IF(AND(H60&gt;0,H60&lt;=30),1,0)))+IF(J60="",0,IF(AND(J60&gt;0,J60&lt;=20),2,IF(AND(J60&gt;0,J60&lt;=30),1,0))))</f>
        <v/>
      </c>
      <c r="AB60" s="16" t="str">
        <f aca="false">IF(C60="","",IF(OR(N(T60)&gt;=0.01,N(S60)&gt;=0.02),1,0))</f>
        <v/>
      </c>
      <c r="AC60" s="16" t="str">
        <f aca="false">IF(C60="","",MIN(2,N(U60))+MIN(2,N(V60)))</f>
        <v/>
      </c>
      <c r="AD60" s="50" t="str">
        <f aca="false">IFERROR(IF(OR(W60="",F60="",N(F60)=0),"",W60/F60-1),"")</f>
        <v/>
      </c>
      <c r="AE60" s="16" t="str">
        <f aca="false">IF(C60="","",IF(AD60="",0,IF(AD60&gt;=0.25,2,IF(AD60&gt;=0.1,1,0))))</f>
        <v/>
      </c>
      <c r="AF60" s="23" t="str">
        <f aca="false">IF(C60="","",X60+Y60+Z60+AA60+AB60+AC60+AE60)</f>
        <v/>
      </c>
      <c r="AG60" s="24" t="str">
        <f aca="false">IF(C60="","",IF(AF60&gt;=18,"A",IF(AF60&gt;=13,"B","C")))</f>
        <v/>
      </c>
      <c r="AH60" s="14" t="str">
        <f aca="false">IF(C60="","",IF(OR(AI60="Sold",AI60="Rejected"),"Closed",IF(AI60="Owned",IF(AND(ISNUMBER(W60),ISNUMBER(AL60),AL60&gt;W60*1.2),"REVIEW — price 20%+ above fair value",IF(AF60&lt;13,"REVIEW — quality score fell below 13","HOLD — re-check thesis yearly")),IF(AG60="A","Full LRC Stock Analysis",IF(AG60="B","Watch — re-check next month","Reject")))))</f>
        <v/>
      </c>
      <c r="AI60" s="35"/>
      <c r="AJ60" s="35"/>
      <c r="AK60" s="19"/>
      <c r="AL60" s="26"/>
      <c r="AM60" s="41" t="str">
        <f aca="false">IFERROR(IF(OR(AL60="",F60="",N(F60)=0),"",AL60/F60-1),"")</f>
        <v/>
      </c>
      <c r="AN60" s="35"/>
      <c r="AP60" s="43" t="str">
        <f aca="false">IF(AND(C60&lt;&gt;"",A60=$C$4,ISNUMBER(AF60)),AF60+ROW()/100000,"")</f>
        <v/>
      </c>
    </row>
    <row r="61" customFormat="false" ht="15" hidden="false" customHeight="false" outlineLevel="0" collapsed="false">
      <c r="A61" s="19"/>
      <c r="B61" s="35"/>
      <c r="C61" s="35"/>
      <c r="D61" s="35"/>
      <c r="E61" s="35"/>
      <c r="F61" s="26"/>
      <c r="G61" s="26"/>
      <c r="H61" s="49"/>
      <c r="I61" s="38"/>
      <c r="J61" s="49"/>
      <c r="K61" s="21"/>
      <c r="L61" s="21"/>
      <c r="M61" s="21"/>
      <c r="N61" s="21"/>
      <c r="O61" s="38"/>
      <c r="P61" s="38"/>
      <c r="Q61" s="21"/>
      <c r="R61" s="21"/>
      <c r="S61" s="21"/>
      <c r="T61" s="21"/>
      <c r="U61" s="25"/>
      <c r="V61" s="25"/>
      <c r="W61" s="26"/>
      <c r="X61" s="16" t="str">
        <f aca="false">IF(C61="","",IF(K61="",0,IF(K61&gt;=0.15,2,IF(K61&gt;=0.1,1,0)))+IF(L61="",0,IF(L61&gt;=0.12,2,IF(L61&gt;=0.08,1,0)))+(AND(N61&lt;&gt;"",N(N61)&gt;=0.15))+(AND(M61&lt;&gt;"",N(M61)&gt;=0.4)))</f>
        <v/>
      </c>
      <c r="Y61" s="16" t="str">
        <f aca="false">IF(C61="","",IF(Q61="",0,IF(Q61&gt;=0.1,2,IF(Q61&gt;=0.05,1,0)))+IF(R61="",0,IF(R61&gt;=0.08,2,IF(R61&gt;=0.04,1,0))))</f>
        <v/>
      </c>
      <c r="Z61" s="16" t="str">
        <f aca="false">IF(C61="","",IF(O61="",0,IF(O61&lt;=0.5,2,IF(O61&lt;=1,1,0)))+(AND(P61&lt;&gt;"",N(P61)&gt;=1.2)))</f>
        <v/>
      </c>
      <c r="AA61" s="16" t="str">
        <f aca="false">IF(C61="","",IF(H61="",0,IF(AND(H61&gt;0,H61&lt;=20),2,IF(AND(H61&gt;0,H61&lt;=30),1,0)))+IF(J61="",0,IF(AND(J61&gt;0,J61&lt;=20),2,IF(AND(J61&gt;0,J61&lt;=30),1,0))))</f>
        <v/>
      </c>
      <c r="AB61" s="16" t="str">
        <f aca="false">IF(C61="","",IF(OR(N(T61)&gt;=0.01,N(S61)&gt;=0.02),1,0))</f>
        <v/>
      </c>
      <c r="AC61" s="16" t="str">
        <f aca="false">IF(C61="","",MIN(2,N(U61))+MIN(2,N(V61)))</f>
        <v/>
      </c>
      <c r="AD61" s="50" t="str">
        <f aca="false">IFERROR(IF(OR(W61="",F61="",N(F61)=0),"",W61/F61-1),"")</f>
        <v/>
      </c>
      <c r="AE61" s="16" t="str">
        <f aca="false">IF(C61="","",IF(AD61="",0,IF(AD61&gt;=0.25,2,IF(AD61&gt;=0.1,1,0))))</f>
        <v/>
      </c>
      <c r="AF61" s="23" t="str">
        <f aca="false">IF(C61="","",X61+Y61+Z61+AA61+AB61+AC61+AE61)</f>
        <v/>
      </c>
      <c r="AG61" s="24" t="str">
        <f aca="false">IF(C61="","",IF(AF61&gt;=18,"A",IF(AF61&gt;=13,"B","C")))</f>
        <v/>
      </c>
      <c r="AH61" s="14" t="str">
        <f aca="false">IF(C61="","",IF(OR(AI61="Sold",AI61="Rejected"),"Closed",IF(AI61="Owned",IF(AND(ISNUMBER(W61),ISNUMBER(AL61),AL61&gt;W61*1.2),"REVIEW — price 20%+ above fair value",IF(AF61&lt;13,"REVIEW — quality score fell below 13","HOLD — re-check thesis yearly")),IF(AG61="A","Full LRC Stock Analysis",IF(AG61="B","Watch — re-check next month","Reject")))))</f>
        <v/>
      </c>
      <c r="AI61" s="35"/>
      <c r="AJ61" s="35"/>
      <c r="AK61" s="19"/>
      <c r="AL61" s="26"/>
      <c r="AM61" s="41" t="str">
        <f aca="false">IFERROR(IF(OR(AL61="",F61="",N(F61)=0),"",AL61/F61-1),"")</f>
        <v/>
      </c>
      <c r="AN61" s="35"/>
      <c r="AP61" s="43" t="str">
        <f aca="false">IF(AND(C61&lt;&gt;"",A61=$C$4,ISNUMBER(AF61)),AF61+ROW()/100000,"")</f>
        <v/>
      </c>
    </row>
    <row r="62" customFormat="false" ht="15" hidden="false" customHeight="false" outlineLevel="0" collapsed="false">
      <c r="A62" s="19"/>
      <c r="B62" s="35"/>
      <c r="C62" s="35"/>
      <c r="D62" s="35"/>
      <c r="E62" s="35"/>
      <c r="F62" s="26"/>
      <c r="G62" s="26"/>
      <c r="H62" s="49"/>
      <c r="I62" s="38"/>
      <c r="J62" s="49"/>
      <c r="K62" s="21"/>
      <c r="L62" s="21"/>
      <c r="M62" s="21"/>
      <c r="N62" s="21"/>
      <c r="O62" s="38"/>
      <c r="P62" s="38"/>
      <c r="Q62" s="21"/>
      <c r="R62" s="21"/>
      <c r="S62" s="21"/>
      <c r="T62" s="21"/>
      <c r="U62" s="25"/>
      <c r="V62" s="25"/>
      <c r="W62" s="26"/>
      <c r="X62" s="16" t="str">
        <f aca="false">IF(C62="","",IF(K62="",0,IF(K62&gt;=0.15,2,IF(K62&gt;=0.1,1,0)))+IF(L62="",0,IF(L62&gt;=0.12,2,IF(L62&gt;=0.08,1,0)))+(AND(N62&lt;&gt;"",N(N62)&gt;=0.15))+(AND(M62&lt;&gt;"",N(M62)&gt;=0.4)))</f>
        <v/>
      </c>
      <c r="Y62" s="16" t="str">
        <f aca="false">IF(C62="","",IF(Q62="",0,IF(Q62&gt;=0.1,2,IF(Q62&gt;=0.05,1,0)))+IF(R62="",0,IF(R62&gt;=0.08,2,IF(R62&gt;=0.04,1,0))))</f>
        <v/>
      </c>
      <c r="Z62" s="16" t="str">
        <f aca="false">IF(C62="","",IF(O62="",0,IF(O62&lt;=0.5,2,IF(O62&lt;=1,1,0)))+(AND(P62&lt;&gt;"",N(P62)&gt;=1.2)))</f>
        <v/>
      </c>
      <c r="AA62" s="16" t="str">
        <f aca="false">IF(C62="","",IF(H62="",0,IF(AND(H62&gt;0,H62&lt;=20),2,IF(AND(H62&gt;0,H62&lt;=30),1,0)))+IF(J62="",0,IF(AND(J62&gt;0,J62&lt;=20),2,IF(AND(J62&gt;0,J62&lt;=30),1,0))))</f>
        <v/>
      </c>
      <c r="AB62" s="16" t="str">
        <f aca="false">IF(C62="","",IF(OR(N(T62)&gt;=0.01,N(S62)&gt;=0.02),1,0))</f>
        <v/>
      </c>
      <c r="AC62" s="16" t="str">
        <f aca="false">IF(C62="","",MIN(2,N(U62))+MIN(2,N(V62)))</f>
        <v/>
      </c>
      <c r="AD62" s="50" t="str">
        <f aca="false">IFERROR(IF(OR(W62="",F62="",N(F62)=0),"",W62/F62-1),"")</f>
        <v/>
      </c>
      <c r="AE62" s="16" t="str">
        <f aca="false">IF(C62="","",IF(AD62="",0,IF(AD62&gt;=0.25,2,IF(AD62&gt;=0.1,1,0))))</f>
        <v/>
      </c>
      <c r="AF62" s="23" t="str">
        <f aca="false">IF(C62="","",X62+Y62+Z62+AA62+AB62+AC62+AE62)</f>
        <v/>
      </c>
      <c r="AG62" s="24" t="str">
        <f aca="false">IF(C62="","",IF(AF62&gt;=18,"A",IF(AF62&gt;=13,"B","C")))</f>
        <v/>
      </c>
      <c r="AH62" s="14" t="str">
        <f aca="false">IF(C62="","",IF(OR(AI62="Sold",AI62="Rejected"),"Closed",IF(AI62="Owned",IF(AND(ISNUMBER(W62),ISNUMBER(AL62),AL62&gt;W62*1.2),"REVIEW — price 20%+ above fair value",IF(AF62&lt;13,"REVIEW — quality score fell below 13","HOLD — re-check thesis yearly")),IF(AG62="A","Full LRC Stock Analysis",IF(AG62="B","Watch — re-check next month","Reject")))))</f>
        <v/>
      </c>
      <c r="AI62" s="35"/>
      <c r="AJ62" s="35"/>
      <c r="AK62" s="19"/>
      <c r="AL62" s="26"/>
      <c r="AM62" s="41" t="str">
        <f aca="false">IFERROR(IF(OR(AL62="",F62="",N(F62)=0),"",AL62/F62-1),"")</f>
        <v/>
      </c>
      <c r="AN62" s="35"/>
      <c r="AP62" s="43" t="str">
        <f aca="false">IF(AND(C62&lt;&gt;"",A62=$C$4,ISNUMBER(AF62)),AF62+ROW()/100000,"")</f>
        <v/>
      </c>
    </row>
    <row r="63" customFormat="false" ht="15" hidden="false" customHeight="false" outlineLevel="0" collapsed="false">
      <c r="A63" s="19"/>
      <c r="B63" s="35"/>
      <c r="C63" s="35"/>
      <c r="D63" s="35"/>
      <c r="E63" s="35"/>
      <c r="F63" s="26"/>
      <c r="G63" s="26"/>
      <c r="H63" s="49"/>
      <c r="I63" s="38"/>
      <c r="J63" s="49"/>
      <c r="K63" s="21"/>
      <c r="L63" s="21"/>
      <c r="M63" s="21"/>
      <c r="N63" s="21"/>
      <c r="O63" s="38"/>
      <c r="P63" s="38"/>
      <c r="Q63" s="21"/>
      <c r="R63" s="21"/>
      <c r="S63" s="21"/>
      <c r="T63" s="21"/>
      <c r="U63" s="25"/>
      <c r="V63" s="25"/>
      <c r="W63" s="26"/>
      <c r="X63" s="16" t="str">
        <f aca="false">IF(C63="","",IF(K63="",0,IF(K63&gt;=0.15,2,IF(K63&gt;=0.1,1,0)))+IF(L63="",0,IF(L63&gt;=0.12,2,IF(L63&gt;=0.08,1,0)))+(AND(N63&lt;&gt;"",N(N63)&gt;=0.15))+(AND(M63&lt;&gt;"",N(M63)&gt;=0.4)))</f>
        <v/>
      </c>
      <c r="Y63" s="16" t="str">
        <f aca="false">IF(C63="","",IF(Q63="",0,IF(Q63&gt;=0.1,2,IF(Q63&gt;=0.05,1,0)))+IF(R63="",0,IF(R63&gt;=0.08,2,IF(R63&gt;=0.04,1,0))))</f>
        <v/>
      </c>
      <c r="Z63" s="16" t="str">
        <f aca="false">IF(C63="","",IF(O63="",0,IF(O63&lt;=0.5,2,IF(O63&lt;=1,1,0)))+(AND(P63&lt;&gt;"",N(P63)&gt;=1.2)))</f>
        <v/>
      </c>
      <c r="AA63" s="16" t="str">
        <f aca="false">IF(C63="","",IF(H63="",0,IF(AND(H63&gt;0,H63&lt;=20),2,IF(AND(H63&gt;0,H63&lt;=30),1,0)))+IF(J63="",0,IF(AND(J63&gt;0,J63&lt;=20),2,IF(AND(J63&gt;0,J63&lt;=30),1,0))))</f>
        <v/>
      </c>
      <c r="AB63" s="16" t="str">
        <f aca="false">IF(C63="","",IF(OR(N(T63)&gt;=0.01,N(S63)&gt;=0.02),1,0))</f>
        <v/>
      </c>
      <c r="AC63" s="16" t="str">
        <f aca="false">IF(C63="","",MIN(2,N(U63))+MIN(2,N(V63)))</f>
        <v/>
      </c>
      <c r="AD63" s="50" t="str">
        <f aca="false">IFERROR(IF(OR(W63="",F63="",N(F63)=0),"",W63/F63-1),"")</f>
        <v/>
      </c>
      <c r="AE63" s="16" t="str">
        <f aca="false">IF(C63="","",IF(AD63="",0,IF(AD63&gt;=0.25,2,IF(AD63&gt;=0.1,1,0))))</f>
        <v/>
      </c>
      <c r="AF63" s="23" t="str">
        <f aca="false">IF(C63="","",X63+Y63+Z63+AA63+AB63+AC63+AE63)</f>
        <v/>
      </c>
      <c r="AG63" s="24" t="str">
        <f aca="false">IF(C63="","",IF(AF63&gt;=18,"A",IF(AF63&gt;=13,"B","C")))</f>
        <v/>
      </c>
      <c r="AH63" s="14" t="str">
        <f aca="false">IF(C63="","",IF(OR(AI63="Sold",AI63="Rejected"),"Closed",IF(AI63="Owned",IF(AND(ISNUMBER(W63),ISNUMBER(AL63),AL63&gt;W63*1.2),"REVIEW — price 20%+ above fair value",IF(AF63&lt;13,"REVIEW — quality score fell below 13","HOLD — re-check thesis yearly")),IF(AG63="A","Full LRC Stock Analysis",IF(AG63="B","Watch — re-check next month","Reject")))))</f>
        <v/>
      </c>
      <c r="AI63" s="35"/>
      <c r="AJ63" s="35"/>
      <c r="AK63" s="19"/>
      <c r="AL63" s="26"/>
      <c r="AM63" s="41" t="str">
        <f aca="false">IFERROR(IF(OR(AL63="",F63="",N(F63)=0),"",AL63/F63-1),"")</f>
        <v/>
      </c>
      <c r="AN63" s="35"/>
      <c r="AP63" s="43" t="str">
        <f aca="false">IF(AND(C63&lt;&gt;"",A63=$C$4,ISNUMBER(AF63)),AF63+ROW()/100000,"")</f>
        <v/>
      </c>
    </row>
    <row r="64" customFormat="false" ht="15" hidden="false" customHeight="false" outlineLevel="0" collapsed="false">
      <c r="A64" s="19"/>
      <c r="B64" s="35"/>
      <c r="C64" s="35"/>
      <c r="D64" s="35"/>
      <c r="E64" s="35"/>
      <c r="F64" s="26"/>
      <c r="G64" s="26"/>
      <c r="H64" s="49"/>
      <c r="I64" s="38"/>
      <c r="J64" s="49"/>
      <c r="K64" s="21"/>
      <c r="L64" s="21"/>
      <c r="M64" s="21"/>
      <c r="N64" s="21"/>
      <c r="O64" s="38"/>
      <c r="P64" s="38"/>
      <c r="Q64" s="21"/>
      <c r="R64" s="21"/>
      <c r="S64" s="21"/>
      <c r="T64" s="21"/>
      <c r="U64" s="25"/>
      <c r="V64" s="25"/>
      <c r="W64" s="26"/>
      <c r="X64" s="16" t="str">
        <f aca="false">IF(C64="","",IF(K64="",0,IF(K64&gt;=0.15,2,IF(K64&gt;=0.1,1,0)))+IF(L64="",0,IF(L64&gt;=0.12,2,IF(L64&gt;=0.08,1,0)))+(AND(N64&lt;&gt;"",N(N64)&gt;=0.15))+(AND(M64&lt;&gt;"",N(M64)&gt;=0.4)))</f>
        <v/>
      </c>
      <c r="Y64" s="16" t="str">
        <f aca="false">IF(C64="","",IF(Q64="",0,IF(Q64&gt;=0.1,2,IF(Q64&gt;=0.05,1,0)))+IF(R64="",0,IF(R64&gt;=0.08,2,IF(R64&gt;=0.04,1,0))))</f>
        <v/>
      </c>
      <c r="Z64" s="16" t="str">
        <f aca="false">IF(C64="","",IF(O64="",0,IF(O64&lt;=0.5,2,IF(O64&lt;=1,1,0)))+(AND(P64&lt;&gt;"",N(P64)&gt;=1.2)))</f>
        <v/>
      </c>
      <c r="AA64" s="16" t="str">
        <f aca="false">IF(C64="","",IF(H64="",0,IF(AND(H64&gt;0,H64&lt;=20),2,IF(AND(H64&gt;0,H64&lt;=30),1,0)))+IF(J64="",0,IF(AND(J64&gt;0,J64&lt;=20),2,IF(AND(J64&gt;0,J64&lt;=30),1,0))))</f>
        <v/>
      </c>
      <c r="AB64" s="16" t="str">
        <f aca="false">IF(C64="","",IF(OR(N(T64)&gt;=0.01,N(S64)&gt;=0.02),1,0))</f>
        <v/>
      </c>
      <c r="AC64" s="16" t="str">
        <f aca="false">IF(C64="","",MIN(2,N(U64))+MIN(2,N(V64)))</f>
        <v/>
      </c>
      <c r="AD64" s="50" t="str">
        <f aca="false">IFERROR(IF(OR(W64="",F64="",N(F64)=0),"",W64/F64-1),"")</f>
        <v/>
      </c>
      <c r="AE64" s="16" t="str">
        <f aca="false">IF(C64="","",IF(AD64="",0,IF(AD64&gt;=0.25,2,IF(AD64&gt;=0.1,1,0))))</f>
        <v/>
      </c>
      <c r="AF64" s="23" t="str">
        <f aca="false">IF(C64="","",X64+Y64+Z64+AA64+AB64+AC64+AE64)</f>
        <v/>
      </c>
      <c r="AG64" s="24" t="str">
        <f aca="false">IF(C64="","",IF(AF64&gt;=18,"A",IF(AF64&gt;=13,"B","C")))</f>
        <v/>
      </c>
      <c r="AH64" s="14" t="str">
        <f aca="false">IF(C64="","",IF(OR(AI64="Sold",AI64="Rejected"),"Closed",IF(AI64="Owned",IF(AND(ISNUMBER(W64),ISNUMBER(AL64),AL64&gt;W64*1.2),"REVIEW — price 20%+ above fair value",IF(AF64&lt;13,"REVIEW — quality score fell below 13","HOLD — re-check thesis yearly")),IF(AG64="A","Full LRC Stock Analysis",IF(AG64="B","Watch — re-check next month","Reject")))))</f>
        <v/>
      </c>
      <c r="AI64" s="35"/>
      <c r="AJ64" s="35"/>
      <c r="AK64" s="19"/>
      <c r="AL64" s="26"/>
      <c r="AM64" s="41" t="str">
        <f aca="false">IFERROR(IF(OR(AL64="",F64="",N(F64)=0),"",AL64/F64-1),"")</f>
        <v/>
      </c>
      <c r="AN64" s="35"/>
      <c r="AP64" s="43" t="str">
        <f aca="false">IF(AND(C64&lt;&gt;"",A64=$C$4,ISNUMBER(AF64)),AF64+ROW()/100000,"")</f>
        <v/>
      </c>
    </row>
    <row r="65" customFormat="false" ht="15" hidden="false" customHeight="false" outlineLevel="0" collapsed="false">
      <c r="A65" s="19"/>
      <c r="B65" s="35"/>
      <c r="C65" s="35"/>
      <c r="D65" s="35"/>
      <c r="E65" s="35"/>
      <c r="F65" s="26"/>
      <c r="G65" s="26"/>
      <c r="H65" s="49"/>
      <c r="I65" s="38"/>
      <c r="J65" s="49"/>
      <c r="K65" s="21"/>
      <c r="L65" s="21"/>
      <c r="M65" s="21"/>
      <c r="N65" s="21"/>
      <c r="O65" s="38"/>
      <c r="P65" s="38"/>
      <c r="Q65" s="21"/>
      <c r="R65" s="21"/>
      <c r="S65" s="21"/>
      <c r="T65" s="21"/>
      <c r="U65" s="25"/>
      <c r="V65" s="25"/>
      <c r="W65" s="26"/>
      <c r="X65" s="16" t="str">
        <f aca="false">IF(C65="","",IF(K65="",0,IF(K65&gt;=0.15,2,IF(K65&gt;=0.1,1,0)))+IF(L65="",0,IF(L65&gt;=0.12,2,IF(L65&gt;=0.08,1,0)))+(AND(N65&lt;&gt;"",N(N65)&gt;=0.15))+(AND(M65&lt;&gt;"",N(M65)&gt;=0.4)))</f>
        <v/>
      </c>
      <c r="Y65" s="16" t="str">
        <f aca="false">IF(C65="","",IF(Q65="",0,IF(Q65&gt;=0.1,2,IF(Q65&gt;=0.05,1,0)))+IF(R65="",0,IF(R65&gt;=0.08,2,IF(R65&gt;=0.04,1,0))))</f>
        <v/>
      </c>
      <c r="Z65" s="16" t="str">
        <f aca="false">IF(C65="","",IF(O65="",0,IF(O65&lt;=0.5,2,IF(O65&lt;=1,1,0)))+(AND(P65&lt;&gt;"",N(P65)&gt;=1.2)))</f>
        <v/>
      </c>
      <c r="AA65" s="16" t="str">
        <f aca="false">IF(C65="","",IF(H65="",0,IF(AND(H65&gt;0,H65&lt;=20),2,IF(AND(H65&gt;0,H65&lt;=30),1,0)))+IF(J65="",0,IF(AND(J65&gt;0,J65&lt;=20),2,IF(AND(J65&gt;0,J65&lt;=30),1,0))))</f>
        <v/>
      </c>
      <c r="AB65" s="16" t="str">
        <f aca="false">IF(C65="","",IF(OR(N(T65)&gt;=0.01,N(S65)&gt;=0.02),1,0))</f>
        <v/>
      </c>
      <c r="AC65" s="16" t="str">
        <f aca="false">IF(C65="","",MIN(2,N(U65))+MIN(2,N(V65)))</f>
        <v/>
      </c>
      <c r="AD65" s="50" t="str">
        <f aca="false">IFERROR(IF(OR(W65="",F65="",N(F65)=0),"",W65/F65-1),"")</f>
        <v/>
      </c>
      <c r="AE65" s="16" t="str">
        <f aca="false">IF(C65="","",IF(AD65="",0,IF(AD65&gt;=0.25,2,IF(AD65&gt;=0.1,1,0))))</f>
        <v/>
      </c>
      <c r="AF65" s="23" t="str">
        <f aca="false">IF(C65="","",X65+Y65+Z65+AA65+AB65+AC65+AE65)</f>
        <v/>
      </c>
      <c r="AG65" s="24" t="str">
        <f aca="false">IF(C65="","",IF(AF65&gt;=18,"A",IF(AF65&gt;=13,"B","C")))</f>
        <v/>
      </c>
      <c r="AH65" s="14" t="str">
        <f aca="false">IF(C65="","",IF(OR(AI65="Sold",AI65="Rejected"),"Closed",IF(AI65="Owned",IF(AND(ISNUMBER(W65),ISNUMBER(AL65),AL65&gt;W65*1.2),"REVIEW — price 20%+ above fair value",IF(AF65&lt;13,"REVIEW — quality score fell below 13","HOLD — re-check thesis yearly")),IF(AG65="A","Full LRC Stock Analysis",IF(AG65="B","Watch — re-check next month","Reject")))))</f>
        <v/>
      </c>
      <c r="AI65" s="35"/>
      <c r="AJ65" s="35"/>
      <c r="AK65" s="19"/>
      <c r="AL65" s="26"/>
      <c r="AM65" s="41" t="str">
        <f aca="false">IFERROR(IF(OR(AL65="",F65="",N(F65)=0),"",AL65/F65-1),"")</f>
        <v/>
      </c>
      <c r="AN65" s="35"/>
      <c r="AP65" s="43" t="str">
        <f aca="false">IF(AND(C65&lt;&gt;"",A65=$C$4,ISNUMBER(AF65)),AF65+ROW()/100000,"")</f>
        <v/>
      </c>
    </row>
    <row r="66" customFormat="false" ht="15" hidden="false" customHeight="false" outlineLevel="0" collapsed="false">
      <c r="A66" s="19"/>
      <c r="B66" s="35"/>
      <c r="C66" s="35"/>
      <c r="D66" s="35"/>
      <c r="E66" s="35"/>
      <c r="F66" s="26"/>
      <c r="G66" s="26"/>
      <c r="H66" s="49"/>
      <c r="I66" s="38"/>
      <c r="J66" s="49"/>
      <c r="K66" s="21"/>
      <c r="L66" s="21"/>
      <c r="M66" s="21"/>
      <c r="N66" s="21"/>
      <c r="O66" s="38"/>
      <c r="P66" s="38"/>
      <c r="Q66" s="21"/>
      <c r="R66" s="21"/>
      <c r="S66" s="21"/>
      <c r="T66" s="21"/>
      <c r="U66" s="25"/>
      <c r="V66" s="25"/>
      <c r="W66" s="26"/>
      <c r="X66" s="16" t="str">
        <f aca="false">IF(C66="","",IF(K66="",0,IF(K66&gt;=0.15,2,IF(K66&gt;=0.1,1,0)))+IF(L66="",0,IF(L66&gt;=0.12,2,IF(L66&gt;=0.08,1,0)))+(AND(N66&lt;&gt;"",N(N66)&gt;=0.15))+(AND(M66&lt;&gt;"",N(M66)&gt;=0.4)))</f>
        <v/>
      </c>
      <c r="Y66" s="16" t="str">
        <f aca="false">IF(C66="","",IF(Q66="",0,IF(Q66&gt;=0.1,2,IF(Q66&gt;=0.05,1,0)))+IF(R66="",0,IF(R66&gt;=0.08,2,IF(R66&gt;=0.04,1,0))))</f>
        <v/>
      </c>
      <c r="Z66" s="16" t="str">
        <f aca="false">IF(C66="","",IF(O66="",0,IF(O66&lt;=0.5,2,IF(O66&lt;=1,1,0)))+(AND(P66&lt;&gt;"",N(P66)&gt;=1.2)))</f>
        <v/>
      </c>
      <c r="AA66" s="16" t="str">
        <f aca="false">IF(C66="","",IF(H66="",0,IF(AND(H66&gt;0,H66&lt;=20),2,IF(AND(H66&gt;0,H66&lt;=30),1,0)))+IF(J66="",0,IF(AND(J66&gt;0,J66&lt;=20),2,IF(AND(J66&gt;0,J66&lt;=30),1,0))))</f>
        <v/>
      </c>
      <c r="AB66" s="16" t="str">
        <f aca="false">IF(C66="","",IF(OR(N(T66)&gt;=0.01,N(S66)&gt;=0.02),1,0))</f>
        <v/>
      </c>
      <c r="AC66" s="16" t="str">
        <f aca="false">IF(C66="","",MIN(2,N(U66))+MIN(2,N(V66)))</f>
        <v/>
      </c>
      <c r="AD66" s="50" t="str">
        <f aca="false">IFERROR(IF(OR(W66="",F66="",N(F66)=0),"",W66/F66-1),"")</f>
        <v/>
      </c>
      <c r="AE66" s="16" t="str">
        <f aca="false">IF(C66="","",IF(AD66="",0,IF(AD66&gt;=0.25,2,IF(AD66&gt;=0.1,1,0))))</f>
        <v/>
      </c>
      <c r="AF66" s="23" t="str">
        <f aca="false">IF(C66="","",X66+Y66+Z66+AA66+AB66+AC66+AE66)</f>
        <v/>
      </c>
      <c r="AG66" s="24" t="str">
        <f aca="false">IF(C66="","",IF(AF66&gt;=18,"A",IF(AF66&gt;=13,"B","C")))</f>
        <v/>
      </c>
      <c r="AH66" s="14" t="str">
        <f aca="false">IF(C66="","",IF(OR(AI66="Sold",AI66="Rejected"),"Closed",IF(AI66="Owned",IF(AND(ISNUMBER(W66),ISNUMBER(AL66),AL66&gt;W66*1.2),"REVIEW — price 20%+ above fair value",IF(AF66&lt;13,"REVIEW — quality score fell below 13","HOLD — re-check thesis yearly")),IF(AG66="A","Full LRC Stock Analysis",IF(AG66="B","Watch — re-check next month","Reject")))))</f>
        <v/>
      </c>
      <c r="AI66" s="35"/>
      <c r="AJ66" s="35"/>
      <c r="AK66" s="19"/>
      <c r="AL66" s="26"/>
      <c r="AM66" s="41" t="str">
        <f aca="false">IFERROR(IF(OR(AL66="",F66="",N(F66)=0),"",AL66/F66-1),"")</f>
        <v/>
      </c>
      <c r="AN66" s="35"/>
      <c r="AP66" s="43" t="str">
        <f aca="false">IF(AND(C66&lt;&gt;"",A66=$C$4,ISNUMBER(AF66)),AF66+ROW()/100000,"")</f>
        <v/>
      </c>
    </row>
    <row r="67" customFormat="false" ht="15" hidden="false" customHeight="false" outlineLevel="0" collapsed="false">
      <c r="A67" s="19"/>
      <c r="B67" s="35"/>
      <c r="C67" s="35"/>
      <c r="D67" s="35"/>
      <c r="E67" s="35"/>
      <c r="F67" s="26"/>
      <c r="G67" s="26"/>
      <c r="H67" s="49"/>
      <c r="I67" s="38"/>
      <c r="J67" s="49"/>
      <c r="K67" s="21"/>
      <c r="L67" s="21"/>
      <c r="M67" s="21"/>
      <c r="N67" s="21"/>
      <c r="O67" s="38"/>
      <c r="P67" s="38"/>
      <c r="Q67" s="21"/>
      <c r="R67" s="21"/>
      <c r="S67" s="21"/>
      <c r="T67" s="21"/>
      <c r="U67" s="25"/>
      <c r="V67" s="25"/>
      <c r="W67" s="26"/>
      <c r="X67" s="16" t="str">
        <f aca="false">IF(C67="","",IF(K67="",0,IF(K67&gt;=0.15,2,IF(K67&gt;=0.1,1,0)))+IF(L67="",0,IF(L67&gt;=0.12,2,IF(L67&gt;=0.08,1,0)))+(AND(N67&lt;&gt;"",N(N67)&gt;=0.15))+(AND(M67&lt;&gt;"",N(M67)&gt;=0.4)))</f>
        <v/>
      </c>
      <c r="Y67" s="16" t="str">
        <f aca="false">IF(C67="","",IF(Q67="",0,IF(Q67&gt;=0.1,2,IF(Q67&gt;=0.05,1,0)))+IF(R67="",0,IF(R67&gt;=0.08,2,IF(R67&gt;=0.04,1,0))))</f>
        <v/>
      </c>
      <c r="Z67" s="16" t="str">
        <f aca="false">IF(C67="","",IF(O67="",0,IF(O67&lt;=0.5,2,IF(O67&lt;=1,1,0)))+(AND(P67&lt;&gt;"",N(P67)&gt;=1.2)))</f>
        <v/>
      </c>
      <c r="AA67" s="16" t="str">
        <f aca="false">IF(C67="","",IF(H67="",0,IF(AND(H67&gt;0,H67&lt;=20),2,IF(AND(H67&gt;0,H67&lt;=30),1,0)))+IF(J67="",0,IF(AND(J67&gt;0,J67&lt;=20),2,IF(AND(J67&gt;0,J67&lt;=30),1,0))))</f>
        <v/>
      </c>
      <c r="AB67" s="16" t="str">
        <f aca="false">IF(C67="","",IF(OR(N(T67)&gt;=0.01,N(S67)&gt;=0.02),1,0))</f>
        <v/>
      </c>
      <c r="AC67" s="16" t="str">
        <f aca="false">IF(C67="","",MIN(2,N(U67))+MIN(2,N(V67)))</f>
        <v/>
      </c>
      <c r="AD67" s="50" t="str">
        <f aca="false">IFERROR(IF(OR(W67="",F67="",N(F67)=0),"",W67/F67-1),"")</f>
        <v/>
      </c>
      <c r="AE67" s="16" t="str">
        <f aca="false">IF(C67="","",IF(AD67="",0,IF(AD67&gt;=0.25,2,IF(AD67&gt;=0.1,1,0))))</f>
        <v/>
      </c>
      <c r="AF67" s="23" t="str">
        <f aca="false">IF(C67="","",X67+Y67+Z67+AA67+AB67+AC67+AE67)</f>
        <v/>
      </c>
      <c r="AG67" s="24" t="str">
        <f aca="false">IF(C67="","",IF(AF67&gt;=18,"A",IF(AF67&gt;=13,"B","C")))</f>
        <v/>
      </c>
      <c r="AH67" s="14" t="str">
        <f aca="false">IF(C67="","",IF(OR(AI67="Sold",AI67="Rejected"),"Closed",IF(AI67="Owned",IF(AND(ISNUMBER(W67),ISNUMBER(AL67),AL67&gt;W67*1.2),"REVIEW — price 20%+ above fair value",IF(AF67&lt;13,"REVIEW — quality score fell below 13","HOLD — re-check thesis yearly")),IF(AG67="A","Full LRC Stock Analysis",IF(AG67="B","Watch — re-check next month","Reject")))))</f>
        <v/>
      </c>
      <c r="AI67" s="35"/>
      <c r="AJ67" s="35"/>
      <c r="AK67" s="19"/>
      <c r="AL67" s="26"/>
      <c r="AM67" s="41" t="str">
        <f aca="false">IFERROR(IF(OR(AL67="",F67="",N(F67)=0),"",AL67/F67-1),"")</f>
        <v/>
      </c>
      <c r="AN67" s="35"/>
      <c r="AP67" s="43" t="str">
        <f aca="false">IF(AND(C67&lt;&gt;"",A67=$C$4,ISNUMBER(AF67)),AF67+ROW()/100000,"")</f>
        <v/>
      </c>
    </row>
    <row r="68" customFormat="false" ht="15" hidden="false" customHeight="false" outlineLevel="0" collapsed="false">
      <c r="A68" s="19"/>
      <c r="B68" s="35"/>
      <c r="C68" s="35"/>
      <c r="D68" s="35"/>
      <c r="E68" s="35"/>
      <c r="F68" s="26"/>
      <c r="G68" s="26"/>
      <c r="H68" s="49"/>
      <c r="I68" s="38"/>
      <c r="J68" s="49"/>
      <c r="K68" s="21"/>
      <c r="L68" s="21"/>
      <c r="M68" s="21"/>
      <c r="N68" s="21"/>
      <c r="O68" s="38"/>
      <c r="P68" s="38"/>
      <c r="Q68" s="21"/>
      <c r="R68" s="21"/>
      <c r="S68" s="21"/>
      <c r="T68" s="21"/>
      <c r="U68" s="25"/>
      <c r="V68" s="25"/>
      <c r="W68" s="26"/>
      <c r="X68" s="16" t="str">
        <f aca="false">IF(C68="","",IF(K68="",0,IF(K68&gt;=0.15,2,IF(K68&gt;=0.1,1,0)))+IF(L68="",0,IF(L68&gt;=0.12,2,IF(L68&gt;=0.08,1,0)))+(AND(N68&lt;&gt;"",N(N68)&gt;=0.15))+(AND(M68&lt;&gt;"",N(M68)&gt;=0.4)))</f>
        <v/>
      </c>
      <c r="Y68" s="16" t="str">
        <f aca="false">IF(C68="","",IF(Q68="",0,IF(Q68&gt;=0.1,2,IF(Q68&gt;=0.05,1,0)))+IF(R68="",0,IF(R68&gt;=0.08,2,IF(R68&gt;=0.04,1,0))))</f>
        <v/>
      </c>
      <c r="Z68" s="16" t="str">
        <f aca="false">IF(C68="","",IF(O68="",0,IF(O68&lt;=0.5,2,IF(O68&lt;=1,1,0)))+(AND(P68&lt;&gt;"",N(P68)&gt;=1.2)))</f>
        <v/>
      </c>
      <c r="AA68" s="16" t="str">
        <f aca="false">IF(C68="","",IF(H68="",0,IF(AND(H68&gt;0,H68&lt;=20),2,IF(AND(H68&gt;0,H68&lt;=30),1,0)))+IF(J68="",0,IF(AND(J68&gt;0,J68&lt;=20),2,IF(AND(J68&gt;0,J68&lt;=30),1,0))))</f>
        <v/>
      </c>
      <c r="AB68" s="16" t="str">
        <f aca="false">IF(C68="","",IF(OR(N(T68)&gt;=0.01,N(S68)&gt;=0.02),1,0))</f>
        <v/>
      </c>
      <c r="AC68" s="16" t="str">
        <f aca="false">IF(C68="","",MIN(2,N(U68))+MIN(2,N(V68)))</f>
        <v/>
      </c>
      <c r="AD68" s="50" t="str">
        <f aca="false">IFERROR(IF(OR(W68="",F68="",N(F68)=0),"",W68/F68-1),"")</f>
        <v/>
      </c>
      <c r="AE68" s="16" t="str">
        <f aca="false">IF(C68="","",IF(AD68="",0,IF(AD68&gt;=0.25,2,IF(AD68&gt;=0.1,1,0))))</f>
        <v/>
      </c>
      <c r="AF68" s="23" t="str">
        <f aca="false">IF(C68="","",X68+Y68+Z68+AA68+AB68+AC68+AE68)</f>
        <v/>
      </c>
      <c r="AG68" s="24" t="str">
        <f aca="false">IF(C68="","",IF(AF68&gt;=18,"A",IF(AF68&gt;=13,"B","C")))</f>
        <v/>
      </c>
      <c r="AH68" s="14" t="str">
        <f aca="false">IF(C68="","",IF(OR(AI68="Sold",AI68="Rejected"),"Closed",IF(AI68="Owned",IF(AND(ISNUMBER(W68),ISNUMBER(AL68),AL68&gt;W68*1.2),"REVIEW — price 20%+ above fair value",IF(AF68&lt;13,"REVIEW — quality score fell below 13","HOLD — re-check thesis yearly")),IF(AG68="A","Full LRC Stock Analysis",IF(AG68="B","Watch — re-check next month","Reject")))))</f>
        <v/>
      </c>
      <c r="AI68" s="35"/>
      <c r="AJ68" s="35"/>
      <c r="AK68" s="19"/>
      <c r="AL68" s="26"/>
      <c r="AM68" s="41" t="str">
        <f aca="false">IFERROR(IF(OR(AL68="",F68="",N(F68)=0),"",AL68/F68-1),"")</f>
        <v/>
      </c>
      <c r="AN68" s="35"/>
      <c r="AP68" s="43" t="str">
        <f aca="false">IF(AND(C68&lt;&gt;"",A68=$C$4,ISNUMBER(AF68)),AF68+ROW()/100000,"")</f>
        <v/>
      </c>
    </row>
    <row r="69" customFormat="false" ht="15" hidden="false" customHeight="false" outlineLevel="0" collapsed="false">
      <c r="A69" s="19"/>
      <c r="B69" s="35"/>
      <c r="C69" s="35"/>
      <c r="D69" s="35"/>
      <c r="E69" s="35"/>
      <c r="F69" s="26"/>
      <c r="G69" s="26"/>
      <c r="H69" s="49"/>
      <c r="I69" s="38"/>
      <c r="J69" s="49"/>
      <c r="K69" s="21"/>
      <c r="L69" s="21"/>
      <c r="M69" s="21"/>
      <c r="N69" s="21"/>
      <c r="O69" s="38"/>
      <c r="P69" s="38"/>
      <c r="Q69" s="21"/>
      <c r="R69" s="21"/>
      <c r="S69" s="21"/>
      <c r="T69" s="21"/>
      <c r="U69" s="25"/>
      <c r="V69" s="25"/>
      <c r="W69" s="26"/>
      <c r="X69" s="16" t="str">
        <f aca="false">IF(C69="","",IF(K69="",0,IF(K69&gt;=0.15,2,IF(K69&gt;=0.1,1,0)))+IF(L69="",0,IF(L69&gt;=0.12,2,IF(L69&gt;=0.08,1,0)))+(AND(N69&lt;&gt;"",N(N69)&gt;=0.15))+(AND(M69&lt;&gt;"",N(M69)&gt;=0.4)))</f>
        <v/>
      </c>
      <c r="Y69" s="16" t="str">
        <f aca="false">IF(C69="","",IF(Q69="",0,IF(Q69&gt;=0.1,2,IF(Q69&gt;=0.05,1,0)))+IF(R69="",0,IF(R69&gt;=0.08,2,IF(R69&gt;=0.04,1,0))))</f>
        <v/>
      </c>
      <c r="Z69" s="16" t="str">
        <f aca="false">IF(C69="","",IF(O69="",0,IF(O69&lt;=0.5,2,IF(O69&lt;=1,1,0)))+(AND(P69&lt;&gt;"",N(P69)&gt;=1.2)))</f>
        <v/>
      </c>
      <c r="AA69" s="16" t="str">
        <f aca="false">IF(C69="","",IF(H69="",0,IF(AND(H69&gt;0,H69&lt;=20),2,IF(AND(H69&gt;0,H69&lt;=30),1,0)))+IF(J69="",0,IF(AND(J69&gt;0,J69&lt;=20),2,IF(AND(J69&gt;0,J69&lt;=30),1,0))))</f>
        <v/>
      </c>
      <c r="AB69" s="16" t="str">
        <f aca="false">IF(C69="","",IF(OR(N(T69)&gt;=0.01,N(S69)&gt;=0.02),1,0))</f>
        <v/>
      </c>
      <c r="AC69" s="16" t="str">
        <f aca="false">IF(C69="","",MIN(2,N(U69))+MIN(2,N(V69)))</f>
        <v/>
      </c>
      <c r="AD69" s="50" t="str">
        <f aca="false">IFERROR(IF(OR(W69="",F69="",N(F69)=0),"",W69/F69-1),"")</f>
        <v/>
      </c>
      <c r="AE69" s="16" t="str">
        <f aca="false">IF(C69="","",IF(AD69="",0,IF(AD69&gt;=0.25,2,IF(AD69&gt;=0.1,1,0))))</f>
        <v/>
      </c>
      <c r="AF69" s="23" t="str">
        <f aca="false">IF(C69="","",X69+Y69+Z69+AA69+AB69+AC69+AE69)</f>
        <v/>
      </c>
      <c r="AG69" s="24" t="str">
        <f aca="false">IF(C69="","",IF(AF69&gt;=18,"A",IF(AF69&gt;=13,"B","C")))</f>
        <v/>
      </c>
      <c r="AH69" s="14" t="str">
        <f aca="false">IF(C69="","",IF(OR(AI69="Sold",AI69="Rejected"),"Closed",IF(AI69="Owned",IF(AND(ISNUMBER(W69),ISNUMBER(AL69),AL69&gt;W69*1.2),"REVIEW — price 20%+ above fair value",IF(AF69&lt;13,"REVIEW — quality score fell below 13","HOLD — re-check thesis yearly")),IF(AG69="A","Full LRC Stock Analysis",IF(AG69="B","Watch — re-check next month","Reject")))))</f>
        <v/>
      </c>
      <c r="AI69" s="35"/>
      <c r="AJ69" s="35"/>
      <c r="AK69" s="19"/>
      <c r="AL69" s="26"/>
      <c r="AM69" s="41" t="str">
        <f aca="false">IFERROR(IF(OR(AL69="",F69="",N(F69)=0),"",AL69/F69-1),"")</f>
        <v/>
      </c>
      <c r="AN69" s="35"/>
      <c r="AP69" s="43" t="str">
        <f aca="false">IF(AND(C69&lt;&gt;"",A69=$C$4,ISNUMBER(AF69)),AF69+ROW()/100000,"")</f>
        <v/>
      </c>
    </row>
    <row r="70" customFormat="false" ht="15" hidden="false" customHeight="false" outlineLevel="0" collapsed="false">
      <c r="A70" s="19"/>
      <c r="B70" s="35"/>
      <c r="C70" s="35"/>
      <c r="D70" s="35"/>
      <c r="E70" s="35"/>
      <c r="F70" s="26"/>
      <c r="G70" s="26"/>
      <c r="H70" s="49"/>
      <c r="I70" s="38"/>
      <c r="J70" s="49"/>
      <c r="K70" s="21"/>
      <c r="L70" s="21"/>
      <c r="M70" s="21"/>
      <c r="N70" s="21"/>
      <c r="O70" s="38"/>
      <c r="P70" s="38"/>
      <c r="Q70" s="21"/>
      <c r="R70" s="21"/>
      <c r="S70" s="21"/>
      <c r="T70" s="21"/>
      <c r="U70" s="25"/>
      <c r="V70" s="25"/>
      <c r="W70" s="26"/>
      <c r="X70" s="16" t="str">
        <f aca="false">IF(C70="","",IF(K70="",0,IF(K70&gt;=0.15,2,IF(K70&gt;=0.1,1,0)))+IF(L70="",0,IF(L70&gt;=0.12,2,IF(L70&gt;=0.08,1,0)))+(AND(N70&lt;&gt;"",N(N70)&gt;=0.15))+(AND(M70&lt;&gt;"",N(M70)&gt;=0.4)))</f>
        <v/>
      </c>
      <c r="Y70" s="16" t="str">
        <f aca="false">IF(C70="","",IF(Q70="",0,IF(Q70&gt;=0.1,2,IF(Q70&gt;=0.05,1,0)))+IF(R70="",0,IF(R70&gt;=0.08,2,IF(R70&gt;=0.04,1,0))))</f>
        <v/>
      </c>
      <c r="Z70" s="16" t="str">
        <f aca="false">IF(C70="","",IF(O70="",0,IF(O70&lt;=0.5,2,IF(O70&lt;=1,1,0)))+(AND(P70&lt;&gt;"",N(P70)&gt;=1.2)))</f>
        <v/>
      </c>
      <c r="AA70" s="16" t="str">
        <f aca="false">IF(C70="","",IF(H70="",0,IF(AND(H70&gt;0,H70&lt;=20),2,IF(AND(H70&gt;0,H70&lt;=30),1,0)))+IF(J70="",0,IF(AND(J70&gt;0,J70&lt;=20),2,IF(AND(J70&gt;0,J70&lt;=30),1,0))))</f>
        <v/>
      </c>
      <c r="AB70" s="16" t="str">
        <f aca="false">IF(C70="","",IF(OR(N(T70)&gt;=0.01,N(S70)&gt;=0.02),1,0))</f>
        <v/>
      </c>
      <c r="AC70" s="16" t="str">
        <f aca="false">IF(C70="","",MIN(2,N(U70))+MIN(2,N(V70)))</f>
        <v/>
      </c>
      <c r="AD70" s="50" t="str">
        <f aca="false">IFERROR(IF(OR(W70="",F70="",N(F70)=0),"",W70/F70-1),"")</f>
        <v/>
      </c>
      <c r="AE70" s="16" t="str">
        <f aca="false">IF(C70="","",IF(AD70="",0,IF(AD70&gt;=0.25,2,IF(AD70&gt;=0.1,1,0))))</f>
        <v/>
      </c>
      <c r="AF70" s="23" t="str">
        <f aca="false">IF(C70="","",X70+Y70+Z70+AA70+AB70+AC70+AE70)</f>
        <v/>
      </c>
      <c r="AG70" s="24" t="str">
        <f aca="false">IF(C70="","",IF(AF70&gt;=18,"A",IF(AF70&gt;=13,"B","C")))</f>
        <v/>
      </c>
      <c r="AH70" s="14" t="str">
        <f aca="false">IF(C70="","",IF(OR(AI70="Sold",AI70="Rejected"),"Closed",IF(AI70="Owned",IF(AND(ISNUMBER(W70),ISNUMBER(AL70),AL70&gt;W70*1.2),"REVIEW — price 20%+ above fair value",IF(AF70&lt;13,"REVIEW — quality score fell below 13","HOLD — re-check thesis yearly")),IF(AG70="A","Full LRC Stock Analysis",IF(AG70="B","Watch — re-check next month","Reject")))))</f>
        <v/>
      </c>
      <c r="AI70" s="35"/>
      <c r="AJ70" s="35"/>
      <c r="AK70" s="19"/>
      <c r="AL70" s="26"/>
      <c r="AM70" s="41" t="str">
        <f aca="false">IFERROR(IF(OR(AL70="",F70="",N(F70)=0),"",AL70/F70-1),"")</f>
        <v/>
      </c>
      <c r="AN70" s="35"/>
      <c r="AP70" s="43" t="str">
        <f aca="false">IF(AND(C70&lt;&gt;"",A70=$C$4,ISNUMBER(AF70)),AF70+ROW()/100000,"")</f>
        <v/>
      </c>
    </row>
    <row r="71" customFormat="false" ht="15" hidden="false" customHeight="false" outlineLevel="0" collapsed="false">
      <c r="A71" s="19"/>
      <c r="B71" s="35"/>
      <c r="C71" s="35"/>
      <c r="D71" s="35"/>
      <c r="E71" s="35"/>
      <c r="F71" s="26"/>
      <c r="G71" s="26"/>
      <c r="H71" s="49"/>
      <c r="I71" s="38"/>
      <c r="J71" s="49"/>
      <c r="K71" s="21"/>
      <c r="L71" s="21"/>
      <c r="M71" s="21"/>
      <c r="N71" s="21"/>
      <c r="O71" s="38"/>
      <c r="P71" s="38"/>
      <c r="Q71" s="21"/>
      <c r="R71" s="21"/>
      <c r="S71" s="21"/>
      <c r="T71" s="21"/>
      <c r="U71" s="25"/>
      <c r="V71" s="25"/>
      <c r="W71" s="26"/>
      <c r="X71" s="16" t="str">
        <f aca="false">IF(C71="","",IF(K71="",0,IF(K71&gt;=0.15,2,IF(K71&gt;=0.1,1,0)))+IF(L71="",0,IF(L71&gt;=0.12,2,IF(L71&gt;=0.08,1,0)))+(AND(N71&lt;&gt;"",N(N71)&gt;=0.15))+(AND(M71&lt;&gt;"",N(M71)&gt;=0.4)))</f>
        <v/>
      </c>
      <c r="Y71" s="16" t="str">
        <f aca="false">IF(C71="","",IF(Q71="",0,IF(Q71&gt;=0.1,2,IF(Q71&gt;=0.05,1,0)))+IF(R71="",0,IF(R71&gt;=0.08,2,IF(R71&gt;=0.04,1,0))))</f>
        <v/>
      </c>
      <c r="Z71" s="16" t="str">
        <f aca="false">IF(C71="","",IF(O71="",0,IF(O71&lt;=0.5,2,IF(O71&lt;=1,1,0)))+(AND(P71&lt;&gt;"",N(P71)&gt;=1.2)))</f>
        <v/>
      </c>
      <c r="AA71" s="16" t="str">
        <f aca="false">IF(C71="","",IF(H71="",0,IF(AND(H71&gt;0,H71&lt;=20),2,IF(AND(H71&gt;0,H71&lt;=30),1,0)))+IF(J71="",0,IF(AND(J71&gt;0,J71&lt;=20),2,IF(AND(J71&gt;0,J71&lt;=30),1,0))))</f>
        <v/>
      </c>
      <c r="AB71" s="16" t="str">
        <f aca="false">IF(C71="","",IF(OR(N(T71)&gt;=0.01,N(S71)&gt;=0.02),1,0))</f>
        <v/>
      </c>
      <c r="AC71" s="16" t="str">
        <f aca="false">IF(C71="","",MIN(2,N(U71))+MIN(2,N(V71)))</f>
        <v/>
      </c>
      <c r="AD71" s="50" t="str">
        <f aca="false">IFERROR(IF(OR(W71="",F71="",N(F71)=0),"",W71/F71-1),"")</f>
        <v/>
      </c>
      <c r="AE71" s="16" t="str">
        <f aca="false">IF(C71="","",IF(AD71="",0,IF(AD71&gt;=0.25,2,IF(AD71&gt;=0.1,1,0))))</f>
        <v/>
      </c>
      <c r="AF71" s="23" t="str">
        <f aca="false">IF(C71="","",X71+Y71+Z71+AA71+AB71+AC71+AE71)</f>
        <v/>
      </c>
      <c r="AG71" s="24" t="str">
        <f aca="false">IF(C71="","",IF(AF71&gt;=18,"A",IF(AF71&gt;=13,"B","C")))</f>
        <v/>
      </c>
      <c r="AH71" s="14" t="str">
        <f aca="false">IF(C71="","",IF(OR(AI71="Sold",AI71="Rejected"),"Closed",IF(AI71="Owned",IF(AND(ISNUMBER(W71),ISNUMBER(AL71),AL71&gt;W71*1.2),"REVIEW — price 20%+ above fair value",IF(AF71&lt;13,"REVIEW — quality score fell below 13","HOLD — re-check thesis yearly")),IF(AG71="A","Full LRC Stock Analysis",IF(AG71="B","Watch — re-check next month","Reject")))))</f>
        <v/>
      </c>
      <c r="AI71" s="35"/>
      <c r="AJ71" s="35"/>
      <c r="AK71" s="19"/>
      <c r="AL71" s="26"/>
      <c r="AM71" s="41" t="str">
        <f aca="false">IFERROR(IF(OR(AL71="",F71="",N(F71)=0),"",AL71/F71-1),"")</f>
        <v/>
      </c>
      <c r="AN71" s="35"/>
      <c r="AP71" s="43" t="str">
        <f aca="false">IF(AND(C71&lt;&gt;"",A71=$C$4,ISNUMBER(AF71)),AF71+ROW()/100000,"")</f>
        <v/>
      </c>
    </row>
    <row r="72" customFormat="false" ht="15" hidden="false" customHeight="false" outlineLevel="0" collapsed="false">
      <c r="A72" s="19"/>
      <c r="B72" s="35"/>
      <c r="C72" s="35"/>
      <c r="D72" s="35"/>
      <c r="E72" s="35"/>
      <c r="F72" s="26"/>
      <c r="G72" s="26"/>
      <c r="H72" s="49"/>
      <c r="I72" s="38"/>
      <c r="J72" s="49"/>
      <c r="K72" s="21"/>
      <c r="L72" s="21"/>
      <c r="M72" s="21"/>
      <c r="N72" s="21"/>
      <c r="O72" s="38"/>
      <c r="P72" s="38"/>
      <c r="Q72" s="21"/>
      <c r="R72" s="21"/>
      <c r="S72" s="21"/>
      <c r="T72" s="21"/>
      <c r="U72" s="25"/>
      <c r="V72" s="25"/>
      <c r="W72" s="26"/>
      <c r="X72" s="16" t="str">
        <f aca="false">IF(C72="","",IF(K72="",0,IF(K72&gt;=0.15,2,IF(K72&gt;=0.1,1,0)))+IF(L72="",0,IF(L72&gt;=0.12,2,IF(L72&gt;=0.08,1,0)))+(AND(N72&lt;&gt;"",N(N72)&gt;=0.15))+(AND(M72&lt;&gt;"",N(M72)&gt;=0.4)))</f>
        <v/>
      </c>
      <c r="Y72" s="16" t="str">
        <f aca="false">IF(C72="","",IF(Q72="",0,IF(Q72&gt;=0.1,2,IF(Q72&gt;=0.05,1,0)))+IF(R72="",0,IF(R72&gt;=0.08,2,IF(R72&gt;=0.04,1,0))))</f>
        <v/>
      </c>
      <c r="Z72" s="16" t="str">
        <f aca="false">IF(C72="","",IF(O72="",0,IF(O72&lt;=0.5,2,IF(O72&lt;=1,1,0)))+(AND(P72&lt;&gt;"",N(P72)&gt;=1.2)))</f>
        <v/>
      </c>
      <c r="AA72" s="16" t="str">
        <f aca="false">IF(C72="","",IF(H72="",0,IF(AND(H72&gt;0,H72&lt;=20),2,IF(AND(H72&gt;0,H72&lt;=30),1,0)))+IF(J72="",0,IF(AND(J72&gt;0,J72&lt;=20),2,IF(AND(J72&gt;0,J72&lt;=30),1,0))))</f>
        <v/>
      </c>
      <c r="AB72" s="16" t="str">
        <f aca="false">IF(C72="","",IF(OR(N(T72)&gt;=0.01,N(S72)&gt;=0.02),1,0))</f>
        <v/>
      </c>
      <c r="AC72" s="16" t="str">
        <f aca="false">IF(C72="","",MIN(2,N(U72))+MIN(2,N(V72)))</f>
        <v/>
      </c>
      <c r="AD72" s="50" t="str">
        <f aca="false">IFERROR(IF(OR(W72="",F72="",N(F72)=0),"",W72/F72-1),"")</f>
        <v/>
      </c>
      <c r="AE72" s="16" t="str">
        <f aca="false">IF(C72="","",IF(AD72="",0,IF(AD72&gt;=0.25,2,IF(AD72&gt;=0.1,1,0))))</f>
        <v/>
      </c>
      <c r="AF72" s="23" t="str">
        <f aca="false">IF(C72="","",X72+Y72+Z72+AA72+AB72+AC72+AE72)</f>
        <v/>
      </c>
      <c r="AG72" s="24" t="str">
        <f aca="false">IF(C72="","",IF(AF72&gt;=18,"A",IF(AF72&gt;=13,"B","C")))</f>
        <v/>
      </c>
      <c r="AH72" s="14" t="str">
        <f aca="false">IF(C72="","",IF(OR(AI72="Sold",AI72="Rejected"),"Closed",IF(AI72="Owned",IF(AND(ISNUMBER(W72),ISNUMBER(AL72),AL72&gt;W72*1.2),"REVIEW — price 20%+ above fair value",IF(AF72&lt;13,"REVIEW — quality score fell below 13","HOLD — re-check thesis yearly")),IF(AG72="A","Full LRC Stock Analysis",IF(AG72="B","Watch — re-check next month","Reject")))))</f>
        <v/>
      </c>
      <c r="AI72" s="35"/>
      <c r="AJ72" s="35"/>
      <c r="AK72" s="19"/>
      <c r="AL72" s="26"/>
      <c r="AM72" s="41" t="str">
        <f aca="false">IFERROR(IF(OR(AL72="",F72="",N(F72)=0),"",AL72/F72-1),"")</f>
        <v/>
      </c>
      <c r="AN72" s="35"/>
      <c r="AP72" s="43" t="str">
        <f aca="false">IF(AND(C72&lt;&gt;"",A72=$C$4,ISNUMBER(AF72)),AF72+ROW()/100000,"")</f>
        <v/>
      </c>
    </row>
    <row r="73" customFormat="false" ht="15" hidden="false" customHeight="false" outlineLevel="0" collapsed="false">
      <c r="A73" s="19"/>
      <c r="B73" s="35"/>
      <c r="C73" s="35"/>
      <c r="D73" s="35"/>
      <c r="E73" s="35"/>
      <c r="F73" s="26"/>
      <c r="G73" s="26"/>
      <c r="H73" s="49"/>
      <c r="I73" s="38"/>
      <c r="J73" s="49"/>
      <c r="K73" s="21"/>
      <c r="L73" s="21"/>
      <c r="M73" s="21"/>
      <c r="N73" s="21"/>
      <c r="O73" s="38"/>
      <c r="P73" s="38"/>
      <c r="Q73" s="21"/>
      <c r="R73" s="21"/>
      <c r="S73" s="21"/>
      <c r="T73" s="21"/>
      <c r="U73" s="25"/>
      <c r="V73" s="25"/>
      <c r="W73" s="26"/>
      <c r="X73" s="16" t="str">
        <f aca="false">IF(C73="","",IF(K73="",0,IF(K73&gt;=0.15,2,IF(K73&gt;=0.1,1,0)))+IF(L73="",0,IF(L73&gt;=0.12,2,IF(L73&gt;=0.08,1,0)))+(AND(N73&lt;&gt;"",N(N73)&gt;=0.15))+(AND(M73&lt;&gt;"",N(M73)&gt;=0.4)))</f>
        <v/>
      </c>
      <c r="Y73" s="16" t="str">
        <f aca="false">IF(C73="","",IF(Q73="",0,IF(Q73&gt;=0.1,2,IF(Q73&gt;=0.05,1,0)))+IF(R73="",0,IF(R73&gt;=0.08,2,IF(R73&gt;=0.04,1,0))))</f>
        <v/>
      </c>
      <c r="Z73" s="16" t="str">
        <f aca="false">IF(C73="","",IF(O73="",0,IF(O73&lt;=0.5,2,IF(O73&lt;=1,1,0)))+(AND(P73&lt;&gt;"",N(P73)&gt;=1.2)))</f>
        <v/>
      </c>
      <c r="AA73" s="16" t="str">
        <f aca="false">IF(C73="","",IF(H73="",0,IF(AND(H73&gt;0,H73&lt;=20),2,IF(AND(H73&gt;0,H73&lt;=30),1,0)))+IF(J73="",0,IF(AND(J73&gt;0,J73&lt;=20),2,IF(AND(J73&gt;0,J73&lt;=30),1,0))))</f>
        <v/>
      </c>
      <c r="AB73" s="16" t="str">
        <f aca="false">IF(C73="","",IF(OR(N(T73)&gt;=0.01,N(S73)&gt;=0.02),1,0))</f>
        <v/>
      </c>
      <c r="AC73" s="16" t="str">
        <f aca="false">IF(C73="","",MIN(2,N(U73))+MIN(2,N(V73)))</f>
        <v/>
      </c>
      <c r="AD73" s="50" t="str">
        <f aca="false">IFERROR(IF(OR(W73="",F73="",N(F73)=0),"",W73/F73-1),"")</f>
        <v/>
      </c>
      <c r="AE73" s="16" t="str">
        <f aca="false">IF(C73="","",IF(AD73="",0,IF(AD73&gt;=0.25,2,IF(AD73&gt;=0.1,1,0))))</f>
        <v/>
      </c>
      <c r="AF73" s="23" t="str">
        <f aca="false">IF(C73="","",X73+Y73+Z73+AA73+AB73+AC73+AE73)</f>
        <v/>
      </c>
      <c r="AG73" s="24" t="str">
        <f aca="false">IF(C73="","",IF(AF73&gt;=18,"A",IF(AF73&gt;=13,"B","C")))</f>
        <v/>
      </c>
      <c r="AH73" s="14" t="str">
        <f aca="false">IF(C73="","",IF(OR(AI73="Sold",AI73="Rejected"),"Closed",IF(AI73="Owned",IF(AND(ISNUMBER(W73),ISNUMBER(AL73),AL73&gt;W73*1.2),"REVIEW — price 20%+ above fair value",IF(AF73&lt;13,"REVIEW — quality score fell below 13","HOLD — re-check thesis yearly")),IF(AG73="A","Full LRC Stock Analysis",IF(AG73="B","Watch — re-check next month","Reject")))))</f>
        <v/>
      </c>
      <c r="AI73" s="35"/>
      <c r="AJ73" s="35"/>
      <c r="AK73" s="19"/>
      <c r="AL73" s="26"/>
      <c r="AM73" s="41" t="str">
        <f aca="false">IFERROR(IF(OR(AL73="",F73="",N(F73)=0),"",AL73/F73-1),"")</f>
        <v/>
      </c>
      <c r="AN73" s="35"/>
      <c r="AP73" s="43" t="str">
        <f aca="false">IF(AND(C73&lt;&gt;"",A73=$C$4,ISNUMBER(AF73)),AF73+ROW()/100000,"")</f>
        <v/>
      </c>
    </row>
    <row r="74" customFormat="false" ht="15" hidden="false" customHeight="false" outlineLevel="0" collapsed="false">
      <c r="A74" s="19"/>
      <c r="B74" s="35"/>
      <c r="C74" s="35"/>
      <c r="D74" s="35"/>
      <c r="E74" s="35"/>
      <c r="F74" s="26"/>
      <c r="G74" s="26"/>
      <c r="H74" s="49"/>
      <c r="I74" s="38"/>
      <c r="J74" s="49"/>
      <c r="K74" s="21"/>
      <c r="L74" s="21"/>
      <c r="M74" s="21"/>
      <c r="N74" s="21"/>
      <c r="O74" s="38"/>
      <c r="P74" s="38"/>
      <c r="Q74" s="21"/>
      <c r="R74" s="21"/>
      <c r="S74" s="21"/>
      <c r="T74" s="21"/>
      <c r="U74" s="25"/>
      <c r="V74" s="25"/>
      <c r="W74" s="26"/>
      <c r="X74" s="16" t="str">
        <f aca="false">IF(C74="","",IF(K74="",0,IF(K74&gt;=0.15,2,IF(K74&gt;=0.1,1,0)))+IF(L74="",0,IF(L74&gt;=0.12,2,IF(L74&gt;=0.08,1,0)))+(AND(N74&lt;&gt;"",N(N74)&gt;=0.15))+(AND(M74&lt;&gt;"",N(M74)&gt;=0.4)))</f>
        <v/>
      </c>
      <c r="Y74" s="16" t="str">
        <f aca="false">IF(C74="","",IF(Q74="",0,IF(Q74&gt;=0.1,2,IF(Q74&gt;=0.05,1,0)))+IF(R74="",0,IF(R74&gt;=0.08,2,IF(R74&gt;=0.04,1,0))))</f>
        <v/>
      </c>
      <c r="Z74" s="16" t="str">
        <f aca="false">IF(C74="","",IF(O74="",0,IF(O74&lt;=0.5,2,IF(O74&lt;=1,1,0)))+(AND(P74&lt;&gt;"",N(P74)&gt;=1.2)))</f>
        <v/>
      </c>
      <c r="AA74" s="16" t="str">
        <f aca="false">IF(C74="","",IF(H74="",0,IF(AND(H74&gt;0,H74&lt;=20),2,IF(AND(H74&gt;0,H74&lt;=30),1,0)))+IF(J74="",0,IF(AND(J74&gt;0,J74&lt;=20),2,IF(AND(J74&gt;0,J74&lt;=30),1,0))))</f>
        <v/>
      </c>
      <c r="AB74" s="16" t="str">
        <f aca="false">IF(C74="","",IF(OR(N(T74)&gt;=0.01,N(S74)&gt;=0.02),1,0))</f>
        <v/>
      </c>
      <c r="AC74" s="16" t="str">
        <f aca="false">IF(C74="","",MIN(2,N(U74))+MIN(2,N(V74)))</f>
        <v/>
      </c>
      <c r="AD74" s="50" t="str">
        <f aca="false">IFERROR(IF(OR(W74="",F74="",N(F74)=0),"",W74/F74-1),"")</f>
        <v/>
      </c>
      <c r="AE74" s="16" t="str">
        <f aca="false">IF(C74="","",IF(AD74="",0,IF(AD74&gt;=0.25,2,IF(AD74&gt;=0.1,1,0))))</f>
        <v/>
      </c>
      <c r="AF74" s="23" t="str">
        <f aca="false">IF(C74="","",X74+Y74+Z74+AA74+AB74+AC74+AE74)</f>
        <v/>
      </c>
      <c r="AG74" s="24" t="str">
        <f aca="false">IF(C74="","",IF(AF74&gt;=18,"A",IF(AF74&gt;=13,"B","C")))</f>
        <v/>
      </c>
      <c r="AH74" s="14" t="str">
        <f aca="false">IF(C74="","",IF(OR(AI74="Sold",AI74="Rejected"),"Closed",IF(AI74="Owned",IF(AND(ISNUMBER(W74),ISNUMBER(AL74),AL74&gt;W74*1.2),"REVIEW — price 20%+ above fair value",IF(AF74&lt;13,"REVIEW — quality score fell below 13","HOLD — re-check thesis yearly")),IF(AG74="A","Full LRC Stock Analysis",IF(AG74="B","Watch — re-check next month","Reject")))))</f>
        <v/>
      </c>
      <c r="AI74" s="35"/>
      <c r="AJ74" s="35"/>
      <c r="AK74" s="19"/>
      <c r="AL74" s="26"/>
      <c r="AM74" s="41" t="str">
        <f aca="false">IFERROR(IF(OR(AL74="",F74="",N(F74)=0),"",AL74/F74-1),"")</f>
        <v/>
      </c>
      <c r="AN74" s="35"/>
      <c r="AP74" s="43" t="str">
        <f aca="false">IF(AND(C74&lt;&gt;"",A74=$C$4,ISNUMBER(AF74)),AF74+ROW()/100000,"")</f>
        <v/>
      </c>
    </row>
    <row r="75" customFormat="false" ht="15" hidden="false" customHeight="false" outlineLevel="0" collapsed="false">
      <c r="A75" s="19"/>
      <c r="B75" s="35"/>
      <c r="C75" s="35"/>
      <c r="D75" s="35"/>
      <c r="E75" s="35"/>
      <c r="F75" s="26"/>
      <c r="G75" s="26"/>
      <c r="H75" s="49"/>
      <c r="I75" s="38"/>
      <c r="J75" s="49"/>
      <c r="K75" s="21"/>
      <c r="L75" s="21"/>
      <c r="M75" s="21"/>
      <c r="N75" s="21"/>
      <c r="O75" s="38"/>
      <c r="P75" s="38"/>
      <c r="Q75" s="21"/>
      <c r="R75" s="21"/>
      <c r="S75" s="21"/>
      <c r="T75" s="21"/>
      <c r="U75" s="25"/>
      <c r="V75" s="25"/>
      <c r="W75" s="26"/>
      <c r="X75" s="16" t="str">
        <f aca="false">IF(C75="","",IF(K75="",0,IF(K75&gt;=0.15,2,IF(K75&gt;=0.1,1,0)))+IF(L75="",0,IF(L75&gt;=0.12,2,IF(L75&gt;=0.08,1,0)))+(AND(N75&lt;&gt;"",N(N75)&gt;=0.15))+(AND(M75&lt;&gt;"",N(M75)&gt;=0.4)))</f>
        <v/>
      </c>
      <c r="Y75" s="16" t="str">
        <f aca="false">IF(C75="","",IF(Q75="",0,IF(Q75&gt;=0.1,2,IF(Q75&gt;=0.05,1,0)))+IF(R75="",0,IF(R75&gt;=0.08,2,IF(R75&gt;=0.04,1,0))))</f>
        <v/>
      </c>
      <c r="Z75" s="16" t="str">
        <f aca="false">IF(C75="","",IF(O75="",0,IF(O75&lt;=0.5,2,IF(O75&lt;=1,1,0)))+(AND(P75&lt;&gt;"",N(P75)&gt;=1.2)))</f>
        <v/>
      </c>
      <c r="AA75" s="16" t="str">
        <f aca="false">IF(C75="","",IF(H75="",0,IF(AND(H75&gt;0,H75&lt;=20),2,IF(AND(H75&gt;0,H75&lt;=30),1,0)))+IF(J75="",0,IF(AND(J75&gt;0,J75&lt;=20),2,IF(AND(J75&gt;0,J75&lt;=30),1,0))))</f>
        <v/>
      </c>
      <c r="AB75" s="16" t="str">
        <f aca="false">IF(C75="","",IF(OR(N(T75)&gt;=0.01,N(S75)&gt;=0.02),1,0))</f>
        <v/>
      </c>
      <c r="AC75" s="16" t="str">
        <f aca="false">IF(C75="","",MIN(2,N(U75))+MIN(2,N(V75)))</f>
        <v/>
      </c>
      <c r="AD75" s="50" t="str">
        <f aca="false">IFERROR(IF(OR(W75="",F75="",N(F75)=0),"",W75/F75-1),"")</f>
        <v/>
      </c>
      <c r="AE75" s="16" t="str">
        <f aca="false">IF(C75="","",IF(AD75="",0,IF(AD75&gt;=0.25,2,IF(AD75&gt;=0.1,1,0))))</f>
        <v/>
      </c>
      <c r="AF75" s="23" t="str">
        <f aca="false">IF(C75="","",X75+Y75+Z75+AA75+AB75+AC75+AE75)</f>
        <v/>
      </c>
      <c r="AG75" s="24" t="str">
        <f aca="false">IF(C75="","",IF(AF75&gt;=18,"A",IF(AF75&gt;=13,"B","C")))</f>
        <v/>
      </c>
      <c r="AH75" s="14" t="str">
        <f aca="false">IF(C75="","",IF(OR(AI75="Sold",AI75="Rejected"),"Closed",IF(AI75="Owned",IF(AND(ISNUMBER(W75),ISNUMBER(AL75),AL75&gt;W75*1.2),"REVIEW — price 20%+ above fair value",IF(AF75&lt;13,"REVIEW — quality score fell below 13","HOLD — re-check thesis yearly")),IF(AG75="A","Full LRC Stock Analysis",IF(AG75="B","Watch — re-check next month","Reject")))))</f>
        <v/>
      </c>
      <c r="AI75" s="35"/>
      <c r="AJ75" s="35"/>
      <c r="AK75" s="19"/>
      <c r="AL75" s="26"/>
      <c r="AM75" s="41" t="str">
        <f aca="false">IFERROR(IF(OR(AL75="",F75="",N(F75)=0),"",AL75/F75-1),"")</f>
        <v/>
      </c>
      <c r="AN75" s="35"/>
      <c r="AP75" s="43" t="str">
        <f aca="false">IF(AND(C75&lt;&gt;"",A75=$C$4,ISNUMBER(AF75)),AF75+ROW()/100000,"")</f>
        <v/>
      </c>
    </row>
    <row r="76" customFormat="false" ht="15" hidden="false" customHeight="false" outlineLevel="0" collapsed="false">
      <c r="A76" s="19"/>
      <c r="B76" s="35"/>
      <c r="C76" s="35"/>
      <c r="D76" s="35"/>
      <c r="E76" s="35"/>
      <c r="F76" s="26"/>
      <c r="G76" s="26"/>
      <c r="H76" s="49"/>
      <c r="I76" s="38"/>
      <c r="J76" s="49"/>
      <c r="K76" s="21"/>
      <c r="L76" s="21"/>
      <c r="M76" s="21"/>
      <c r="N76" s="21"/>
      <c r="O76" s="38"/>
      <c r="P76" s="38"/>
      <c r="Q76" s="21"/>
      <c r="R76" s="21"/>
      <c r="S76" s="21"/>
      <c r="T76" s="21"/>
      <c r="U76" s="25"/>
      <c r="V76" s="25"/>
      <c r="W76" s="26"/>
      <c r="X76" s="16" t="str">
        <f aca="false">IF(C76="","",IF(K76="",0,IF(K76&gt;=0.15,2,IF(K76&gt;=0.1,1,0)))+IF(L76="",0,IF(L76&gt;=0.12,2,IF(L76&gt;=0.08,1,0)))+(AND(N76&lt;&gt;"",N(N76)&gt;=0.15))+(AND(M76&lt;&gt;"",N(M76)&gt;=0.4)))</f>
        <v/>
      </c>
      <c r="Y76" s="16" t="str">
        <f aca="false">IF(C76="","",IF(Q76="",0,IF(Q76&gt;=0.1,2,IF(Q76&gt;=0.05,1,0)))+IF(R76="",0,IF(R76&gt;=0.08,2,IF(R76&gt;=0.04,1,0))))</f>
        <v/>
      </c>
      <c r="Z76" s="16" t="str">
        <f aca="false">IF(C76="","",IF(O76="",0,IF(O76&lt;=0.5,2,IF(O76&lt;=1,1,0)))+(AND(P76&lt;&gt;"",N(P76)&gt;=1.2)))</f>
        <v/>
      </c>
      <c r="AA76" s="16" t="str">
        <f aca="false">IF(C76="","",IF(H76="",0,IF(AND(H76&gt;0,H76&lt;=20),2,IF(AND(H76&gt;0,H76&lt;=30),1,0)))+IF(J76="",0,IF(AND(J76&gt;0,J76&lt;=20),2,IF(AND(J76&gt;0,J76&lt;=30),1,0))))</f>
        <v/>
      </c>
      <c r="AB76" s="16" t="str">
        <f aca="false">IF(C76="","",IF(OR(N(T76)&gt;=0.01,N(S76)&gt;=0.02),1,0))</f>
        <v/>
      </c>
      <c r="AC76" s="16" t="str">
        <f aca="false">IF(C76="","",MIN(2,N(U76))+MIN(2,N(V76)))</f>
        <v/>
      </c>
      <c r="AD76" s="50" t="str">
        <f aca="false">IFERROR(IF(OR(W76="",F76="",N(F76)=0),"",W76/F76-1),"")</f>
        <v/>
      </c>
      <c r="AE76" s="16" t="str">
        <f aca="false">IF(C76="","",IF(AD76="",0,IF(AD76&gt;=0.25,2,IF(AD76&gt;=0.1,1,0))))</f>
        <v/>
      </c>
      <c r="AF76" s="23" t="str">
        <f aca="false">IF(C76="","",X76+Y76+Z76+AA76+AB76+AC76+AE76)</f>
        <v/>
      </c>
      <c r="AG76" s="24" t="str">
        <f aca="false">IF(C76="","",IF(AF76&gt;=18,"A",IF(AF76&gt;=13,"B","C")))</f>
        <v/>
      </c>
      <c r="AH76" s="14" t="str">
        <f aca="false">IF(C76="","",IF(OR(AI76="Sold",AI76="Rejected"),"Closed",IF(AI76="Owned",IF(AND(ISNUMBER(W76),ISNUMBER(AL76),AL76&gt;W76*1.2),"REVIEW — price 20%+ above fair value",IF(AF76&lt;13,"REVIEW — quality score fell below 13","HOLD — re-check thesis yearly")),IF(AG76="A","Full LRC Stock Analysis",IF(AG76="B","Watch — re-check next month","Reject")))))</f>
        <v/>
      </c>
      <c r="AI76" s="35"/>
      <c r="AJ76" s="35"/>
      <c r="AK76" s="19"/>
      <c r="AL76" s="26"/>
      <c r="AM76" s="41" t="str">
        <f aca="false">IFERROR(IF(OR(AL76="",F76="",N(F76)=0),"",AL76/F76-1),"")</f>
        <v/>
      </c>
      <c r="AN76" s="35"/>
      <c r="AP76" s="43" t="str">
        <f aca="false">IF(AND(C76&lt;&gt;"",A76=$C$4,ISNUMBER(AF76)),AF76+ROW()/100000,"")</f>
        <v/>
      </c>
    </row>
    <row r="77" customFormat="false" ht="15" hidden="false" customHeight="false" outlineLevel="0" collapsed="false">
      <c r="A77" s="19"/>
      <c r="B77" s="35"/>
      <c r="C77" s="35"/>
      <c r="D77" s="35"/>
      <c r="E77" s="35"/>
      <c r="F77" s="26"/>
      <c r="G77" s="26"/>
      <c r="H77" s="49"/>
      <c r="I77" s="38"/>
      <c r="J77" s="49"/>
      <c r="K77" s="21"/>
      <c r="L77" s="21"/>
      <c r="M77" s="21"/>
      <c r="N77" s="21"/>
      <c r="O77" s="38"/>
      <c r="P77" s="38"/>
      <c r="Q77" s="21"/>
      <c r="R77" s="21"/>
      <c r="S77" s="21"/>
      <c r="T77" s="21"/>
      <c r="U77" s="25"/>
      <c r="V77" s="25"/>
      <c r="W77" s="26"/>
      <c r="X77" s="16" t="str">
        <f aca="false">IF(C77="","",IF(K77="",0,IF(K77&gt;=0.15,2,IF(K77&gt;=0.1,1,0)))+IF(L77="",0,IF(L77&gt;=0.12,2,IF(L77&gt;=0.08,1,0)))+(AND(N77&lt;&gt;"",N(N77)&gt;=0.15))+(AND(M77&lt;&gt;"",N(M77)&gt;=0.4)))</f>
        <v/>
      </c>
      <c r="Y77" s="16" t="str">
        <f aca="false">IF(C77="","",IF(Q77="",0,IF(Q77&gt;=0.1,2,IF(Q77&gt;=0.05,1,0)))+IF(R77="",0,IF(R77&gt;=0.08,2,IF(R77&gt;=0.04,1,0))))</f>
        <v/>
      </c>
      <c r="Z77" s="16" t="str">
        <f aca="false">IF(C77="","",IF(O77="",0,IF(O77&lt;=0.5,2,IF(O77&lt;=1,1,0)))+(AND(P77&lt;&gt;"",N(P77)&gt;=1.2)))</f>
        <v/>
      </c>
      <c r="AA77" s="16" t="str">
        <f aca="false">IF(C77="","",IF(H77="",0,IF(AND(H77&gt;0,H77&lt;=20),2,IF(AND(H77&gt;0,H77&lt;=30),1,0)))+IF(J77="",0,IF(AND(J77&gt;0,J77&lt;=20),2,IF(AND(J77&gt;0,J77&lt;=30),1,0))))</f>
        <v/>
      </c>
      <c r="AB77" s="16" t="str">
        <f aca="false">IF(C77="","",IF(OR(N(T77)&gt;=0.01,N(S77)&gt;=0.02),1,0))</f>
        <v/>
      </c>
      <c r="AC77" s="16" t="str">
        <f aca="false">IF(C77="","",MIN(2,N(U77))+MIN(2,N(V77)))</f>
        <v/>
      </c>
      <c r="AD77" s="50" t="str">
        <f aca="false">IFERROR(IF(OR(W77="",F77="",N(F77)=0),"",W77/F77-1),"")</f>
        <v/>
      </c>
      <c r="AE77" s="16" t="str">
        <f aca="false">IF(C77="","",IF(AD77="",0,IF(AD77&gt;=0.25,2,IF(AD77&gt;=0.1,1,0))))</f>
        <v/>
      </c>
      <c r="AF77" s="23" t="str">
        <f aca="false">IF(C77="","",X77+Y77+Z77+AA77+AB77+AC77+AE77)</f>
        <v/>
      </c>
      <c r="AG77" s="24" t="str">
        <f aca="false">IF(C77="","",IF(AF77&gt;=18,"A",IF(AF77&gt;=13,"B","C")))</f>
        <v/>
      </c>
      <c r="AH77" s="14" t="str">
        <f aca="false">IF(C77="","",IF(OR(AI77="Sold",AI77="Rejected"),"Closed",IF(AI77="Owned",IF(AND(ISNUMBER(W77),ISNUMBER(AL77),AL77&gt;W77*1.2),"REVIEW — price 20%+ above fair value",IF(AF77&lt;13,"REVIEW — quality score fell below 13","HOLD — re-check thesis yearly")),IF(AG77="A","Full LRC Stock Analysis",IF(AG77="B","Watch — re-check next month","Reject")))))</f>
        <v/>
      </c>
      <c r="AI77" s="35"/>
      <c r="AJ77" s="35"/>
      <c r="AK77" s="19"/>
      <c r="AL77" s="26"/>
      <c r="AM77" s="41" t="str">
        <f aca="false">IFERROR(IF(OR(AL77="",F77="",N(F77)=0),"",AL77/F77-1),"")</f>
        <v/>
      </c>
      <c r="AN77" s="35"/>
      <c r="AP77" s="43" t="str">
        <f aca="false">IF(AND(C77&lt;&gt;"",A77=$C$4,ISNUMBER(AF77)),AF77+ROW()/100000,"")</f>
        <v/>
      </c>
    </row>
    <row r="78" customFormat="false" ht="15" hidden="false" customHeight="false" outlineLevel="0" collapsed="false">
      <c r="A78" s="19"/>
      <c r="B78" s="35"/>
      <c r="C78" s="35"/>
      <c r="D78" s="35"/>
      <c r="E78" s="35"/>
      <c r="F78" s="26"/>
      <c r="G78" s="26"/>
      <c r="H78" s="49"/>
      <c r="I78" s="38"/>
      <c r="J78" s="49"/>
      <c r="K78" s="21"/>
      <c r="L78" s="21"/>
      <c r="M78" s="21"/>
      <c r="N78" s="21"/>
      <c r="O78" s="38"/>
      <c r="P78" s="38"/>
      <c r="Q78" s="21"/>
      <c r="R78" s="21"/>
      <c r="S78" s="21"/>
      <c r="T78" s="21"/>
      <c r="U78" s="25"/>
      <c r="V78" s="25"/>
      <c r="W78" s="26"/>
      <c r="X78" s="16" t="str">
        <f aca="false">IF(C78="","",IF(K78="",0,IF(K78&gt;=0.15,2,IF(K78&gt;=0.1,1,0)))+IF(L78="",0,IF(L78&gt;=0.12,2,IF(L78&gt;=0.08,1,0)))+(AND(N78&lt;&gt;"",N(N78)&gt;=0.15))+(AND(M78&lt;&gt;"",N(M78)&gt;=0.4)))</f>
        <v/>
      </c>
      <c r="Y78" s="16" t="str">
        <f aca="false">IF(C78="","",IF(Q78="",0,IF(Q78&gt;=0.1,2,IF(Q78&gt;=0.05,1,0)))+IF(R78="",0,IF(R78&gt;=0.08,2,IF(R78&gt;=0.04,1,0))))</f>
        <v/>
      </c>
      <c r="Z78" s="16" t="str">
        <f aca="false">IF(C78="","",IF(O78="",0,IF(O78&lt;=0.5,2,IF(O78&lt;=1,1,0)))+(AND(P78&lt;&gt;"",N(P78)&gt;=1.2)))</f>
        <v/>
      </c>
      <c r="AA78" s="16" t="str">
        <f aca="false">IF(C78="","",IF(H78="",0,IF(AND(H78&gt;0,H78&lt;=20),2,IF(AND(H78&gt;0,H78&lt;=30),1,0)))+IF(J78="",0,IF(AND(J78&gt;0,J78&lt;=20),2,IF(AND(J78&gt;0,J78&lt;=30),1,0))))</f>
        <v/>
      </c>
      <c r="AB78" s="16" t="str">
        <f aca="false">IF(C78="","",IF(OR(N(T78)&gt;=0.01,N(S78)&gt;=0.02),1,0))</f>
        <v/>
      </c>
      <c r="AC78" s="16" t="str">
        <f aca="false">IF(C78="","",MIN(2,N(U78))+MIN(2,N(V78)))</f>
        <v/>
      </c>
      <c r="AD78" s="50" t="str">
        <f aca="false">IFERROR(IF(OR(W78="",F78="",N(F78)=0),"",W78/F78-1),"")</f>
        <v/>
      </c>
      <c r="AE78" s="16" t="str">
        <f aca="false">IF(C78="","",IF(AD78="",0,IF(AD78&gt;=0.25,2,IF(AD78&gt;=0.1,1,0))))</f>
        <v/>
      </c>
      <c r="AF78" s="23" t="str">
        <f aca="false">IF(C78="","",X78+Y78+Z78+AA78+AB78+AC78+AE78)</f>
        <v/>
      </c>
      <c r="AG78" s="24" t="str">
        <f aca="false">IF(C78="","",IF(AF78&gt;=18,"A",IF(AF78&gt;=13,"B","C")))</f>
        <v/>
      </c>
      <c r="AH78" s="14" t="str">
        <f aca="false">IF(C78="","",IF(OR(AI78="Sold",AI78="Rejected"),"Closed",IF(AI78="Owned",IF(AND(ISNUMBER(W78),ISNUMBER(AL78),AL78&gt;W78*1.2),"REVIEW — price 20%+ above fair value",IF(AF78&lt;13,"REVIEW — quality score fell below 13","HOLD — re-check thesis yearly")),IF(AG78="A","Full LRC Stock Analysis",IF(AG78="B","Watch — re-check next month","Reject")))))</f>
        <v/>
      </c>
      <c r="AI78" s="35"/>
      <c r="AJ78" s="35"/>
      <c r="AK78" s="19"/>
      <c r="AL78" s="26"/>
      <c r="AM78" s="41" t="str">
        <f aca="false">IFERROR(IF(OR(AL78="",F78="",N(F78)=0),"",AL78/F78-1),"")</f>
        <v/>
      </c>
      <c r="AN78" s="35"/>
      <c r="AP78" s="43" t="str">
        <f aca="false">IF(AND(C78&lt;&gt;"",A78=$C$4,ISNUMBER(AF78)),AF78+ROW()/100000,"")</f>
        <v/>
      </c>
    </row>
    <row r="79" customFormat="false" ht="15" hidden="false" customHeight="false" outlineLevel="0" collapsed="false">
      <c r="A79" s="19"/>
      <c r="B79" s="35"/>
      <c r="C79" s="35"/>
      <c r="D79" s="35"/>
      <c r="E79" s="35"/>
      <c r="F79" s="26"/>
      <c r="G79" s="26"/>
      <c r="H79" s="49"/>
      <c r="I79" s="38"/>
      <c r="J79" s="49"/>
      <c r="K79" s="21"/>
      <c r="L79" s="21"/>
      <c r="M79" s="21"/>
      <c r="N79" s="21"/>
      <c r="O79" s="38"/>
      <c r="P79" s="38"/>
      <c r="Q79" s="21"/>
      <c r="R79" s="21"/>
      <c r="S79" s="21"/>
      <c r="T79" s="21"/>
      <c r="U79" s="25"/>
      <c r="V79" s="25"/>
      <c r="W79" s="26"/>
      <c r="X79" s="16" t="str">
        <f aca="false">IF(C79="","",IF(K79="",0,IF(K79&gt;=0.15,2,IF(K79&gt;=0.1,1,0)))+IF(L79="",0,IF(L79&gt;=0.12,2,IF(L79&gt;=0.08,1,0)))+(AND(N79&lt;&gt;"",N(N79)&gt;=0.15))+(AND(M79&lt;&gt;"",N(M79)&gt;=0.4)))</f>
        <v/>
      </c>
      <c r="Y79" s="16" t="str">
        <f aca="false">IF(C79="","",IF(Q79="",0,IF(Q79&gt;=0.1,2,IF(Q79&gt;=0.05,1,0)))+IF(R79="",0,IF(R79&gt;=0.08,2,IF(R79&gt;=0.04,1,0))))</f>
        <v/>
      </c>
      <c r="Z79" s="16" t="str">
        <f aca="false">IF(C79="","",IF(O79="",0,IF(O79&lt;=0.5,2,IF(O79&lt;=1,1,0)))+(AND(P79&lt;&gt;"",N(P79)&gt;=1.2)))</f>
        <v/>
      </c>
      <c r="AA79" s="16" t="str">
        <f aca="false">IF(C79="","",IF(H79="",0,IF(AND(H79&gt;0,H79&lt;=20),2,IF(AND(H79&gt;0,H79&lt;=30),1,0)))+IF(J79="",0,IF(AND(J79&gt;0,J79&lt;=20),2,IF(AND(J79&gt;0,J79&lt;=30),1,0))))</f>
        <v/>
      </c>
      <c r="AB79" s="16" t="str">
        <f aca="false">IF(C79="","",IF(OR(N(T79)&gt;=0.01,N(S79)&gt;=0.02),1,0))</f>
        <v/>
      </c>
      <c r="AC79" s="16" t="str">
        <f aca="false">IF(C79="","",MIN(2,N(U79))+MIN(2,N(V79)))</f>
        <v/>
      </c>
      <c r="AD79" s="50" t="str">
        <f aca="false">IFERROR(IF(OR(W79="",F79="",N(F79)=0),"",W79/F79-1),"")</f>
        <v/>
      </c>
      <c r="AE79" s="16" t="str">
        <f aca="false">IF(C79="","",IF(AD79="",0,IF(AD79&gt;=0.25,2,IF(AD79&gt;=0.1,1,0))))</f>
        <v/>
      </c>
      <c r="AF79" s="23" t="str">
        <f aca="false">IF(C79="","",X79+Y79+Z79+AA79+AB79+AC79+AE79)</f>
        <v/>
      </c>
      <c r="AG79" s="24" t="str">
        <f aca="false">IF(C79="","",IF(AF79&gt;=18,"A",IF(AF79&gt;=13,"B","C")))</f>
        <v/>
      </c>
      <c r="AH79" s="14" t="str">
        <f aca="false">IF(C79="","",IF(OR(AI79="Sold",AI79="Rejected"),"Closed",IF(AI79="Owned",IF(AND(ISNUMBER(W79),ISNUMBER(AL79),AL79&gt;W79*1.2),"REVIEW — price 20%+ above fair value",IF(AF79&lt;13,"REVIEW — quality score fell below 13","HOLD — re-check thesis yearly")),IF(AG79="A","Full LRC Stock Analysis",IF(AG79="B","Watch — re-check next month","Reject")))))</f>
        <v/>
      </c>
      <c r="AI79" s="35"/>
      <c r="AJ79" s="35"/>
      <c r="AK79" s="19"/>
      <c r="AL79" s="26"/>
      <c r="AM79" s="41" t="str">
        <f aca="false">IFERROR(IF(OR(AL79="",F79="",N(F79)=0),"",AL79/F79-1),"")</f>
        <v/>
      </c>
      <c r="AN79" s="35"/>
      <c r="AP79" s="43" t="str">
        <f aca="false">IF(AND(C79&lt;&gt;"",A79=$C$4,ISNUMBER(AF79)),AF79+ROW()/100000,"")</f>
        <v/>
      </c>
    </row>
    <row r="80" customFormat="false" ht="15" hidden="false" customHeight="false" outlineLevel="0" collapsed="false">
      <c r="A80" s="19"/>
      <c r="B80" s="35"/>
      <c r="C80" s="35"/>
      <c r="D80" s="35"/>
      <c r="E80" s="35"/>
      <c r="F80" s="26"/>
      <c r="G80" s="26"/>
      <c r="H80" s="49"/>
      <c r="I80" s="38"/>
      <c r="J80" s="49"/>
      <c r="K80" s="21"/>
      <c r="L80" s="21"/>
      <c r="M80" s="21"/>
      <c r="N80" s="21"/>
      <c r="O80" s="38"/>
      <c r="P80" s="38"/>
      <c r="Q80" s="21"/>
      <c r="R80" s="21"/>
      <c r="S80" s="21"/>
      <c r="T80" s="21"/>
      <c r="U80" s="25"/>
      <c r="V80" s="25"/>
      <c r="W80" s="26"/>
      <c r="X80" s="16" t="str">
        <f aca="false">IF(C80="","",IF(K80="",0,IF(K80&gt;=0.15,2,IF(K80&gt;=0.1,1,0)))+IF(L80="",0,IF(L80&gt;=0.12,2,IF(L80&gt;=0.08,1,0)))+(AND(N80&lt;&gt;"",N(N80)&gt;=0.15))+(AND(M80&lt;&gt;"",N(M80)&gt;=0.4)))</f>
        <v/>
      </c>
      <c r="Y80" s="16" t="str">
        <f aca="false">IF(C80="","",IF(Q80="",0,IF(Q80&gt;=0.1,2,IF(Q80&gt;=0.05,1,0)))+IF(R80="",0,IF(R80&gt;=0.08,2,IF(R80&gt;=0.04,1,0))))</f>
        <v/>
      </c>
      <c r="Z80" s="16" t="str">
        <f aca="false">IF(C80="","",IF(O80="",0,IF(O80&lt;=0.5,2,IF(O80&lt;=1,1,0)))+(AND(P80&lt;&gt;"",N(P80)&gt;=1.2)))</f>
        <v/>
      </c>
      <c r="AA80" s="16" t="str">
        <f aca="false">IF(C80="","",IF(H80="",0,IF(AND(H80&gt;0,H80&lt;=20),2,IF(AND(H80&gt;0,H80&lt;=30),1,0)))+IF(J80="",0,IF(AND(J80&gt;0,J80&lt;=20),2,IF(AND(J80&gt;0,J80&lt;=30),1,0))))</f>
        <v/>
      </c>
      <c r="AB80" s="16" t="str">
        <f aca="false">IF(C80="","",IF(OR(N(T80)&gt;=0.01,N(S80)&gt;=0.02),1,0))</f>
        <v/>
      </c>
      <c r="AC80" s="16" t="str">
        <f aca="false">IF(C80="","",MIN(2,N(U80))+MIN(2,N(V80)))</f>
        <v/>
      </c>
      <c r="AD80" s="50" t="str">
        <f aca="false">IFERROR(IF(OR(W80="",F80="",N(F80)=0),"",W80/F80-1),"")</f>
        <v/>
      </c>
      <c r="AE80" s="16" t="str">
        <f aca="false">IF(C80="","",IF(AD80="",0,IF(AD80&gt;=0.25,2,IF(AD80&gt;=0.1,1,0))))</f>
        <v/>
      </c>
      <c r="AF80" s="23" t="str">
        <f aca="false">IF(C80="","",X80+Y80+Z80+AA80+AB80+AC80+AE80)</f>
        <v/>
      </c>
      <c r="AG80" s="24" t="str">
        <f aca="false">IF(C80="","",IF(AF80&gt;=18,"A",IF(AF80&gt;=13,"B","C")))</f>
        <v/>
      </c>
      <c r="AH80" s="14" t="str">
        <f aca="false">IF(C80="","",IF(OR(AI80="Sold",AI80="Rejected"),"Closed",IF(AI80="Owned",IF(AND(ISNUMBER(W80),ISNUMBER(AL80),AL80&gt;W80*1.2),"REVIEW — price 20%+ above fair value",IF(AF80&lt;13,"REVIEW — quality score fell below 13","HOLD — re-check thesis yearly")),IF(AG80="A","Full LRC Stock Analysis",IF(AG80="B","Watch — re-check next month","Reject")))))</f>
        <v/>
      </c>
      <c r="AI80" s="35"/>
      <c r="AJ80" s="35"/>
      <c r="AK80" s="19"/>
      <c r="AL80" s="26"/>
      <c r="AM80" s="41" t="str">
        <f aca="false">IFERROR(IF(OR(AL80="",F80="",N(F80)=0),"",AL80/F80-1),"")</f>
        <v/>
      </c>
      <c r="AN80" s="35"/>
      <c r="AP80" s="43" t="str">
        <f aca="false">IF(AND(C80&lt;&gt;"",A80=$C$4,ISNUMBER(AF80)),AF80+ROW()/100000,"")</f>
        <v/>
      </c>
    </row>
    <row r="81" customFormat="false" ht="15" hidden="false" customHeight="false" outlineLevel="0" collapsed="false">
      <c r="A81" s="19"/>
      <c r="B81" s="35"/>
      <c r="C81" s="35"/>
      <c r="D81" s="35"/>
      <c r="E81" s="35"/>
      <c r="F81" s="26"/>
      <c r="G81" s="26"/>
      <c r="H81" s="49"/>
      <c r="I81" s="38"/>
      <c r="J81" s="49"/>
      <c r="K81" s="21"/>
      <c r="L81" s="21"/>
      <c r="M81" s="21"/>
      <c r="N81" s="21"/>
      <c r="O81" s="38"/>
      <c r="P81" s="38"/>
      <c r="Q81" s="21"/>
      <c r="R81" s="21"/>
      <c r="S81" s="21"/>
      <c r="T81" s="21"/>
      <c r="U81" s="25"/>
      <c r="V81" s="25"/>
      <c r="W81" s="26"/>
      <c r="X81" s="16" t="str">
        <f aca="false">IF(C81="","",IF(K81="",0,IF(K81&gt;=0.15,2,IF(K81&gt;=0.1,1,0)))+IF(L81="",0,IF(L81&gt;=0.12,2,IF(L81&gt;=0.08,1,0)))+(AND(N81&lt;&gt;"",N(N81)&gt;=0.15))+(AND(M81&lt;&gt;"",N(M81)&gt;=0.4)))</f>
        <v/>
      </c>
      <c r="Y81" s="16" t="str">
        <f aca="false">IF(C81="","",IF(Q81="",0,IF(Q81&gt;=0.1,2,IF(Q81&gt;=0.05,1,0)))+IF(R81="",0,IF(R81&gt;=0.08,2,IF(R81&gt;=0.04,1,0))))</f>
        <v/>
      </c>
      <c r="Z81" s="16" t="str">
        <f aca="false">IF(C81="","",IF(O81="",0,IF(O81&lt;=0.5,2,IF(O81&lt;=1,1,0)))+(AND(P81&lt;&gt;"",N(P81)&gt;=1.2)))</f>
        <v/>
      </c>
      <c r="AA81" s="16" t="str">
        <f aca="false">IF(C81="","",IF(H81="",0,IF(AND(H81&gt;0,H81&lt;=20),2,IF(AND(H81&gt;0,H81&lt;=30),1,0)))+IF(J81="",0,IF(AND(J81&gt;0,J81&lt;=20),2,IF(AND(J81&gt;0,J81&lt;=30),1,0))))</f>
        <v/>
      </c>
      <c r="AB81" s="16" t="str">
        <f aca="false">IF(C81="","",IF(OR(N(T81)&gt;=0.01,N(S81)&gt;=0.02),1,0))</f>
        <v/>
      </c>
      <c r="AC81" s="16" t="str">
        <f aca="false">IF(C81="","",MIN(2,N(U81))+MIN(2,N(V81)))</f>
        <v/>
      </c>
      <c r="AD81" s="50" t="str">
        <f aca="false">IFERROR(IF(OR(W81="",F81="",N(F81)=0),"",W81/F81-1),"")</f>
        <v/>
      </c>
      <c r="AE81" s="16" t="str">
        <f aca="false">IF(C81="","",IF(AD81="",0,IF(AD81&gt;=0.25,2,IF(AD81&gt;=0.1,1,0))))</f>
        <v/>
      </c>
      <c r="AF81" s="23" t="str">
        <f aca="false">IF(C81="","",X81+Y81+Z81+AA81+AB81+AC81+AE81)</f>
        <v/>
      </c>
      <c r="AG81" s="24" t="str">
        <f aca="false">IF(C81="","",IF(AF81&gt;=18,"A",IF(AF81&gt;=13,"B","C")))</f>
        <v/>
      </c>
      <c r="AH81" s="14" t="str">
        <f aca="false">IF(C81="","",IF(OR(AI81="Sold",AI81="Rejected"),"Closed",IF(AI81="Owned",IF(AND(ISNUMBER(W81),ISNUMBER(AL81),AL81&gt;W81*1.2),"REVIEW — price 20%+ above fair value",IF(AF81&lt;13,"REVIEW — quality score fell below 13","HOLD — re-check thesis yearly")),IF(AG81="A","Full LRC Stock Analysis",IF(AG81="B","Watch — re-check next month","Reject")))))</f>
        <v/>
      </c>
      <c r="AI81" s="35"/>
      <c r="AJ81" s="35"/>
      <c r="AK81" s="19"/>
      <c r="AL81" s="26"/>
      <c r="AM81" s="41" t="str">
        <f aca="false">IFERROR(IF(OR(AL81="",F81="",N(F81)=0),"",AL81/F81-1),"")</f>
        <v/>
      </c>
      <c r="AN81" s="35"/>
      <c r="AP81" s="43" t="str">
        <f aca="false">IF(AND(C81&lt;&gt;"",A81=$C$4,ISNUMBER(AF81)),AF81+ROW()/100000,"")</f>
        <v/>
      </c>
    </row>
    <row r="82" customFormat="false" ht="15" hidden="false" customHeight="false" outlineLevel="0" collapsed="false">
      <c r="A82" s="19"/>
      <c r="B82" s="35"/>
      <c r="C82" s="35"/>
      <c r="D82" s="35"/>
      <c r="E82" s="35"/>
      <c r="F82" s="26"/>
      <c r="G82" s="26"/>
      <c r="H82" s="49"/>
      <c r="I82" s="38"/>
      <c r="J82" s="49"/>
      <c r="K82" s="21"/>
      <c r="L82" s="21"/>
      <c r="M82" s="21"/>
      <c r="N82" s="21"/>
      <c r="O82" s="38"/>
      <c r="P82" s="38"/>
      <c r="Q82" s="21"/>
      <c r="R82" s="21"/>
      <c r="S82" s="21"/>
      <c r="T82" s="21"/>
      <c r="U82" s="25"/>
      <c r="V82" s="25"/>
      <c r="W82" s="26"/>
      <c r="X82" s="16" t="str">
        <f aca="false">IF(C82="","",IF(K82="",0,IF(K82&gt;=0.15,2,IF(K82&gt;=0.1,1,0)))+IF(L82="",0,IF(L82&gt;=0.12,2,IF(L82&gt;=0.08,1,0)))+(AND(N82&lt;&gt;"",N(N82)&gt;=0.15))+(AND(M82&lt;&gt;"",N(M82)&gt;=0.4)))</f>
        <v/>
      </c>
      <c r="Y82" s="16" t="str">
        <f aca="false">IF(C82="","",IF(Q82="",0,IF(Q82&gt;=0.1,2,IF(Q82&gt;=0.05,1,0)))+IF(R82="",0,IF(R82&gt;=0.08,2,IF(R82&gt;=0.04,1,0))))</f>
        <v/>
      </c>
      <c r="Z82" s="16" t="str">
        <f aca="false">IF(C82="","",IF(O82="",0,IF(O82&lt;=0.5,2,IF(O82&lt;=1,1,0)))+(AND(P82&lt;&gt;"",N(P82)&gt;=1.2)))</f>
        <v/>
      </c>
      <c r="AA82" s="16" t="str">
        <f aca="false">IF(C82="","",IF(H82="",0,IF(AND(H82&gt;0,H82&lt;=20),2,IF(AND(H82&gt;0,H82&lt;=30),1,0)))+IF(J82="",0,IF(AND(J82&gt;0,J82&lt;=20),2,IF(AND(J82&gt;0,J82&lt;=30),1,0))))</f>
        <v/>
      </c>
      <c r="AB82" s="16" t="str">
        <f aca="false">IF(C82="","",IF(OR(N(T82)&gt;=0.01,N(S82)&gt;=0.02),1,0))</f>
        <v/>
      </c>
      <c r="AC82" s="16" t="str">
        <f aca="false">IF(C82="","",MIN(2,N(U82))+MIN(2,N(V82)))</f>
        <v/>
      </c>
      <c r="AD82" s="50" t="str">
        <f aca="false">IFERROR(IF(OR(W82="",F82="",N(F82)=0),"",W82/F82-1),"")</f>
        <v/>
      </c>
      <c r="AE82" s="16" t="str">
        <f aca="false">IF(C82="","",IF(AD82="",0,IF(AD82&gt;=0.25,2,IF(AD82&gt;=0.1,1,0))))</f>
        <v/>
      </c>
      <c r="AF82" s="23" t="str">
        <f aca="false">IF(C82="","",X82+Y82+Z82+AA82+AB82+AC82+AE82)</f>
        <v/>
      </c>
      <c r="AG82" s="24" t="str">
        <f aca="false">IF(C82="","",IF(AF82&gt;=18,"A",IF(AF82&gt;=13,"B","C")))</f>
        <v/>
      </c>
      <c r="AH82" s="14" t="str">
        <f aca="false">IF(C82="","",IF(OR(AI82="Sold",AI82="Rejected"),"Closed",IF(AI82="Owned",IF(AND(ISNUMBER(W82),ISNUMBER(AL82),AL82&gt;W82*1.2),"REVIEW — price 20%+ above fair value",IF(AF82&lt;13,"REVIEW — quality score fell below 13","HOLD — re-check thesis yearly")),IF(AG82="A","Full LRC Stock Analysis",IF(AG82="B","Watch — re-check next month","Reject")))))</f>
        <v/>
      </c>
      <c r="AI82" s="35"/>
      <c r="AJ82" s="35"/>
      <c r="AK82" s="19"/>
      <c r="AL82" s="26"/>
      <c r="AM82" s="41" t="str">
        <f aca="false">IFERROR(IF(OR(AL82="",F82="",N(F82)=0),"",AL82/F82-1),"")</f>
        <v/>
      </c>
      <c r="AN82" s="35"/>
      <c r="AP82" s="43" t="str">
        <f aca="false">IF(AND(C82&lt;&gt;"",A82=$C$4,ISNUMBER(AF82)),AF82+ROW()/100000,"")</f>
        <v/>
      </c>
    </row>
    <row r="83" customFormat="false" ht="15" hidden="false" customHeight="false" outlineLevel="0" collapsed="false">
      <c r="A83" s="19"/>
      <c r="B83" s="35"/>
      <c r="C83" s="35"/>
      <c r="D83" s="35"/>
      <c r="E83" s="35"/>
      <c r="F83" s="26"/>
      <c r="G83" s="26"/>
      <c r="H83" s="49"/>
      <c r="I83" s="38"/>
      <c r="J83" s="49"/>
      <c r="K83" s="21"/>
      <c r="L83" s="21"/>
      <c r="M83" s="21"/>
      <c r="N83" s="21"/>
      <c r="O83" s="38"/>
      <c r="P83" s="38"/>
      <c r="Q83" s="21"/>
      <c r="R83" s="21"/>
      <c r="S83" s="21"/>
      <c r="T83" s="21"/>
      <c r="U83" s="25"/>
      <c r="V83" s="25"/>
      <c r="W83" s="26"/>
      <c r="X83" s="16" t="str">
        <f aca="false">IF(C83="","",IF(K83="",0,IF(K83&gt;=0.15,2,IF(K83&gt;=0.1,1,0)))+IF(L83="",0,IF(L83&gt;=0.12,2,IF(L83&gt;=0.08,1,0)))+(AND(N83&lt;&gt;"",N(N83)&gt;=0.15))+(AND(M83&lt;&gt;"",N(M83)&gt;=0.4)))</f>
        <v/>
      </c>
      <c r="Y83" s="16" t="str">
        <f aca="false">IF(C83="","",IF(Q83="",0,IF(Q83&gt;=0.1,2,IF(Q83&gt;=0.05,1,0)))+IF(R83="",0,IF(R83&gt;=0.08,2,IF(R83&gt;=0.04,1,0))))</f>
        <v/>
      </c>
      <c r="Z83" s="16" t="str">
        <f aca="false">IF(C83="","",IF(O83="",0,IF(O83&lt;=0.5,2,IF(O83&lt;=1,1,0)))+(AND(P83&lt;&gt;"",N(P83)&gt;=1.2)))</f>
        <v/>
      </c>
      <c r="AA83" s="16" t="str">
        <f aca="false">IF(C83="","",IF(H83="",0,IF(AND(H83&gt;0,H83&lt;=20),2,IF(AND(H83&gt;0,H83&lt;=30),1,0)))+IF(J83="",0,IF(AND(J83&gt;0,J83&lt;=20),2,IF(AND(J83&gt;0,J83&lt;=30),1,0))))</f>
        <v/>
      </c>
      <c r="AB83" s="16" t="str">
        <f aca="false">IF(C83="","",IF(OR(N(T83)&gt;=0.01,N(S83)&gt;=0.02),1,0))</f>
        <v/>
      </c>
      <c r="AC83" s="16" t="str">
        <f aca="false">IF(C83="","",MIN(2,N(U83))+MIN(2,N(V83)))</f>
        <v/>
      </c>
      <c r="AD83" s="50" t="str">
        <f aca="false">IFERROR(IF(OR(W83="",F83="",N(F83)=0),"",W83/F83-1),"")</f>
        <v/>
      </c>
      <c r="AE83" s="16" t="str">
        <f aca="false">IF(C83="","",IF(AD83="",0,IF(AD83&gt;=0.25,2,IF(AD83&gt;=0.1,1,0))))</f>
        <v/>
      </c>
      <c r="AF83" s="23" t="str">
        <f aca="false">IF(C83="","",X83+Y83+Z83+AA83+AB83+AC83+AE83)</f>
        <v/>
      </c>
      <c r="AG83" s="24" t="str">
        <f aca="false">IF(C83="","",IF(AF83&gt;=18,"A",IF(AF83&gt;=13,"B","C")))</f>
        <v/>
      </c>
      <c r="AH83" s="14" t="str">
        <f aca="false">IF(C83="","",IF(OR(AI83="Sold",AI83="Rejected"),"Closed",IF(AI83="Owned",IF(AND(ISNUMBER(W83),ISNUMBER(AL83),AL83&gt;W83*1.2),"REVIEW — price 20%+ above fair value",IF(AF83&lt;13,"REVIEW — quality score fell below 13","HOLD — re-check thesis yearly")),IF(AG83="A","Full LRC Stock Analysis",IF(AG83="B","Watch — re-check next month","Reject")))))</f>
        <v/>
      </c>
      <c r="AI83" s="35"/>
      <c r="AJ83" s="35"/>
      <c r="AK83" s="19"/>
      <c r="AL83" s="26"/>
      <c r="AM83" s="41" t="str">
        <f aca="false">IFERROR(IF(OR(AL83="",F83="",N(F83)=0),"",AL83/F83-1),"")</f>
        <v/>
      </c>
      <c r="AN83" s="35"/>
      <c r="AP83" s="43" t="str">
        <f aca="false">IF(AND(C83&lt;&gt;"",A83=$C$4,ISNUMBER(AF83)),AF83+ROW()/100000,"")</f>
        <v/>
      </c>
    </row>
    <row r="84" customFormat="false" ht="15" hidden="false" customHeight="false" outlineLevel="0" collapsed="false">
      <c r="A84" s="19"/>
      <c r="B84" s="35"/>
      <c r="C84" s="35"/>
      <c r="D84" s="35"/>
      <c r="E84" s="35"/>
      <c r="F84" s="26"/>
      <c r="G84" s="26"/>
      <c r="H84" s="49"/>
      <c r="I84" s="38"/>
      <c r="J84" s="49"/>
      <c r="K84" s="21"/>
      <c r="L84" s="21"/>
      <c r="M84" s="21"/>
      <c r="N84" s="21"/>
      <c r="O84" s="38"/>
      <c r="P84" s="38"/>
      <c r="Q84" s="21"/>
      <c r="R84" s="21"/>
      <c r="S84" s="21"/>
      <c r="T84" s="21"/>
      <c r="U84" s="25"/>
      <c r="V84" s="25"/>
      <c r="W84" s="26"/>
      <c r="X84" s="16" t="str">
        <f aca="false">IF(C84="","",IF(K84="",0,IF(K84&gt;=0.15,2,IF(K84&gt;=0.1,1,0)))+IF(L84="",0,IF(L84&gt;=0.12,2,IF(L84&gt;=0.08,1,0)))+(AND(N84&lt;&gt;"",N(N84)&gt;=0.15))+(AND(M84&lt;&gt;"",N(M84)&gt;=0.4)))</f>
        <v/>
      </c>
      <c r="Y84" s="16" t="str">
        <f aca="false">IF(C84="","",IF(Q84="",0,IF(Q84&gt;=0.1,2,IF(Q84&gt;=0.05,1,0)))+IF(R84="",0,IF(R84&gt;=0.08,2,IF(R84&gt;=0.04,1,0))))</f>
        <v/>
      </c>
      <c r="Z84" s="16" t="str">
        <f aca="false">IF(C84="","",IF(O84="",0,IF(O84&lt;=0.5,2,IF(O84&lt;=1,1,0)))+(AND(P84&lt;&gt;"",N(P84)&gt;=1.2)))</f>
        <v/>
      </c>
      <c r="AA84" s="16" t="str">
        <f aca="false">IF(C84="","",IF(H84="",0,IF(AND(H84&gt;0,H84&lt;=20),2,IF(AND(H84&gt;0,H84&lt;=30),1,0)))+IF(J84="",0,IF(AND(J84&gt;0,J84&lt;=20),2,IF(AND(J84&gt;0,J84&lt;=30),1,0))))</f>
        <v/>
      </c>
      <c r="AB84" s="16" t="str">
        <f aca="false">IF(C84="","",IF(OR(N(T84)&gt;=0.01,N(S84)&gt;=0.02),1,0))</f>
        <v/>
      </c>
      <c r="AC84" s="16" t="str">
        <f aca="false">IF(C84="","",MIN(2,N(U84))+MIN(2,N(V84)))</f>
        <v/>
      </c>
      <c r="AD84" s="50" t="str">
        <f aca="false">IFERROR(IF(OR(W84="",F84="",N(F84)=0),"",W84/F84-1),"")</f>
        <v/>
      </c>
      <c r="AE84" s="16" t="str">
        <f aca="false">IF(C84="","",IF(AD84="",0,IF(AD84&gt;=0.25,2,IF(AD84&gt;=0.1,1,0))))</f>
        <v/>
      </c>
      <c r="AF84" s="23" t="str">
        <f aca="false">IF(C84="","",X84+Y84+Z84+AA84+AB84+AC84+AE84)</f>
        <v/>
      </c>
      <c r="AG84" s="24" t="str">
        <f aca="false">IF(C84="","",IF(AF84&gt;=18,"A",IF(AF84&gt;=13,"B","C")))</f>
        <v/>
      </c>
      <c r="AH84" s="14" t="str">
        <f aca="false">IF(C84="","",IF(OR(AI84="Sold",AI84="Rejected"),"Closed",IF(AI84="Owned",IF(AND(ISNUMBER(W84),ISNUMBER(AL84),AL84&gt;W84*1.2),"REVIEW — price 20%+ above fair value",IF(AF84&lt;13,"REVIEW — quality score fell below 13","HOLD — re-check thesis yearly")),IF(AG84="A","Full LRC Stock Analysis",IF(AG84="B","Watch — re-check next month","Reject")))))</f>
        <v/>
      </c>
      <c r="AI84" s="35"/>
      <c r="AJ84" s="35"/>
      <c r="AK84" s="19"/>
      <c r="AL84" s="26"/>
      <c r="AM84" s="41" t="str">
        <f aca="false">IFERROR(IF(OR(AL84="",F84="",N(F84)=0),"",AL84/F84-1),"")</f>
        <v/>
      </c>
      <c r="AN84" s="35"/>
      <c r="AP84" s="43" t="str">
        <f aca="false">IF(AND(C84&lt;&gt;"",A84=$C$4,ISNUMBER(AF84)),AF84+ROW()/100000,"")</f>
        <v/>
      </c>
    </row>
    <row r="85" customFormat="false" ht="15" hidden="false" customHeight="false" outlineLevel="0" collapsed="false">
      <c r="A85" s="19"/>
      <c r="B85" s="35"/>
      <c r="C85" s="35"/>
      <c r="D85" s="35"/>
      <c r="E85" s="35"/>
      <c r="F85" s="26"/>
      <c r="G85" s="26"/>
      <c r="H85" s="49"/>
      <c r="I85" s="38"/>
      <c r="J85" s="49"/>
      <c r="K85" s="21"/>
      <c r="L85" s="21"/>
      <c r="M85" s="21"/>
      <c r="N85" s="21"/>
      <c r="O85" s="38"/>
      <c r="P85" s="38"/>
      <c r="Q85" s="21"/>
      <c r="R85" s="21"/>
      <c r="S85" s="21"/>
      <c r="T85" s="21"/>
      <c r="U85" s="25"/>
      <c r="V85" s="25"/>
      <c r="W85" s="26"/>
      <c r="X85" s="16" t="str">
        <f aca="false">IF(C85="","",IF(K85="",0,IF(K85&gt;=0.15,2,IF(K85&gt;=0.1,1,0)))+IF(L85="",0,IF(L85&gt;=0.12,2,IF(L85&gt;=0.08,1,0)))+(AND(N85&lt;&gt;"",N(N85)&gt;=0.15))+(AND(M85&lt;&gt;"",N(M85)&gt;=0.4)))</f>
        <v/>
      </c>
      <c r="Y85" s="16" t="str">
        <f aca="false">IF(C85="","",IF(Q85="",0,IF(Q85&gt;=0.1,2,IF(Q85&gt;=0.05,1,0)))+IF(R85="",0,IF(R85&gt;=0.08,2,IF(R85&gt;=0.04,1,0))))</f>
        <v/>
      </c>
      <c r="Z85" s="16" t="str">
        <f aca="false">IF(C85="","",IF(O85="",0,IF(O85&lt;=0.5,2,IF(O85&lt;=1,1,0)))+(AND(P85&lt;&gt;"",N(P85)&gt;=1.2)))</f>
        <v/>
      </c>
      <c r="AA85" s="16" t="str">
        <f aca="false">IF(C85="","",IF(H85="",0,IF(AND(H85&gt;0,H85&lt;=20),2,IF(AND(H85&gt;0,H85&lt;=30),1,0)))+IF(J85="",0,IF(AND(J85&gt;0,J85&lt;=20),2,IF(AND(J85&gt;0,J85&lt;=30),1,0))))</f>
        <v/>
      </c>
      <c r="AB85" s="16" t="str">
        <f aca="false">IF(C85="","",IF(OR(N(T85)&gt;=0.01,N(S85)&gt;=0.02),1,0))</f>
        <v/>
      </c>
      <c r="AC85" s="16" t="str">
        <f aca="false">IF(C85="","",MIN(2,N(U85))+MIN(2,N(V85)))</f>
        <v/>
      </c>
      <c r="AD85" s="50" t="str">
        <f aca="false">IFERROR(IF(OR(W85="",F85="",N(F85)=0),"",W85/F85-1),"")</f>
        <v/>
      </c>
      <c r="AE85" s="16" t="str">
        <f aca="false">IF(C85="","",IF(AD85="",0,IF(AD85&gt;=0.25,2,IF(AD85&gt;=0.1,1,0))))</f>
        <v/>
      </c>
      <c r="AF85" s="23" t="str">
        <f aca="false">IF(C85="","",X85+Y85+Z85+AA85+AB85+AC85+AE85)</f>
        <v/>
      </c>
      <c r="AG85" s="24" t="str">
        <f aca="false">IF(C85="","",IF(AF85&gt;=18,"A",IF(AF85&gt;=13,"B","C")))</f>
        <v/>
      </c>
      <c r="AH85" s="14" t="str">
        <f aca="false">IF(C85="","",IF(OR(AI85="Sold",AI85="Rejected"),"Closed",IF(AI85="Owned",IF(AND(ISNUMBER(W85),ISNUMBER(AL85),AL85&gt;W85*1.2),"REVIEW — price 20%+ above fair value",IF(AF85&lt;13,"REVIEW — quality score fell below 13","HOLD — re-check thesis yearly")),IF(AG85="A","Full LRC Stock Analysis",IF(AG85="B","Watch — re-check next month","Reject")))))</f>
        <v/>
      </c>
      <c r="AI85" s="35"/>
      <c r="AJ85" s="35"/>
      <c r="AK85" s="19"/>
      <c r="AL85" s="26"/>
      <c r="AM85" s="41" t="str">
        <f aca="false">IFERROR(IF(OR(AL85="",F85="",N(F85)=0),"",AL85/F85-1),"")</f>
        <v/>
      </c>
      <c r="AN85" s="35"/>
      <c r="AP85" s="43" t="str">
        <f aca="false">IF(AND(C85&lt;&gt;"",A85=$C$4,ISNUMBER(AF85)),AF85+ROW()/100000,"")</f>
        <v/>
      </c>
    </row>
    <row r="86" customFormat="false" ht="15" hidden="false" customHeight="false" outlineLevel="0" collapsed="false">
      <c r="A86" s="19"/>
      <c r="B86" s="35"/>
      <c r="C86" s="35"/>
      <c r="D86" s="35"/>
      <c r="E86" s="35"/>
      <c r="F86" s="26"/>
      <c r="G86" s="26"/>
      <c r="H86" s="49"/>
      <c r="I86" s="38"/>
      <c r="J86" s="49"/>
      <c r="K86" s="21"/>
      <c r="L86" s="21"/>
      <c r="M86" s="21"/>
      <c r="N86" s="21"/>
      <c r="O86" s="38"/>
      <c r="P86" s="38"/>
      <c r="Q86" s="21"/>
      <c r="R86" s="21"/>
      <c r="S86" s="21"/>
      <c r="T86" s="21"/>
      <c r="U86" s="25"/>
      <c r="V86" s="25"/>
      <c r="W86" s="26"/>
      <c r="X86" s="16" t="str">
        <f aca="false">IF(C86="","",IF(K86="",0,IF(K86&gt;=0.15,2,IF(K86&gt;=0.1,1,0)))+IF(L86="",0,IF(L86&gt;=0.12,2,IF(L86&gt;=0.08,1,0)))+(AND(N86&lt;&gt;"",N(N86)&gt;=0.15))+(AND(M86&lt;&gt;"",N(M86)&gt;=0.4)))</f>
        <v/>
      </c>
      <c r="Y86" s="16" t="str">
        <f aca="false">IF(C86="","",IF(Q86="",0,IF(Q86&gt;=0.1,2,IF(Q86&gt;=0.05,1,0)))+IF(R86="",0,IF(R86&gt;=0.08,2,IF(R86&gt;=0.04,1,0))))</f>
        <v/>
      </c>
      <c r="Z86" s="16" t="str">
        <f aca="false">IF(C86="","",IF(O86="",0,IF(O86&lt;=0.5,2,IF(O86&lt;=1,1,0)))+(AND(P86&lt;&gt;"",N(P86)&gt;=1.2)))</f>
        <v/>
      </c>
      <c r="AA86" s="16" t="str">
        <f aca="false">IF(C86="","",IF(H86="",0,IF(AND(H86&gt;0,H86&lt;=20),2,IF(AND(H86&gt;0,H86&lt;=30),1,0)))+IF(J86="",0,IF(AND(J86&gt;0,J86&lt;=20),2,IF(AND(J86&gt;0,J86&lt;=30),1,0))))</f>
        <v/>
      </c>
      <c r="AB86" s="16" t="str">
        <f aca="false">IF(C86="","",IF(OR(N(T86)&gt;=0.01,N(S86)&gt;=0.02),1,0))</f>
        <v/>
      </c>
      <c r="AC86" s="16" t="str">
        <f aca="false">IF(C86="","",MIN(2,N(U86))+MIN(2,N(V86)))</f>
        <v/>
      </c>
      <c r="AD86" s="50" t="str">
        <f aca="false">IFERROR(IF(OR(W86="",F86="",N(F86)=0),"",W86/F86-1),"")</f>
        <v/>
      </c>
      <c r="AE86" s="16" t="str">
        <f aca="false">IF(C86="","",IF(AD86="",0,IF(AD86&gt;=0.25,2,IF(AD86&gt;=0.1,1,0))))</f>
        <v/>
      </c>
      <c r="AF86" s="23" t="str">
        <f aca="false">IF(C86="","",X86+Y86+Z86+AA86+AB86+AC86+AE86)</f>
        <v/>
      </c>
      <c r="AG86" s="24" t="str">
        <f aca="false">IF(C86="","",IF(AF86&gt;=18,"A",IF(AF86&gt;=13,"B","C")))</f>
        <v/>
      </c>
      <c r="AH86" s="14" t="str">
        <f aca="false">IF(C86="","",IF(OR(AI86="Sold",AI86="Rejected"),"Closed",IF(AI86="Owned",IF(AND(ISNUMBER(W86),ISNUMBER(AL86),AL86&gt;W86*1.2),"REVIEW — price 20%+ above fair value",IF(AF86&lt;13,"REVIEW — quality score fell below 13","HOLD — re-check thesis yearly")),IF(AG86="A","Full LRC Stock Analysis",IF(AG86="B","Watch — re-check next month","Reject")))))</f>
        <v/>
      </c>
      <c r="AI86" s="35"/>
      <c r="AJ86" s="35"/>
      <c r="AK86" s="19"/>
      <c r="AL86" s="26"/>
      <c r="AM86" s="41" t="str">
        <f aca="false">IFERROR(IF(OR(AL86="",F86="",N(F86)=0),"",AL86/F86-1),"")</f>
        <v/>
      </c>
      <c r="AN86" s="35"/>
      <c r="AP86" s="43" t="str">
        <f aca="false">IF(AND(C86&lt;&gt;"",A86=$C$4,ISNUMBER(AF86)),AF86+ROW()/100000,"")</f>
        <v/>
      </c>
    </row>
    <row r="87" customFormat="false" ht="15" hidden="false" customHeight="false" outlineLevel="0" collapsed="false">
      <c r="A87" s="19"/>
      <c r="B87" s="35"/>
      <c r="C87" s="35"/>
      <c r="D87" s="35"/>
      <c r="E87" s="35"/>
      <c r="F87" s="26"/>
      <c r="G87" s="26"/>
      <c r="H87" s="49"/>
      <c r="I87" s="38"/>
      <c r="J87" s="49"/>
      <c r="K87" s="21"/>
      <c r="L87" s="21"/>
      <c r="M87" s="21"/>
      <c r="N87" s="21"/>
      <c r="O87" s="38"/>
      <c r="P87" s="38"/>
      <c r="Q87" s="21"/>
      <c r="R87" s="21"/>
      <c r="S87" s="21"/>
      <c r="T87" s="21"/>
      <c r="U87" s="25"/>
      <c r="V87" s="25"/>
      <c r="W87" s="26"/>
      <c r="X87" s="16" t="str">
        <f aca="false">IF(C87="","",IF(K87="",0,IF(K87&gt;=0.15,2,IF(K87&gt;=0.1,1,0)))+IF(L87="",0,IF(L87&gt;=0.12,2,IF(L87&gt;=0.08,1,0)))+(AND(N87&lt;&gt;"",N(N87)&gt;=0.15))+(AND(M87&lt;&gt;"",N(M87)&gt;=0.4)))</f>
        <v/>
      </c>
      <c r="Y87" s="16" t="str">
        <f aca="false">IF(C87="","",IF(Q87="",0,IF(Q87&gt;=0.1,2,IF(Q87&gt;=0.05,1,0)))+IF(R87="",0,IF(R87&gt;=0.08,2,IF(R87&gt;=0.04,1,0))))</f>
        <v/>
      </c>
      <c r="Z87" s="16" t="str">
        <f aca="false">IF(C87="","",IF(O87="",0,IF(O87&lt;=0.5,2,IF(O87&lt;=1,1,0)))+(AND(P87&lt;&gt;"",N(P87)&gt;=1.2)))</f>
        <v/>
      </c>
      <c r="AA87" s="16" t="str">
        <f aca="false">IF(C87="","",IF(H87="",0,IF(AND(H87&gt;0,H87&lt;=20),2,IF(AND(H87&gt;0,H87&lt;=30),1,0)))+IF(J87="",0,IF(AND(J87&gt;0,J87&lt;=20),2,IF(AND(J87&gt;0,J87&lt;=30),1,0))))</f>
        <v/>
      </c>
      <c r="AB87" s="16" t="str">
        <f aca="false">IF(C87="","",IF(OR(N(T87)&gt;=0.01,N(S87)&gt;=0.02),1,0))</f>
        <v/>
      </c>
      <c r="AC87" s="16" t="str">
        <f aca="false">IF(C87="","",MIN(2,N(U87))+MIN(2,N(V87)))</f>
        <v/>
      </c>
      <c r="AD87" s="50" t="str">
        <f aca="false">IFERROR(IF(OR(W87="",F87="",N(F87)=0),"",W87/F87-1),"")</f>
        <v/>
      </c>
      <c r="AE87" s="16" t="str">
        <f aca="false">IF(C87="","",IF(AD87="",0,IF(AD87&gt;=0.25,2,IF(AD87&gt;=0.1,1,0))))</f>
        <v/>
      </c>
      <c r="AF87" s="23" t="str">
        <f aca="false">IF(C87="","",X87+Y87+Z87+AA87+AB87+AC87+AE87)</f>
        <v/>
      </c>
      <c r="AG87" s="24" t="str">
        <f aca="false">IF(C87="","",IF(AF87&gt;=18,"A",IF(AF87&gt;=13,"B","C")))</f>
        <v/>
      </c>
      <c r="AH87" s="14" t="str">
        <f aca="false">IF(C87="","",IF(OR(AI87="Sold",AI87="Rejected"),"Closed",IF(AI87="Owned",IF(AND(ISNUMBER(W87),ISNUMBER(AL87),AL87&gt;W87*1.2),"REVIEW — price 20%+ above fair value",IF(AF87&lt;13,"REVIEW — quality score fell below 13","HOLD — re-check thesis yearly")),IF(AG87="A","Full LRC Stock Analysis",IF(AG87="B","Watch — re-check next month","Reject")))))</f>
        <v/>
      </c>
      <c r="AI87" s="35"/>
      <c r="AJ87" s="35"/>
      <c r="AK87" s="19"/>
      <c r="AL87" s="26"/>
      <c r="AM87" s="41" t="str">
        <f aca="false">IFERROR(IF(OR(AL87="",F87="",N(F87)=0),"",AL87/F87-1),"")</f>
        <v/>
      </c>
      <c r="AN87" s="35"/>
      <c r="AP87" s="43" t="str">
        <f aca="false">IF(AND(C87&lt;&gt;"",A87=$C$4,ISNUMBER(AF87)),AF87+ROW()/100000,"")</f>
        <v/>
      </c>
    </row>
    <row r="88" customFormat="false" ht="15" hidden="false" customHeight="false" outlineLevel="0" collapsed="false">
      <c r="A88" s="19"/>
      <c r="B88" s="35"/>
      <c r="C88" s="35"/>
      <c r="D88" s="35"/>
      <c r="E88" s="35"/>
      <c r="F88" s="26"/>
      <c r="G88" s="26"/>
      <c r="H88" s="49"/>
      <c r="I88" s="38"/>
      <c r="J88" s="49"/>
      <c r="K88" s="21"/>
      <c r="L88" s="21"/>
      <c r="M88" s="21"/>
      <c r="N88" s="21"/>
      <c r="O88" s="38"/>
      <c r="P88" s="38"/>
      <c r="Q88" s="21"/>
      <c r="R88" s="21"/>
      <c r="S88" s="21"/>
      <c r="T88" s="21"/>
      <c r="U88" s="25"/>
      <c r="V88" s="25"/>
      <c r="W88" s="26"/>
      <c r="X88" s="16" t="str">
        <f aca="false">IF(C88="","",IF(K88="",0,IF(K88&gt;=0.15,2,IF(K88&gt;=0.1,1,0)))+IF(L88="",0,IF(L88&gt;=0.12,2,IF(L88&gt;=0.08,1,0)))+(AND(N88&lt;&gt;"",N(N88)&gt;=0.15))+(AND(M88&lt;&gt;"",N(M88)&gt;=0.4)))</f>
        <v/>
      </c>
      <c r="Y88" s="16" t="str">
        <f aca="false">IF(C88="","",IF(Q88="",0,IF(Q88&gt;=0.1,2,IF(Q88&gt;=0.05,1,0)))+IF(R88="",0,IF(R88&gt;=0.08,2,IF(R88&gt;=0.04,1,0))))</f>
        <v/>
      </c>
      <c r="Z88" s="16" t="str">
        <f aca="false">IF(C88="","",IF(O88="",0,IF(O88&lt;=0.5,2,IF(O88&lt;=1,1,0)))+(AND(P88&lt;&gt;"",N(P88)&gt;=1.2)))</f>
        <v/>
      </c>
      <c r="AA88" s="16" t="str">
        <f aca="false">IF(C88="","",IF(H88="",0,IF(AND(H88&gt;0,H88&lt;=20),2,IF(AND(H88&gt;0,H88&lt;=30),1,0)))+IF(J88="",0,IF(AND(J88&gt;0,J88&lt;=20),2,IF(AND(J88&gt;0,J88&lt;=30),1,0))))</f>
        <v/>
      </c>
      <c r="AB88" s="16" t="str">
        <f aca="false">IF(C88="","",IF(OR(N(T88)&gt;=0.01,N(S88)&gt;=0.02),1,0))</f>
        <v/>
      </c>
      <c r="AC88" s="16" t="str">
        <f aca="false">IF(C88="","",MIN(2,N(U88))+MIN(2,N(V88)))</f>
        <v/>
      </c>
      <c r="AD88" s="50" t="str">
        <f aca="false">IFERROR(IF(OR(W88="",F88="",N(F88)=0),"",W88/F88-1),"")</f>
        <v/>
      </c>
      <c r="AE88" s="16" t="str">
        <f aca="false">IF(C88="","",IF(AD88="",0,IF(AD88&gt;=0.25,2,IF(AD88&gt;=0.1,1,0))))</f>
        <v/>
      </c>
      <c r="AF88" s="23" t="str">
        <f aca="false">IF(C88="","",X88+Y88+Z88+AA88+AB88+AC88+AE88)</f>
        <v/>
      </c>
      <c r="AG88" s="24" t="str">
        <f aca="false">IF(C88="","",IF(AF88&gt;=18,"A",IF(AF88&gt;=13,"B","C")))</f>
        <v/>
      </c>
      <c r="AH88" s="14" t="str">
        <f aca="false">IF(C88="","",IF(OR(AI88="Sold",AI88="Rejected"),"Closed",IF(AI88="Owned",IF(AND(ISNUMBER(W88),ISNUMBER(AL88),AL88&gt;W88*1.2),"REVIEW — price 20%+ above fair value",IF(AF88&lt;13,"REVIEW — quality score fell below 13","HOLD — re-check thesis yearly")),IF(AG88="A","Full LRC Stock Analysis",IF(AG88="B","Watch — re-check next month","Reject")))))</f>
        <v/>
      </c>
      <c r="AI88" s="35"/>
      <c r="AJ88" s="35"/>
      <c r="AK88" s="19"/>
      <c r="AL88" s="26"/>
      <c r="AM88" s="41" t="str">
        <f aca="false">IFERROR(IF(OR(AL88="",F88="",N(F88)=0),"",AL88/F88-1),"")</f>
        <v/>
      </c>
      <c r="AN88" s="35"/>
      <c r="AP88" s="43" t="str">
        <f aca="false">IF(AND(C88&lt;&gt;"",A88=$C$4,ISNUMBER(AF88)),AF88+ROW()/100000,"")</f>
        <v/>
      </c>
    </row>
    <row r="89" customFormat="false" ht="15" hidden="false" customHeight="false" outlineLevel="0" collapsed="false">
      <c r="A89" s="19"/>
      <c r="B89" s="35"/>
      <c r="C89" s="35"/>
      <c r="D89" s="35"/>
      <c r="E89" s="35"/>
      <c r="F89" s="26"/>
      <c r="G89" s="26"/>
      <c r="H89" s="49"/>
      <c r="I89" s="38"/>
      <c r="J89" s="49"/>
      <c r="K89" s="21"/>
      <c r="L89" s="21"/>
      <c r="M89" s="21"/>
      <c r="N89" s="21"/>
      <c r="O89" s="38"/>
      <c r="P89" s="38"/>
      <c r="Q89" s="21"/>
      <c r="R89" s="21"/>
      <c r="S89" s="21"/>
      <c r="T89" s="21"/>
      <c r="U89" s="25"/>
      <c r="V89" s="25"/>
      <c r="W89" s="26"/>
      <c r="X89" s="16" t="str">
        <f aca="false">IF(C89="","",IF(K89="",0,IF(K89&gt;=0.15,2,IF(K89&gt;=0.1,1,0)))+IF(L89="",0,IF(L89&gt;=0.12,2,IF(L89&gt;=0.08,1,0)))+(AND(N89&lt;&gt;"",N(N89)&gt;=0.15))+(AND(M89&lt;&gt;"",N(M89)&gt;=0.4)))</f>
        <v/>
      </c>
      <c r="Y89" s="16" t="str">
        <f aca="false">IF(C89="","",IF(Q89="",0,IF(Q89&gt;=0.1,2,IF(Q89&gt;=0.05,1,0)))+IF(R89="",0,IF(R89&gt;=0.08,2,IF(R89&gt;=0.04,1,0))))</f>
        <v/>
      </c>
      <c r="Z89" s="16" t="str">
        <f aca="false">IF(C89="","",IF(O89="",0,IF(O89&lt;=0.5,2,IF(O89&lt;=1,1,0)))+(AND(P89&lt;&gt;"",N(P89)&gt;=1.2)))</f>
        <v/>
      </c>
      <c r="AA89" s="16" t="str">
        <f aca="false">IF(C89="","",IF(H89="",0,IF(AND(H89&gt;0,H89&lt;=20),2,IF(AND(H89&gt;0,H89&lt;=30),1,0)))+IF(J89="",0,IF(AND(J89&gt;0,J89&lt;=20),2,IF(AND(J89&gt;0,J89&lt;=30),1,0))))</f>
        <v/>
      </c>
      <c r="AB89" s="16" t="str">
        <f aca="false">IF(C89="","",IF(OR(N(T89)&gt;=0.01,N(S89)&gt;=0.02),1,0))</f>
        <v/>
      </c>
      <c r="AC89" s="16" t="str">
        <f aca="false">IF(C89="","",MIN(2,N(U89))+MIN(2,N(V89)))</f>
        <v/>
      </c>
      <c r="AD89" s="50" t="str">
        <f aca="false">IFERROR(IF(OR(W89="",F89="",N(F89)=0),"",W89/F89-1),"")</f>
        <v/>
      </c>
      <c r="AE89" s="16" t="str">
        <f aca="false">IF(C89="","",IF(AD89="",0,IF(AD89&gt;=0.25,2,IF(AD89&gt;=0.1,1,0))))</f>
        <v/>
      </c>
      <c r="AF89" s="23" t="str">
        <f aca="false">IF(C89="","",X89+Y89+Z89+AA89+AB89+AC89+AE89)</f>
        <v/>
      </c>
      <c r="AG89" s="24" t="str">
        <f aca="false">IF(C89="","",IF(AF89&gt;=18,"A",IF(AF89&gt;=13,"B","C")))</f>
        <v/>
      </c>
      <c r="AH89" s="14" t="str">
        <f aca="false">IF(C89="","",IF(OR(AI89="Sold",AI89="Rejected"),"Closed",IF(AI89="Owned",IF(AND(ISNUMBER(W89),ISNUMBER(AL89),AL89&gt;W89*1.2),"REVIEW — price 20%+ above fair value",IF(AF89&lt;13,"REVIEW — quality score fell below 13","HOLD — re-check thesis yearly")),IF(AG89="A","Full LRC Stock Analysis",IF(AG89="B","Watch — re-check next month","Reject")))))</f>
        <v/>
      </c>
      <c r="AI89" s="35"/>
      <c r="AJ89" s="35"/>
      <c r="AK89" s="19"/>
      <c r="AL89" s="26"/>
      <c r="AM89" s="41" t="str">
        <f aca="false">IFERROR(IF(OR(AL89="",F89="",N(F89)=0),"",AL89/F89-1),"")</f>
        <v/>
      </c>
      <c r="AN89" s="35"/>
      <c r="AP89" s="43" t="str">
        <f aca="false">IF(AND(C89&lt;&gt;"",A89=$C$4,ISNUMBER(AF89)),AF89+ROW()/100000,"")</f>
        <v/>
      </c>
    </row>
    <row r="90" customFormat="false" ht="15" hidden="false" customHeight="false" outlineLevel="0" collapsed="false">
      <c r="A90" s="19"/>
      <c r="B90" s="35"/>
      <c r="C90" s="35"/>
      <c r="D90" s="35"/>
      <c r="E90" s="35"/>
      <c r="F90" s="26"/>
      <c r="G90" s="26"/>
      <c r="H90" s="49"/>
      <c r="I90" s="38"/>
      <c r="J90" s="49"/>
      <c r="K90" s="21"/>
      <c r="L90" s="21"/>
      <c r="M90" s="21"/>
      <c r="N90" s="21"/>
      <c r="O90" s="38"/>
      <c r="P90" s="38"/>
      <c r="Q90" s="21"/>
      <c r="R90" s="21"/>
      <c r="S90" s="21"/>
      <c r="T90" s="21"/>
      <c r="U90" s="25"/>
      <c r="V90" s="25"/>
      <c r="W90" s="26"/>
      <c r="X90" s="16" t="str">
        <f aca="false">IF(C90="","",IF(K90="",0,IF(K90&gt;=0.15,2,IF(K90&gt;=0.1,1,0)))+IF(L90="",0,IF(L90&gt;=0.12,2,IF(L90&gt;=0.08,1,0)))+(AND(N90&lt;&gt;"",N(N90)&gt;=0.15))+(AND(M90&lt;&gt;"",N(M90)&gt;=0.4)))</f>
        <v/>
      </c>
      <c r="Y90" s="16" t="str">
        <f aca="false">IF(C90="","",IF(Q90="",0,IF(Q90&gt;=0.1,2,IF(Q90&gt;=0.05,1,0)))+IF(R90="",0,IF(R90&gt;=0.08,2,IF(R90&gt;=0.04,1,0))))</f>
        <v/>
      </c>
      <c r="Z90" s="16" t="str">
        <f aca="false">IF(C90="","",IF(O90="",0,IF(O90&lt;=0.5,2,IF(O90&lt;=1,1,0)))+(AND(P90&lt;&gt;"",N(P90)&gt;=1.2)))</f>
        <v/>
      </c>
      <c r="AA90" s="16" t="str">
        <f aca="false">IF(C90="","",IF(H90="",0,IF(AND(H90&gt;0,H90&lt;=20),2,IF(AND(H90&gt;0,H90&lt;=30),1,0)))+IF(J90="",0,IF(AND(J90&gt;0,J90&lt;=20),2,IF(AND(J90&gt;0,J90&lt;=30),1,0))))</f>
        <v/>
      </c>
      <c r="AB90" s="16" t="str">
        <f aca="false">IF(C90="","",IF(OR(N(T90)&gt;=0.01,N(S90)&gt;=0.02),1,0))</f>
        <v/>
      </c>
      <c r="AC90" s="16" t="str">
        <f aca="false">IF(C90="","",MIN(2,N(U90))+MIN(2,N(V90)))</f>
        <v/>
      </c>
      <c r="AD90" s="50" t="str">
        <f aca="false">IFERROR(IF(OR(W90="",F90="",N(F90)=0),"",W90/F90-1),"")</f>
        <v/>
      </c>
      <c r="AE90" s="16" t="str">
        <f aca="false">IF(C90="","",IF(AD90="",0,IF(AD90&gt;=0.25,2,IF(AD90&gt;=0.1,1,0))))</f>
        <v/>
      </c>
      <c r="AF90" s="23" t="str">
        <f aca="false">IF(C90="","",X90+Y90+Z90+AA90+AB90+AC90+AE90)</f>
        <v/>
      </c>
      <c r="AG90" s="24" t="str">
        <f aca="false">IF(C90="","",IF(AF90&gt;=18,"A",IF(AF90&gt;=13,"B","C")))</f>
        <v/>
      </c>
      <c r="AH90" s="14" t="str">
        <f aca="false">IF(C90="","",IF(OR(AI90="Sold",AI90="Rejected"),"Closed",IF(AI90="Owned",IF(AND(ISNUMBER(W90),ISNUMBER(AL90),AL90&gt;W90*1.2),"REVIEW — price 20%+ above fair value",IF(AF90&lt;13,"REVIEW — quality score fell below 13","HOLD — re-check thesis yearly")),IF(AG90="A","Full LRC Stock Analysis",IF(AG90="B","Watch — re-check next month","Reject")))))</f>
        <v/>
      </c>
      <c r="AI90" s="35"/>
      <c r="AJ90" s="35"/>
      <c r="AK90" s="19"/>
      <c r="AL90" s="26"/>
      <c r="AM90" s="41" t="str">
        <f aca="false">IFERROR(IF(OR(AL90="",F90="",N(F90)=0),"",AL90/F90-1),"")</f>
        <v/>
      </c>
      <c r="AN90" s="35"/>
      <c r="AP90" s="43" t="str">
        <f aca="false">IF(AND(C90&lt;&gt;"",A90=$C$4,ISNUMBER(AF90)),AF90+ROW()/100000,"")</f>
        <v/>
      </c>
    </row>
    <row r="91" customFormat="false" ht="15" hidden="false" customHeight="false" outlineLevel="0" collapsed="false">
      <c r="A91" s="19"/>
      <c r="B91" s="35"/>
      <c r="C91" s="35"/>
      <c r="D91" s="35"/>
      <c r="E91" s="35"/>
      <c r="F91" s="26"/>
      <c r="G91" s="26"/>
      <c r="H91" s="49"/>
      <c r="I91" s="38"/>
      <c r="J91" s="49"/>
      <c r="K91" s="21"/>
      <c r="L91" s="21"/>
      <c r="M91" s="21"/>
      <c r="N91" s="21"/>
      <c r="O91" s="38"/>
      <c r="P91" s="38"/>
      <c r="Q91" s="21"/>
      <c r="R91" s="21"/>
      <c r="S91" s="21"/>
      <c r="T91" s="21"/>
      <c r="U91" s="25"/>
      <c r="V91" s="25"/>
      <c r="W91" s="26"/>
      <c r="X91" s="16" t="str">
        <f aca="false">IF(C91="","",IF(K91="",0,IF(K91&gt;=0.15,2,IF(K91&gt;=0.1,1,0)))+IF(L91="",0,IF(L91&gt;=0.12,2,IF(L91&gt;=0.08,1,0)))+(AND(N91&lt;&gt;"",N(N91)&gt;=0.15))+(AND(M91&lt;&gt;"",N(M91)&gt;=0.4)))</f>
        <v/>
      </c>
      <c r="Y91" s="16" t="str">
        <f aca="false">IF(C91="","",IF(Q91="",0,IF(Q91&gt;=0.1,2,IF(Q91&gt;=0.05,1,0)))+IF(R91="",0,IF(R91&gt;=0.08,2,IF(R91&gt;=0.04,1,0))))</f>
        <v/>
      </c>
      <c r="Z91" s="16" t="str">
        <f aca="false">IF(C91="","",IF(O91="",0,IF(O91&lt;=0.5,2,IF(O91&lt;=1,1,0)))+(AND(P91&lt;&gt;"",N(P91)&gt;=1.2)))</f>
        <v/>
      </c>
      <c r="AA91" s="16" t="str">
        <f aca="false">IF(C91="","",IF(H91="",0,IF(AND(H91&gt;0,H91&lt;=20),2,IF(AND(H91&gt;0,H91&lt;=30),1,0)))+IF(J91="",0,IF(AND(J91&gt;0,J91&lt;=20),2,IF(AND(J91&gt;0,J91&lt;=30),1,0))))</f>
        <v/>
      </c>
      <c r="AB91" s="16" t="str">
        <f aca="false">IF(C91="","",IF(OR(N(T91)&gt;=0.01,N(S91)&gt;=0.02),1,0))</f>
        <v/>
      </c>
      <c r="AC91" s="16" t="str">
        <f aca="false">IF(C91="","",MIN(2,N(U91))+MIN(2,N(V91)))</f>
        <v/>
      </c>
      <c r="AD91" s="50" t="str">
        <f aca="false">IFERROR(IF(OR(W91="",F91="",N(F91)=0),"",W91/F91-1),"")</f>
        <v/>
      </c>
      <c r="AE91" s="16" t="str">
        <f aca="false">IF(C91="","",IF(AD91="",0,IF(AD91&gt;=0.25,2,IF(AD91&gt;=0.1,1,0))))</f>
        <v/>
      </c>
      <c r="AF91" s="23" t="str">
        <f aca="false">IF(C91="","",X91+Y91+Z91+AA91+AB91+AC91+AE91)</f>
        <v/>
      </c>
      <c r="AG91" s="24" t="str">
        <f aca="false">IF(C91="","",IF(AF91&gt;=18,"A",IF(AF91&gt;=13,"B","C")))</f>
        <v/>
      </c>
      <c r="AH91" s="14" t="str">
        <f aca="false">IF(C91="","",IF(OR(AI91="Sold",AI91="Rejected"),"Closed",IF(AI91="Owned",IF(AND(ISNUMBER(W91),ISNUMBER(AL91),AL91&gt;W91*1.2),"REVIEW — price 20%+ above fair value",IF(AF91&lt;13,"REVIEW — quality score fell below 13","HOLD — re-check thesis yearly")),IF(AG91="A","Full LRC Stock Analysis",IF(AG91="B","Watch — re-check next month","Reject")))))</f>
        <v/>
      </c>
      <c r="AI91" s="35"/>
      <c r="AJ91" s="35"/>
      <c r="AK91" s="19"/>
      <c r="AL91" s="26"/>
      <c r="AM91" s="41" t="str">
        <f aca="false">IFERROR(IF(OR(AL91="",F91="",N(F91)=0),"",AL91/F91-1),"")</f>
        <v/>
      </c>
      <c r="AN91" s="35"/>
      <c r="AP91" s="43" t="str">
        <f aca="false">IF(AND(C91&lt;&gt;"",A91=$C$4,ISNUMBER(AF91)),AF91+ROW()/100000,"")</f>
        <v/>
      </c>
    </row>
    <row r="92" customFormat="false" ht="15" hidden="false" customHeight="false" outlineLevel="0" collapsed="false">
      <c r="A92" s="19"/>
      <c r="B92" s="35"/>
      <c r="C92" s="35"/>
      <c r="D92" s="35"/>
      <c r="E92" s="35"/>
      <c r="F92" s="26"/>
      <c r="G92" s="26"/>
      <c r="H92" s="49"/>
      <c r="I92" s="38"/>
      <c r="J92" s="49"/>
      <c r="K92" s="21"/>
      <c r="L92" s="21"/>
      <c r="M92" s="21"/>
      <c r="N92" s="21"/>
      <c r="O92" s="38"/>
      <c r="P92" s="38"/>
      <c r="Q92" s="21"/>
      <c r="R92" s="21"/>
      <c r="S92" s="21"/>
      <c r="T92" s="21"/>
      <c r="U92" s="25"/>
      <c r="V92" s="25"/>
      <c r="W92" s="26"/>
      <c r="X92" s="16" t="str">
        <f aca="false">IF(C92="","",IF(K92="",0,IF(K92&gt;=0.15,2,IF(K92&gt;=0.1,1,0)))+IF(L92="",0,IF(L92&gt;=0.12,2,IF(L92&gt;=0.08,1,0)))+(AND(N92&lt;&gt;"",N(N92)&gt;=0.15))+(AND(M92&lt;&gt;"",N(M92)&gt;=0.4)))</f>
        <v/>
      </c>
      <c r="Y92" s="16" t="str">
        <f aca="false">IF(C92="","",IF(Q92="",0,IF(Q92&gt;=0.1,2,IF(Q92&gt;=0.05,1,0)))+IF(R92="",0,IF(R92&gt;=0.08,2,IF(R92&gt;=0.04,1,0))))</f>
        <v/>
      </c>
      <c r="Z92" s="16" t="str">
        <f aca="false">IF(C92="","",IF(O92="",0,IF(O92&lt;=0.5,2,IF(O92&lt;=1,1,0)))+(AND(P92&lt;&gt;"",N(P92)&gt;=1.2)))</f>
        <v/>
      </c>
      <c r="AA92" s="16" t="str">
        <f aca="false">IF(C92="","",IF(H92="",0,IF(AND(H92&gt;0,H92&lt;=20),2,IF(AND(H92&gt;0,H92&lt;=30),1,0)))+IF(J92="",0,IF(AND(J92&gt;0,J92&lt;=20),2,IF(AND(J92&gt;0,J92&lt;=30),1,0))))</f>
        <v/>
      </c>
      <c r="AB92" s="16" t="str">
        <f aca="false">IF(C92="","",IF(OR(N(T92)&gt;=0.01,N(S92)&gt;=0.02),1,0))</f>
        <v/>
      </c>
      <c r="AC92" s="16" t="str">
        <f aca="false">IF(C92="","",MIN(2,N(U92))+MIN(2,N(V92)))</f>
        <v/>
      </c>
      <c r="AD92" s="50" t="str">
        <f aca="false">IFERROR(IF(OR(W92="",F92="",N(F92)=0),"",W92/F92-1),"")</f>
        <v/>
      </c>
      <c r="AE92" s="16" t="str">
        <f aca="false">IF(C92="","",IF(AD92="",0,IF(AD92&gt;=0.25,2,IF(AD92&gt;=0.1,1,0))))</f>
        <v/>
      </c>
      <c r="AF92" s="23" t="str">
        <f aca="false">IF(C92="","",X92+Y92+Z92+AA92+AB92+AC92+AE92)</f>
        <v/>
      </c>
      <c r="AG92" s="24" t="str">
        <f aca="false">IF(C92="","",IF(AF92&gt;=18,"A",IF(AF92&gt;=13,"B","C")))</f>
        <v/>
      </c>
      <c r="AH92" s="14" t="str">
        <f aca="false">IF(C92="","",IF(OR(AI92="Sold",AI92="Rejected"),"Closed",IF(AI92="Owned",IF(AND(ISNUMBER(W92),ISNUMBER(AL92),AL92&gt;W92*1.2),"REVIEW — price 20%+ above fair value",IF(AF92&lt;13,"REVIEW — quality score fell below 13","HOLD — re-check thesis yearly")),IF(AG92="A","Full LRC Stock Analysis",IF(AG92="B","Watch — re-check next month","Reject")))))</f>
        <v/>
      </c>
      <c r="AI92" s="35"/>
      <c r="AJ92" s="35"/>
      <c r="AK92" s="19"/>
      <c r="AL92" s="26"/>
      <c r="AM92" s="41" t="str">
        <f aca="false">IFERROR(IF(OR(AL92="",F92="",N(F92)=0),"",AL92/F92-1),"")</f>
        <v/>
      </c>
      <c r="AN92" s="35"/>
      <c r="AP92" s="43" t="str">
        <f aca="false">IF(AND(C92&lt;&gt;"",A92=$C$4,ISNUMBER(AF92)),AF92+ROW()/100000,"")</f>
        <v/>
      </c>
    </row>
    <row r="93" customFormat="false" ht="15" hidden="false" customHeight="false" outlineLevel="0" collapsed="false">
      <c r="A93" s="19"/>
      <c r="B93" s="35"/>
      <c r="C93" s="35"/>
      <c r="D93" s="35"/>
      <c r="E93" s="35"/>
      <c r="F93" s="26"/>
      <c r="G93" s="26"/>
      <c r="H93" s="49"/>
      <c r="I93" s="38"/>
      <c r="J93" s="49"/>
      <c r="K93" s="21"/>
      <c r="L93" s="21"/>
      <c r="M93" s="21"/>
      <c r="N93" s="21"/>
      <c r="O93" s="38"/>
      <c r="P93" s="38"/>
      <c r="Q93" s="21"/>
      <c r="R93" s="21"/>
      <c r="S93" s="21"/>
      <c r="T93" s="21"/>
      <c r="U93" s="25"/>
      <c r="V93" s="25"/>
      <c r="W93" s="26"/>
      <c r="X93" s="16" t="str">
        <f aca="false">IF(C93="","",IF(K93="",0,IF(K93&gt;=0.15,2,IF(K93&gt;=0.1,1,0)))+IF(L93="",0,IF(L93&gt;=0.12,2,IF(L93&gt;=0.08,1,0)))+(AND(N93&lt;&gt;"",N(N93)&gt;=0.15))+(AND(M93&lt;&gt;"",N(M93)&gt;=0.4)))</f>
        <v/>
      </c>
      <c r="Y93" s="16" t="str">
        <f aca="false">IF(C93="","",IF(Q93="",0,IF(Q93&gt;=0.1,2,IF(Q93&gt;=0.05,1,0)))+IF(R93="",0,IF(R93&gt;=0.08,2,IF(R93&gt;=0.04,1,0))))</f>
        <v/>
      </c>
      <c r="Z93" s="16" t="str">
        <f aca="false">IF(C93="","",IF(O93="",0,IF(O93&lt;=0.5,2,IF(O93&lt;=1,1,0)))+(AND(P93&lt;&gt;"",N(P93)&gt;=1.2)))</f>
        <v/>
      </c>
      <c r="AA93" s="16" t="str">
        <f aca="false">IF(C93="","",IF(H93="",0,IF(AND(H93&gt;0,H93&lt;=20),2,IF(AND(H93&gt;0,H93&lt;=30),1,0)))+IF(J93="",0,IF(AND(J93&gt;0,J93&lt;=20),2,IF(AND(J93&gt;0,J93&lt;=30),1,0))))</f>
        <v/>
      </c>
      <c r="AB93" s="16" t="str">
        <f aca="false">IF(C93="","",IF(OR(N(T93)&gt;=0.01,N(S93)&gt;=0.02),1,0))</f>
        <v/>
      </c>
      <c r="AC93" s="16" t="str">
        <f aca="false">IF(C93="","",MIN(2,N(U93))+MIN(2,N(V93)))</f>
        <v/>
      </c>
      <c r="AD93" s="50" t="str">
        <f aca="false">IFERROR(IF(OR(W93="",F93="",N(F93)=0),"",W93/F93-1),"")</f>
        <v/>
      </c>
      <c r="AE93" s="16" t="str">
        <f aca="false">IF(C93="","",IF(AD93="",0,IF(AD93&gt;=0.25,2,IF(AD93&gt;=0.1,1,0))))</f>
        <v/>
      </c>
      <c r="AF93" s="23" t="str">
        <f aca="false">IF(C93="","",X93+Y93+Z93+AA93+AB93+AC93+AE93)</f>
        <v/>
      </c>
      <c r="AG93" s="24" t="str">
        <f aca="false">IF(C93="","",IF(AF93&gt;=18,"A",IF(AF93&gt;=13,"B","C")))</f>
        <v/>
      </c>
      <c r="AH93" s="14" t="str">
        <f aca="false">IF(C93="","",IF(OR(AI93="Sold",AI93="Rejected"),"Closed",IF(AI93="Owned",IF(AND(ISNUMBER(W93),ISNUMBER(AL93),AL93&gt;W93*1.2),"REVIEW — price 20%+ above fair value",IF(AF93&lt;13,"REVIEW — quality score fell below 13","HOLD — re-check thesis yearly")),IF(AG93="A","Full LRC Stock Analysis",IF(AG93="B","Watch — re-check next month","Reject")))))</f>
        <v/>
      </c>
      <c r="AI93" s="35"/>
      <c r="AJ93" s="35"/>
      <c r="AK93" s="19"/>
      <c r="AL93" s="26"/>
      <c r="AM93" s="41" t="str">
        <f aca="false">IFERROR(IF(OR(AL93="",F93="",N(F93)=0),"",AL93/F93-1),"")</f>
        <v/>
      </c>
      <c r="AN93" s="35"/>
      <c r="AP93" s="43" t="str">
        <f aca="false">IF(AND(C93&lt;&gt;"",A93=$C$4,ISNUMBER(AF93)),AF93+ROW()/100000,"")</f>
        <v/>
      </c>
    </row>
    <row r="94" customFormat="false" ht="15" hidden="false" customHeight="false" outlineLevel="0" collapsed="false">
      <c r="A94" s="19"/>
      <c r="B94" s="35"/>
      <c r="C94" s="35"/>
      <c r="D94" s="35"/>
      <c r="E94" s="35"/>
      <c r="F94" s="26"/>
      <c r="G94" s="26"/>
      <c r="H94" s="49"/>
      <c r="I94" s="38"/>
      <c r="J94" s="49"/>
      <c r="K94" s="21"/>
      <c r="L94" s="21"/>
      <c r="M94" s="21"/>
      <c r="N94" s="21"/>
      <c r="O94" s="38"/>
      <c r="P94" s="38"/>
      <c r="Q94" s="21"/>
      <c r="R94" s="21"/>
      <c r="S94" s="21"/>
      <c r="T94" s="21"/>
      <c r="U94" s="25"/>
      <c r="V94" s="25"/>
      <c r="W94" s="26"/>
      <c r="X94" s="16" t="str">
        <f aca="false">IF(C94="","",IF(K94="",0,IF(K94&gt;=0.15,2,IF(K94&gt;=0.1,1,0)))+IF(L94="",0,IF(L94&gt;=0.12,2,IF(L94&gt;=0.08,1,0)))+(AND(N94&lt;&gt;"",N(N94)&gt;=0.15))+(AND(M94&lt;&gt;"",N(M94)&gt;=0.4)))</f>
        <v/>
      </c>
      <c r="Y94" s="16" t="str">
        <f aca="false">IF(C94="","",IF(Q94="",0,IF(Q94&gt;=0.1,2,IF(Q94&gt;=0.05,1,0)))+IF(R94="",0,IF(R94&gt;=0.08,2,IF(R94&gt;=0.04,1,0))))</f>
        <v/>
      </c>
      <c r="Z94" s="16" t="str">
        <f aca="false">IF(C94="","",IF(O94="",0,IF(O94&lt;=0.5,2,IF(O94&lt;=1,1,0)))+(AND(P94&lt;&gt;"",N(P94)&gt;=1.2)))</f>
        <v/>
      </c>
      <c r="AA94" s="16" t="str">
        <f aca="false">IF(C94="","",IF(H94="",0,IF(AND(H94&gt;0,H94&lt;=20),2,IF(AND(H94&gt;0,H94&lt;=30),1,0)))+IF(J94="",0,IF(AND(J94&gt;0,J94&lt;=20),2,IF(AND(J94&gt;0,J94&lt;=30),1,0))))</f>
        <v/>
      </c>
      <c r="AB94" s="16" t="str">
        <f aca="false">IF(C94="","",IF(OR(N(T94)&gt;=0.01,N(S94)&gt;=0.02),1,0))</f>
        <v/>
      </c>
      <c r="AC94" s="16" t="str">
        <f aca="false">IF(C94="","",MIN(2,N(U94))+MIN(2,N(V94)))</f>
        <v/>
      </c>
      <c r="AD94" s="50" t="str">
        <f aca="false">IFERROR(IF(OR(W94="",F94="",N(F94)=0),"",W94/F94-1),"")</f>
        <v/>
      </c>
      <c r="AE94" s="16" t="str">
        <f aca="false">IF(C94="","",IF(AD94="",0,IF(AD94&gt;=0.25,2,IF(AD94&gt;=0.1,1,0))))</f>
        <v/>
      </c>
      <c r="AF94" s="23" t="str">
        <f aca="false">IF(C94="","",X94+Y94+Z94+AA94+AB94+AC94+AE94)</f>
        <v/>
      </c>
      <c r="AG94" s="24" t="str">
        <f aca="false">IF(C94="","",IF(AF94&gt;=18,"A",IF(AF94&gt;=13,"B","C")))</f>
        <v/>
      </c>
      <c r="AH94" s="14" t="str">
        <f aca="false">IF(C94="","",IF(OR(AI94="Sold",AI94="Rejected"),"Closed",IF(AI94="Owned",IF(AND(ISNUMBER(W94),ISNUMBER(AL94),AL94&gt;W94*1.2),"REVIEW — price 20%+ above fair value",IF(AF94&lt;13,"REVIEW — quality score fell below 13","HOLD — re-check thesis yearly")),IF(AG94="A","Full LRC Stock Analysis",IF(AG94="B","Watch — re-check next month","Reject")))))</f>
        <v/>
      </c>
      <c r="AI94" s="35"/>
      <c r="AJ94" s="35"/>
      <c r="AK94" s="19"/>
      <c r="AL94" s="26"/>
      <c r="AM94" s="41" t="str">
        <f aca="false">IFERROR(IF(OR(AL94="",F94="",N(F94)=0),"",AL94/F94-1),"")</f>
        <v/>
      </c>
      <c r="AN94" s="35"/>
      <c r="AP94" s="43" t="str">
        <f aca="false">IF(AND(C94&lt;&gt;"",A94=$C$4,ISNUMBER(AF94)),AF94+ROW()/100000,"")</f>
        <v/>
      </c>
    </row>
    <row r="95" customFormat="false" ht="15" hidden="false" customHeight="false" outlineLevel="0" collapsed="false">
      <c r="A95" s="19"/>
      <c r="B95" s="35"/>
      <c r="C95" s="35"/>
      <c r="D95" s="35"/>
      <c r="E95" s="35"/>
      <c r="F95" s="26"/>
      <c r="G95" s="26"/>
      <c r="H95" s="49"/>
      <c r="I95" s="38"/>
      <c r="J95" s="49"/>
      <c r="K95" s="21"/>
      <c r="L95" s="21"/>
      <c r="M95" s="21"/>
      <c r="N95" s="21"/>
      <c r="O95" s="38"/>
      <c r="P95" s="38"/>
      <c r="Q95" s="21"/>
      <c r="R95" s="21"/>
      <c r="S95" s="21"/>
      <c r="T95" s="21"/>
      <c r="U95" s="25"/>
      <c r="V95" s="25"/>
      <c r="W95" s="26"/>
      <c r="X95" s="16" t="str">
        <f aca="false">IF(C95="","",IF(K95="",0,IF(K95&gt;=0.15,2,IF(K95&gt;=0.1,1,0)))+IF(L95="",0,IF(L95&gt;=0.12,2,IF(L95&gt;=0.08,1,0)))+(AND(N95&lt;&gt;"",N(N95)&gt;=0.15))+(AND(M95&lt;&gt;"",N(M95)&gt;=0.4)))</f>
        <v/>
      </c>
      <c r="Y95" s="16" t="str">
        <f aca="false">IF(C95="","",IF(Q95="",0,IF(Q95&gt;=0.1,2,IF(Q95&gt;=0.05,1,0)))+IF(R95="",0,IF(R95&gt;=0.08,2,IF(R95&gt;=0.04,1,0))))</f>
        <v/>
      </c>
      <c r="Z95" s="16" t="str">
        <f aca="false">IF(C95="","",IF(O95="",0,IF(O95&lt;=0.5,2,IF(O95&lt;=1,1,0)))+(AND(P95&lt;&gt;"",N(P95)&gt;=1.2)))</f>
        <v/>
      </c>
      <c r="AA95" s="16" t="str">
        <f aca="false">IF(C95="","",IF(H95="",0,IF(AND(H95&gt;0,H95&lt;=20),2,IF(AND(H95&gt;0,H95&lt;=30),1,0)))+IF(J95="",0,IF(AND(J95&gt;0,J95&lt;=20),2,IF(AND(J95&gt;0,J95&lt;=30),1,0))))</f>
        <v/>
      </c>
      <c r="AB95" s="16" t="str">
        <f aca="false">IF(C95="","",IF(OR(N(T95)&gt;=0.01,N(S95)&gt;=0.02),1,0))</f>
        <v/>
      </c>
      <c r="AC95" s="16" t="str">
        <f aca="false">IF(C95="","",MIN(2,N(U95))+MIN(2,N(V95)))</f>
        <v/>
      </c>
      <c r="AD95" s="50" t="str">
        <f aca="false">IFERROR(IF(OR(W95="",F95="",N(F95)=0),"",W95/F95-1),"")</f>
        <v/>
      </c>
      <c r="AE95" s="16" t="str">
        <f aca="false">IF(C95="","",IF(AD95="",0,IF(AD95&gt;=0.25,2,IF(AD95&gt;=0.1,1,0))))</f>
        <v/>
      </c>
      <c r="AF95" s="23" t="str">
        <f aca="false">IF(C95="","",X95+Y95+Z95+AA95+AB95+AC95+AE95)</f>
        <v/>
      </c>
      <c r="AG95" s="24" t="str">
        <f aca="false">IF(C95="","",IF(AF95&gt;=18,"A",IF(AF95&gt;=13,"B","C")))</f>
        <v/>
      </c>
      <c r="AH95" s="14" t="str">
        <f aca="false">IF(C95="","",IF(OR(AI95="Sold",AI95="Rejected"),"Closed",IF(AI95="Owned",IF(AND(ISNUMBER(W95),ISNUMBER(AL95),AL95&gt;W95*1.2),"REVIEW — price 20%+ above fair value",IF(AF95&lt;13,"REVIEW — quality score fell below 13","HOLD — re-check thesis yearly")),IF(AG95="A","Full LRC Stock Analysis",IF(AG95="B","Watch — re-check next month","Reject")))))</f>
        <v/>
      </c>
      <c r="AI95" s="35"/>
      <c r="AJ95" s="35"/>
      <c r="AK95" s="19"/>
      <c r="AL95" s="26"/>
      <c r="AM95" s="41" t="str">
        <f aca="false">IFERROR(IF(OR(AL95="",F95="",N(F95)=0),"",AL95/F95-1),"")</f>
        <v/>
      </c>
      <c r="AN95" s="35"/>
      <c r="AP95" s="43" t="str">
        <f aca="false">IF(AND(C95&lt;&gt;"",A95=$C$4,ISNUMBER(AF95)),AF95+ROW()/100000,"")</f>
        <v/>
      </c>
    </row>
    <row r="96" customFormat="false" ht="15" hidden="false" customHeight="false" outlineLevel="0" collapsed="false">
      <c r="A96" s="19"/>
      <c r="B96" s="35"/>
      <c r="C96" s="35"/>
      <c r="D96" s="35"/>
      <c r="E96" s="35"/>
      <c r="F96" s="26"/>
      <c r="G96" s="26"/>
      <c r="H96" s="49"/>
      <c r="I96" s="38"/>
      <c r="J96" s="49"/>
      <c r="K96" s="21"/>
      <c r="L96" s="21"/>
      <c r="M96" s="21"/>
      <c r="N96" s="21"/>
      <c r="O96" s="38"/>
      <c r="P96" s="38"/>
      <c r="Q96" s="21"/>
      <c r="R96" s="21"/>
      <c r="S96" s="21"/>
      <c r="T96" s="21"/>
      <c r="U96" s="25"/>
      <c r="V96" s="25"/>
      <c r="W96" s="26"/>
      <c r="X96" s="16" t="str">
        <f aca="false">IF(C96="","",IF(K96="",0,IF(K96&gt;=0.15,2,IF(K96&gt;=0.1,1,0)))+IF(L96="",0,IF(L96&gt;=0.12,2,IF(L96&gt;=0.08,1,0)))+(AND(N96&lt;&gt;"",N(N96)&gt;=0.15))+(AND(M96&lt;&gt;"",N(M96)&gt;=0.4)))</f>
        <v/>
      </c>
      <c r="Y96" s="16" t="str">
        <f aca="false">IF(C96="","",IF(Q96="",0,IF(Q96&gt;=0.1,2,IF(Q96&gt;=0.05,1,0)))+IF(R96="",0,IF(R96&gt;=0.08,2,IF(R96&gt;=0.04,1,0))))</f>
        <v/>
      </c>
      <c r="Z96" s="16" t="str">
        <f aca="false">IF(C96="","",IF(O96="",0,IF(O96&lt;=0.5,2,IF(O96&lt;=1,1,0)))+(AND(P96&lt;&gt;"",N(P96)&gt;=1.2)))</f>
        <v/>
      </c>
      <c r="AA96" s="16" t="str">
        <f aca="false">IF(C96="","",IF(H96="",0,IF(AND(H96&gt;0,H96&lt;=20),2,IF(AND(H96&gt;0,H96&lt;=30),1,0)))+IF(J96="",0,IF(AND(J96&gt;0,J96&lt;=20),2,IF(AND(J96&gt;0,J96&lt;=30),1,0))))</f>
        <v/>
      </c>
      <c r="AB96" s="16" t="str">
        <f aca="false">IF(C96="","",IF(OR(N(T96)&gt;=0.01,N(S96)&gt;=0.02),1,0))</f>
        <v/>
      </c>
      <c r="AC96" s="16" t="str">
        <f aca="false">IF(C96="","",MIN(2,N(U96))+MIN(2,N(V96)))</f>
        <v/>
      </c>
      <c r="AD96" s="50" t="str">
        <f aca="false">IFERROR(IF(OR(W96="",F96="",N(F96)=0),"",W96/F96-1),"")</f>
        <v/>
      </c>
      <c r="AE96" s="16" t="str">
        <f aca="false">IF(C96="","",IF(AD96="",0,IF(AD96&gt;=0.25,2,IF(AD96&gt;=0.1,1,0))))</f>
        <v/>
      </c>
      <c r="AF96" s="23" t="str">
        <f aca="false">IF(C96="","",X96+Y96+Z96+AA96+AB96+AC96+AE96)</f>
        <v/>
      </c>
      <c r="AG96" s="24" t="str">
        <f aca="false">IF(C96="","",IF(AF96&gt;=18,"A",IF(AF96&gt;=13,"B","C")))</f>
        <v/>
      </c>
      <c r="AH96" s="14" t="str">
        <f aca="false">IF(C96="","",IF(OR(AI96="Sold",AI96="Rejected"),"Closed",IF(AI96="Owned",IF(AND(ISNUMBER(W96),ISNUMBER(AL96),AL96&gt;W96*1.2),"REVIEW — price 20%+ above fair value",IF(AF96&lt;13,"REVIEW — quality score fell below 13","HOLD — re-check thesis yearly")),IF(AG96="A","Full LRC Stock Analysis",IF(AG96="B","Watch — re-check next month","Reject")))))</f>
        <v/>
      </c>
      <c r="AI96" s="35"/>
      <c r="AJ96" s="35"/>
      <c r="AK96" s="19"/>
      <c r="AL96" s="26"/>
      <c r="AM96" s="41" t="str">
        <f aca="false">IFERROR(IF(OR(AL96="",F96="",N(F96)=0),"",AL96/F96-1),"")</f>
        <v/>
      </c>
      <c r="AN96" s="35"/>
      <c r="AP96" s="43" t="str">
        <f aca="false">IF(AND(C96&lt;&gt;"",A96=$C$4,ISNUMBER(AF96)),AF96+ROW()/100000,"")</f>
        <v/>
      </c>
    </row>
    <row r="97" customFormat="false" ht="15" hidden="false" customHeight="false" outlineLevel="0" collapsed="false">
      <c r="A97" s="19"/>
      <c r="B97" s="35"/>
      <c r="C97" s="35"/>
      <c r="D97" s="35"/>
      <c r="E97" s="35"/>
      <c r="F97" s="26"/>
      <c r="G97" s="26"/>
      <c r="H97" s="49"/>
      <c r="I97" s="38"/>
      <c r="J97" s="49"/>
      <c r="K97" s="21"/>
      <c r="L97" s="21"/>
      <c r="M97" s="21"/>
      <c r="N97" s="21"/>
      <c r="O97" s="38"/>
      <c r="P97" s="38"/>
      <c r="Q97" s="21"/>
      <c r="R97" s="21"/>
      <c r="S97" s="21"/>
      <c r="T97" s="21"/>
      <c r="U97" s="25"/>
      <c r="V97" s="25"/>
      <c r="W97" s="26"/>
      <c r="X97" s="16" t="str">
        <f aca="false">IF(C97="","",IF(K97="",0,IF(K97&gt;=0.15,2,IF(K97&gt;=0.1,1,0)))+IF(L97="",0,IF(L97&gt;=0.12,2,IF(L97&gt;=0.08,1,0)))+(AND(N97&lt;&gt;"",N(N97)&gt;=0.15))+(AND(M97&lt;&gt;"",N(M97)&gt;=0.4)))</f>
        <v/>
      </c>
      <c r="Y97" s="16" t="str">
        <f aca="false">IF(C97="","",IF(Q97="",0,IF(Q97&gt;=0.1,2,IF(Q97&gt;=0.05,1,0)))+IF(R97="",0,IF(R97&gt;=0.08,2,IF(R97&gt;=0.04,1,0))))</f>
        <v/>
      </c>
      <c r="Z97" s="16" t="str">
        <f aca="false">IF(C97="","",IF(O97="",0,IF(O97&lt;=0.5,2,IF(O97&lt;=1,1,0)))+(AND(P97&lt;&gt;"",N(P97)&gt;=1.2)))</f>
        <v/>
      </c>
      <c r="AA97" s="16" t="str">
        <f aca="false">IF(C97="","",IF(H97="",0,IF(AND(H97&gt;0,H97&lt;=20),2,IF(AND(H97&gt;0,H97&lt;=30),1,0)))+IF(J97="",0,IF(AND(J97&gt;0,J97&lt;=20),2,IF(AND(J97&gt;0,J97&lt;=30),1,0))))</f>
        <v/>
      </c>
      <c r="AB97" s="16" t="str">
        <f aca="false">IF(C97="","",IF(OR(N(T97)&gt;=0.01,N(S97)&gt;=0.02),1,0))</f>
        <v/>
      </c>
      <c r="AC97" s="16" t="str">
        <f aca="false">IF(C97="","",MIN(2,N(U97))+MIN(2,N(V97)))</f>
        <v/>
      </c>
      <c r="AD97" s="50" t="str">
        <f aca="false">IFERROR(IF(OR(W97="",F97="",N(F97)=0),"",W97/F97-1),"")</f>
        <v/>
      </c>
      <c r="AE97" s="16" t="str">
        <f aca="false">IF(C97="","",IF(AD97="",0,IF(AD97&gt;=0.25,2,IF(AD97&gt;=0.1,1,0))))</f>
        <v/>
      </c>
      <c r="AF97" s="23" t="str">
        <f aca="false">IF(C97="","",X97+Y97+Z97+AA97+AB97+AC97+AE97)</f>
        <v/>
      </c>
      <c r="AG97" s="24" t="str">
        <f aca="false">IF(C97="","",IF(AF97&gt;=18,"A",IF(AF97&gt;=13,"B","C")))</f>
        <v/>
      </c>
      <c r="AH97" s="14" t="str">
        <f aca="false">IF(C97="","",IF(OR(AI97="Sold",AI97="Rejected"),"Closed",IF(AI97="Owned",IF(AND(ISNUMBER(W97),ISNUMBER(AL97),AL97&gt;W97*1.2),"REVIEW — price 20%+ above fair value",IF(AF97&lt;13,"REVIEW — quality score fell below 13","HOLD — re-check thesis yearly")),IF(AG97="A","Full LRC Stock Analysis",IF(AG97="B","Watch — re-check next month","Reject")))))</f>
        <v/>
      </c>
      <c r="AI97" s="35"/>
      <c r="AJ97" s="35"/>
      <c r="AK97" s="19"/>
      <c r="AL97" s="26"/>
      <c r="AM97" s="41" t="str">
        <f aca="false">IFERROR(IF(OR(AL97="",F97="",N(F97)=0),"",AL97/F97-1),"")</f>
        <v/>
      </c>
      <c r="AN97" s="35"/>
      <c r="AP97" s="43" t="str">
        <f aca="false">IF(AND(C97&lt;&gt;"",A97=$C$4,ISNUMBER(AF97)),AF97+ROW()/100000,"")</f>
        <v/>
      </c>
    </row>
    <row r="98" customFormat="false" ht="15" hidden="false" customHeight="false" outlineLevel="0" collapsed="false">
      <c r="A98" s="19"/>
      <c r="B98" s="35"/>
      <c r="C98" s="35"/>
      <c r="D98" s="35"/>
      <c r="E98" s="35"/>
      <c r="F98" s="26"/>
      <c r="G98" s="26"/>
      <c r="H98" s="49"/>
      <c r="I98" s="38"/>
      <c r="J98" s="49"/>
      <c r="K98" s="21"/>
      <c r="L98" s="21"/>
      <c r="M98" s="21"/>
      <c r="N98" s="21"/>
      <c r="O98" s="38"/>
      <c r="P98" s="38"/>
      <c r="Q98" s="21"/>
      <c r="R98" s="21"/>
      <c r="S98" s="21"/>
      <c r="T98" s="21"/>
      <c r="U98" s="25"/>
      <c r="V98" s="25"/>
      <c r="W98" s="26"/>
      <c r="X98" s="16" t="str">
        <f aca="false">IF(C98="","",IF(K98="",0,IF(K98&gt;=0.15,2,IF(K98&gt;=0.1,1,0)))+IF(L98="",0,IF(L98&gt;=0.12,2,IF(L98&gt;=0.08,1,0)))+(AND(N98&lt;&gt;"",N(N98)&gt;=0.15))+(AND(M98&lt;&gt;"",N(M98)&gt;=0.4)))</f>
        <v/>
      </c>
      <c r="Y98" s="16" t="str">
        <f aca="false">IF(C98="","",IF(Q98="",0,IF(Q98&gt;=0.1,2,IF(Q98&gt;=0.05,1,0)))+IF(R98="",0,IF(R98&gt;=0.08,2,IF(R98&gt;=0.04,1,0))))</f>
        <v/>
      </c>
      <c r="Z98" s="16" t="str">
        <f aca="false">IF(C98="","",IF(O98="",0,IF(O98&lt;=0.5,2,IF(O98&lt;=1,1,0)))+(AND(P98&lt;&gt;"",N(P98)&gt;=1.2)))</f>
        <v/>
      </c>
      <c r="AA98" s="16" t="str">
        <f aca="false">IF(C98="","",IF(H98="",0,IF(AND(H98&gt;0,H98&lt;=20),2,IF(AND(H98&gt;0,H98&lt;=30),1,0)))+IF(J98="",0,IF(AND(J98&gt;0,J98&lt;=20),2,IF(AND(J98&gt;0,J98&lt;=30),1,0))))</f>
        <v/>
      </c>
      <c r="AB98" s="16" t="str">
        <f aca="false">IF(C98="","",IF(OR(N(T98)&gt;=0.01,N(S98)&gt;=0.02),1,0))</f>
        <v/>
      </c>
      <c r="AC98" s="16" t="str">
        <f aca="false">IF(C98="","",MIN(2,N(U98))+MIN(2,N(V98)))</f>
        <v/>
      </c>
      <c r="AD98" s="50" t="str">
        <f aca="false">IFERROR(IF(OR(W98="",F98="",N(F98)=0),"",W98/F98-1),"")</f>
        <v/>
      </c>
      <c r="AE98" s="16" t="str">
        <f aca="false">IF(C98="","",IF(AD98="",0,IF(AD98&gt;=0.25,2,IF(AD98&gt;=0.1,1,0))))</f>
        <v/>
      </c>
      <c r="AF98" s="23" t="str">
        <f aca="false">IF(C98="","",X98+Y98+Z98+AA98+AB98+AC98+AE98)</f>
        <v/>
      </c>
      <c r="AG98" s="24" t="str">
        <f aca="false">IF(C98="","",IF(AF98&gt;=18,"A",IF(AF98&gt;=13,"B","C")))</f>
        <v/>
      </c>
      <c r="AH98" s="14" t="str">
        <f aca="false">IF(C98="","",IF(OR(AI98="Sold",AI98="Rejected"),"Closed",IF(AI98="Owned",IF(AND(ISNUMBER(W98),ISNUMBER(AL98),AL98&gt;W98*1.2),"REVIEW — price 20%+ above fair value",IF(AF98&lt;13,"REVIEW — quality score fell below 13","HOLD — re-check thesis yearly")),IF(AG98="A","Full LRC Stock Analysis",IF(AG98="B","Watch — re-check next month","Reject")))))</f>
        <v/>
      </c>
      <c r="AI98" s="35"/>
      <c r="AJ98" s="35"/>
      <c r="AK98" s="19"/>
      <c r="AL98" s="26"/>
      <c r="AM98" s="41" t="str">
        <f aca="false">IFERROR(IF(OR(AL98="",F98="",N(F98)=0),"",AL98/F98-1),"")</f>
        <v/>
      </c>
      <c r="AN98" s="35"/>
      <c r="AP98" s="43" t="str">
        <f aca="false">IF(AND(C98&lt;&gt;"",A98=$C$4,ISNUMBER(AF98)),AF98+ROW()/100000,"")</f>
        <v/>
      </c>
    </row>
    <row r="99" customFormat="false" ht="15" hidden="false" customHeight="false" outlineLevel="0" collapsed="false">
      <c r="A99" s="19"/>
      <c r="B99" s="35"/>
      <c r="C99" s="35"/>
      <c r="D99" s="35"/>
      <c r="E99" s="35"/>
      <c r="F99" s="26"/>
      <c r="G99" s="26"/>
      <c r="H99" s="49"/>
      <c r="I99" s="38"/>
      <c r="J99" s="49"/>
      <c r="K99" s="21"/>
      <c r="L99" s="21"/>
      <c r="M99" s="21"/>
      <c r="N99" s="21"/>
      <c r="O99" s="38"/>
      <c r="P99" s="38"/>
      <c r="Q99" s="21"/>
      <c r="R99" s="21"/>
      <c r="S99" s="21"/>
      <c r="T99" s="21"/>
      <c r="U99" s="25"/>
      <c r="V99" s="25"/>
      <c r="W99" s="26"/>
      <c r="X99" s="16" t="str">
        <f aca="false">IF(C99="","",IF(K99="",0,IF(K99&gt;=0.15,2,IF(K99&gt;=0.1,1,0)))+IF(L99="",0,IF(L99&gt;=0.12,2,IF(L99&gt;=0.08,1,0)))+(AND(N99&lt;&gt;"",N(N99)&gt;=0.15))+(AND(M99&lt;&gt;"",N(M99)&gt;=0.4)))</f>
        <v/>
      </c>
      <c r="Y99" s="16" t="str">
        <f aca="false">IF(C99="","",IF(Q99="",0,IF(Q99&gt;=0.1,2,IF(Q99&gt;=0.05,1,0)))+IF(R99="",0,IF(R99&gt;=0.08,2,IF(R99&gt;=0.04,1,0))))</f>
        <v/>
      </c>
      <c r="Z99" s="16" t="str">
        <f aca="false">IF(C99="","",IF(O99="",0,IF(O99&lt;=0.5,2,IF(O99&lt;=1,1,0)))+(AND(P99&lt;&gt;"",N(P99)&gt;=1.2)))</f>
        <v/>
      </c>
      <c r="AA99" s="16" t="str">
        <f aca="false">IF(C99="","",IF(H99="",0,IF(AND(H99&gt;0,H99&lt;=20),2,IF(AND(H99&gt;0,H99&lt;=30),1,0)))+IF(J99="",0,IF(AND(J99&gt;0,J99&lt;=20),2,IF(AND(J99&gt;0,J99&lt;=30),1,0))))</f>
        <v/>
      </c>
      <c r="AB99" s="16" t="str">
        <f aca="false">IF(C99="","",IF(OR(N(T99)&gt;=0.01,N(S99)&gt;=0.02),1,0))</f>
        <v/>
      </c>
      <c r="AC99" s="16" t="str">
        <f aca="false">IF(C99="","",MIN(2,N(U99))+MIN(2,N(V99)))</f>
        <v/>
      </c>
      <c r="AD99" s="50" t="str">
        <f aca="false">IFERROR(IF(OR(W99="",F99="",N(F99)=0),"",W99/F99-1),"")</f>
        <v/>
      </c>
      <c r="AE99" s="16" t="str">
        <f aca="false">IF(C99="","",IF(AD99="",0,IF(AD99&gt;=0.25,2,IF(AD99&gt;=0.1,1,0))))</f>
        <v/>
      </c>
      <c r="AF99" s="23" t="str">
        <f aca="false">IF(C99="","",X99+Y99+Z99+AA99+AB99+AC99+AE99)</f>
        <v/>
      </c>
      <c r="AG99" s="24" t="str">
        <f aca="false">IF(C99="","",IF(AF99&gt;=18,"A",IF(AF99&gt;=13,"B","C")))</f>
        <v/>
      </c>
      <c r="AH99" s="14" t="str">
        <f aca="false">IF(C99="","",IF(OR(AI99="Sold",AI99="Rejected"),"Closed",IF(AI99="Owned",IF(AND(ISNUMBER(W99),ISNUMBER(AL99),AL99&gt;W99*1.2),"REVIEW — price 20%+ above fair value",IF(AF99&lt;13,"REVIEW — quality score fell below 13","HOLD — re-check thesis yearly")),IF(AG99="A","Full LRC Stock Analysis",IF(AG99="B","Watch — re-check next month","Reject")))))</f>
        <v/>
      </c>
      <c r="AI99" s="35"/>
      <c r="AJ99" s="35"/>
      <c r="AK99" s="19"/>
      <c r="AL99" s="26"/>
      <c r="AM99" s="41" t="str">
        <f aca="false">IFERROR(IF(OR(AL99="",F99="",N(F99)=0),"",AL99/F99-1),"")</f>
        <v/>
      </c>
      <c r="AN99" s="35"/>
      <c r="AP99" s="43" t="str">
        <f aca="false">IF(AND(C99&lt;&gt;"",A99=$C$4,ISNUMBER(AF99)),AF99+ROW()/100000,"")</f>
        <v/>
      </c>
    </row>
    <row r="100" customFormat="false" ht="15" hidden="false" customHeight="false" outlineLevel="0" collapsed="false">
      <c r="A100" s="19"/>
      <c r="B100" s="35"/>
      <c r="C100" s="35"/>
      <c r="D100" s="35"/>
      <c r="E100" s="35"/>
      <c r="F100" s="26"/>
      <c r="G100" s="26"/>
      <c r="H100" s="49"/>
      <c r="I100" s="38"/>
      <c r="J100" s="49"/>
      <c r="K100" s="21"/>
      <c r="L100" s="21"/>
      <c r="M100" s="21"/>
      <c r="N100" s="21"/>
      <c r="O100" s="38"/>
      <c r="P100" s="38"/>
      <c r="Q100" s="21"/>
      <c r="R100" s="21"/>
      <c r="S100" s="21"/>
      <c r="T100" s="21"/>
      <c r="U100" s="25"/>
      <c r="V100" s="25"/>
      <c r="W100" s="26"/>
      <c r="X100" s="16" t="str">
        <f aca="false">IF(C100="","",IF(K100="",0,IF(K100&gt;=0.15,2,IF(K100&gt;=0.1,1,0)))+IF(L100="",0,IF(L100&gt;=0.12,2,IF(L100&gt;=0.08,1,0)))+(AND(N100&lt;&gt;"",N(N100)&gt;=0.15))+(AND(M100&lt;&gt;"",N(M100)&gt;=0.4)))</f>
        <v/>
      </c>
      <c r="Y100" s="16" t="str">
        <f aca="false">IF(C100="","",IF(Q100="",0,IF(Q100&gt;=0.1,2,IF(Q100&gt;=0.05,1,0)))+IF(R100="",0,IF(R100&gt;=0.08,2,IF(R100&gt;=0.04,1,0))))</f>
        <v/>
      </c>
      <c r="Z100" s="16" t="str">
        <f aca="false">IF(C100="","",IF(O100="",0,IF(O100&lt;=0.5,2,IF(O100&lt;=1,1,0)))+(AND(P100&lt;&gt;"",N(P100)&gt;=1.2)))</f>
        <v/>
      </c>
      <c r="AA100" s="16" t="str">
        <f aca="false">IF(C100="","",IF(H100="",0,IF(AND(H100&gt;0,H100&lt;=20),2,IF(AND(H100&gt;0,H100&lt;=30),1,0)))+IF(J100="",0,IF(AND(J100&gt;0,J100&lt;=20),2,IF(AND(J100&gt;0,J100&lt;=30),1,0))))</f>
        <v/>
      </c>
      <c r="AB100" s="16" t="str">
        <f aca="false">IF(C100="","",IF(OR(N(T100)&gt;=0.01,N(S100)&gt;=0.02),1,0))</f>
        <v/>
      </c>
      <c r="AC100" s="16" t="str">
        <f aca="false">IF(C100="","",MIN(2,N(U100))+MIN(2,N(V100)))</f>
        <v/>
      </c>
      <c r="AD100" s="50" t="str">
        <f aca="false">IFERROR(IF(OR(W100="",F100="",N(F100)=0),"",W100/F100-1),"")</f>
        <v/>
      </c>
      <c r="AE100" s="16" t="str">
        <f aca="false">IF(C100="","",IF(AD100="",0,IF(AD100&gt;=0.25,2,IF(AD100&gt;=0.1,1,0))))</f>
        <v/>
      </c>
      <c r="AF100" s="23" t="str">
        <f aca="false">IF(C100="","",X100+Y100+Z100+AA100+AB100+AC100+AE100)</f>
        <v/>
      </c>
      <c r="AG100" s="24" t="str">
        <f aca="false">IF(C100="","",IF(AF100&gt;=18,"A",IF(AF100&gt;=13,"B","C")))</f>
        <v/>
      </c>
      <c r="AH100" s="14" t="str">
        <f aca="false">IF(C100="","",IF(OR(AI100="Sold",AI100="Rejected"),"Closed",IF(AI100="Owned",IF(AND(ISNUMBER(W100),ISNUMBER(AL100),AL100&gt;W100*1.2),"REVIEW — price 20%+ above fair value",IF(AF100&lt;13,"REVIEW — quality score fell below 13","HOLD — re-check thesis yearly")),IF(AG100="A","Full LRC Stock Analysis",IF(AG100="B","Watch — re-check next month","Reject")))))</f>
        <v/>
      </c>
      <c r="AI100" s="35"/>
      <c r="AJ100" s="35"/>
      <c r="AK100" s="19"/>
      <c r="AL100" s="26"/>
      <c r="AM100" s="41" t="str">
        <f aca="false">IFERROR(IF(OR(AL100="",F100="",N(F100)=0),"",AL100/F100-1),"")</f>
        <v/>
      </c>
      <c r="AN100" s="35"/>
      <c r="AP100" s="43" t="str">
        <f aca="false">IF(AND(C100&lt;&gt;"",A100=$C$4,ISNUMBER(AF100)),AF100+ROW()/100000,"")</f>
        <v/>
      </c>
    </row>
    <row r="101" customFormat="false" ht="15" hidden="false" customHeight="false" outlineLevel="0" collapsed="false">
      <c r="A101" s="19"/>
      <c r="B101" s="35"/>
      <c r="C101" s="35"/>
      <c r="D101" s="35"/>
      <c r="E101" s="35"/>
      <c r="F101" s="26"/>
      <c r="G101" s="26"/>
      <c r="H101" s="49"/>
      <c r="I101" s="38"/>
      <c r="J101" s="49"/>
      <c r="K101" s="21"/>
      <c r="L101" s="21"/>
      <c r="M101" s="21"/>
      <c r="N101" s="21"/>
      <c r="O101" s="38"/>
      <c r="P101" s="38"/>
      <c r="Q101" s="21"/>
      <c r="R101" s="21"/>
      <c r="S101" s="21"/>
      <c r="T101" s="21"/>
      <c r="U101" s="25"/>
      <c r="V101" s="25"/>
      <c r="W101" s="26"/>
      <c r="X101" s="16" t="str">
        <f aca="false">IF(C101="","",IF(K101="",0,IF(K101&gt;=0.15,2,IF(K101&gt;=0.1,1,0)))+IF(L101="",0,IF(L101&gt;=0.12,2,IF(L101&gt;=0.08,1,0)))+(AND(N101&lt;&gt;"",N(N101)&gt;=0.15))+(AND(M101&lt;&gt;"",N(M101)&gt;=0.4)))</f>
        <v/>
      </c>
      <c r="Y101" s="16" t="str">
        <f aca="false">IF(C101="","",IF(Q101="",0,IF(Q101&gt;=0.1,2,IF(Q101&gt;=0.05,1,0)))+IF(R101="",0,IF(R101&gt;=0.08,2,IF(R101&gt;=0.04,1,0))))</f>
        <v/>
      </c>
      <c r="Z101" s="16" t="str">
        <f aca="false">IF(C101="","",IF(O101="",0,IF(O101&lt;=0.5,2,IF(O101&lt;=1,1,0)))+(AND(P101&lt;&gt;"",N(P101)&gt;=1.2)))</f>
        <v/>
      </c>
      <c r="AA101" s="16" t="str">
        <f aca="false">IF(C101="","",IF(H101="",0,IF(AND(H101&gt;0,H101&lt;=20),2,IF(AND(H101&gt;0,H101&lt;=30),1,0)))+IF(J101="",0,IF(AND(J101&gt;0,J101&lt;=20),2,IF(AND(J101&gt;0,J101&lt;=30),1,0))))</f>
        <v/>
      </c>
      <c r="AB101" s="16" t="str">
        <f aca="false">IF(C101="","",IF(OR(N(T101)&gt;=0.01,N(S101)&gt;=0.02),1,0))</f>
        <v/>
      </c>
      <c r="AC101" s="16" t="str">
        <f aca="false">IF(C101="","",MIN(2,N(U101))+MIN(2,N(V101)))</f>
        <v/>
      </c>
      <c r="AD101" s="50" t="str">
        <f aca="false">IFERROR(IF(OR(W101="",F101="",N(F101)=0),"",W101/F101-1),"")</f>
        <v/>
      </c>
      <c r="AE101" s="16" t="str">
        <f aca="false">IF(C101="","",IF(AD101="",0,IF(AD101&gt;=0.25,2,IF(AD101&gt;=0.1,1,0))))</f>
        <v/>
      </c>
      <c r="AF101" s="23" t="str">
        <f aca="false">IF(C101="","",X101+Y101+Z101+AA101+AB101+AC101+AE101)</f>
        <v/>
      </c>
      <c r="AG101" s="24" t="str">
        <f aca="false">IF(C101="","",IF(AF101&gt;=18,"A",IF(AF101&gt;=13,"B","C")))</f>
        <v/>
      </c>
      <c r="AH101" s="14" t="str">
        <f aca="false">IF(C101="","",IF(OR(AI101="Sold",AI101="Rejected"),"Closed",IF(AI101="Owned",IF(AND(ISNUMBER(W101),ISNUMBER(AL101),AL101&gt;W101*1.2),"REVIEW — price 20%+ above fair value",IF(AF101&lt;13,"REVIEW — quality score fell below 13","HOLD — re-check thesis yearly")),IF(AG101="A","Full LRC Stock Analysis",IF(AG101="B","Watch — re-check next month","Reject")))))</f>
        <v/>
      </c>
      <c r="AI101" s="35"/>
      <c r="AJ101" s="35"/>
      <c r="AK101" s="19"/>
      <c r="AL101" s="26"/>
      <c r="AM101" s="41" t="str">
        <f aca="false">IFERROR(IF(OR(AL101="",F101="",N(F101)=0),"",AL101/F101-1),"")</f>
        <v/>
      </c>
      <c r="AN101" s="35"/>
      <c r="AP101" s="43" t="str">
        <f aca="false">IF(AND(C101&lt;&gt;"",A101=$C$4,ISNUMBER(AF101)),AF101+ROW()/100000,"")</f>
        <v/>
      </c>
    </row>
    <row r="102" customFormat="false" ht="15" hidden="false" customHeight="false" outlineLevel="0" collapsed="false">
      <c r="A102" s="19"/>
      <c r="B102" s="35"/>
      <c r="C102" s="35"/>
      <c r="D102" s="35"/>
      <c r="E102" s="35"/>
      <c r="F102" s="26"/>
      <c r="G102" s="26"/>
      <c r="H102" s="49"/>
      <c r="I102" s="38"/>
      <c r="J102" s="49"/>
      <c r="K102" s="21"/>
      <c r="L102" s="21"/>
      <c r="M102" s="21"/>
      <c r="N102" s="21"/>
      <c r="O102" s="38"/>
      <c r="P102" s="38"/>
      <c r="Q102" s="21"/>
      <c r="R102" s="21"/>
      <c r="S102" s="21"/>
      <c r="T102" s="21"/>
      <c r="U102" s="25"/>
      <c r="V102" s="25"/>
      <c r="W102" s="26"/>
      <c r="X102" s="16" t="str">
        <f aca="false">IF(C102="","",IF(K102="",0,IF(K102&gt;=0.15,2,IF(K102&gt;=0.1,1,0)))+IF(L102="",0,IF(L102&gt;=0.12,2,IF(L102&gt;=0.08,1,0)))+(AND(N102&lt;&gt;"",N(N102)&gt;=0.15))+(AND(M102&lt;&gt;"",N(M102)&gt;=0.4)))</f>
        <v/>
      </c>
      <c r="Y102" s="16" t="str">
        <f aca="false">IF(C102="","",IF(Q102="",0,IF(Q102&gt;=0.1,2,IF(Q102&gt;=0.05,1,0)))+IF(R102="",0,IF(R102&gt;=0.08,2,IF(R102&gt;=0.04,1,0))))</f>
        <v/>
      </c>
      <c r="Z102" s="16" t="str">
        <f aca="false">IF(C102="","",IF(O102="",0,IF(O102&lt;=0.5,2,IF(O102&lt;=1,1,0)))+(AND(P102&lt;&gt;"",N(P102)&gt;=1.2)))</f>
        <v/>
      </c>
      <c r="AA102" s="16" t="str">
        <f aca="false">IF(C102="","",IF(H102="",0,IF(AND(H102&gt;0,H102&lt;=20),2,IF(AND(H102&gt;0,H102&lt;=30),1,0)))+IF(J102="",0,IF(AND(J102&gt;0,J102&lt;=20),2,IF(AND(J102&gt;0,J102&lt;=30),1,0))))</f>
        <v/>
      </c>
      <c r="AB102" s="16" t="str">
        <f aca="false">IF(C102="","",IF(OR(N(T102)&gt;=0.01,N(S102)&gt;=0.02),1,0))</f>
        <v/>
      </c>
      <c r="AC102" s="16" t="str">
        <f aca="false">IF(C102="","",MIN(2,N(U102))+MIN(2,N(V102)))</f>
        <v/>
      </c>
      <c r="AD102" s="50" t="str">
        <f aca="false">IFERROR(IF(OR(W102="",F102="",N(F102)=0),"",W102/F102-1),"")</f>
        <v/>
      </c>
      <c r="AE102" s="16" t="str">
        <f aca="false">IF(C102="","",IF(AD102="",0,IF(AD102&gt;=0.25,2,IF(AD102&gt;=0.1,1,0))))</f>
        <v/>
      </c>
      <c r="AF102" s="23" t="str">
        <f aca="false">IF(C102="","",X102+Y102+Z102+AA102+AB102+AC102+AE102)</f>
        <v/>
      </c>
      <c r="AG102" s="24" t="str">
        <f aca="false">IF(C102="","",IF(AF102&gt;=18,"A",IF(AF102&gt;=13,"B","C")))</f>
        <v/>
      </c>
      <c r="AH102" s="14" t="str">
        <f aca="false">IF(C102="","",IF(OR(AI102="Sold",AI102="Rejected"),"Closed",IF(AI102="Owned",IF(AND(ISNUMBER(W102),ISNUMBER(AL102),AL102&gt;W102*1.2),"REVIEW — price 20%+ above fair value",IF(AF102&lt;13,"REVIEW — quality score fell below 13","HOLD — re-check thesis yearly")),IF(AG102="A","Full LRC Stock Analysis",IF(AG102="B","Watch — re-check next month","Reject")))))</f>
        <v/>
      </c>
      <c r="AI102" s="35"/>
      <c r="AJ102" s="35"/>
      <c r="AK102" s="19"/>
      <c r="AL102" s="26"/>
      <c r="AM102" s="41" t="str">
        <f aca="false">IFERROR(IF(OR(AL102="",F102="",N(F102)=0),"",AL102/F102-1),"")</f>
        <v/>
      </c>
      <c r="AN102" s="35"/>
      <c r="AP102" s="43" t="str">
        <f aca="false">IF(AND(C102&lt;&gt;"",A102=$C$4,ISNUMBER(AF102)),AF102+ROW()/100000,"")</f>
        <v/>
      </c>
    </row>
    <row r="103" customFormat="false" ht="15" hidden="false" customHeight="false" outlineLevel="0" collapsed="false">
      <c r="A103" s="19"/>
      <c r="B103" s="35"/>
      <c r="C103" s="35"/>
      <c r="D103" s="35"/>
      <c r="E103" s="35"/>
      <c r="F103" s="26"/>
      <c r="G103" s="26"/>
      <c r="H103" s="49"/>
      <c r="I103" s="38"/>
      <c r="J103" s="49"/>
      <c r="K103" s="21"/>
      <c r="L103" s="21"/>
      <c r="M103" s="21"/>
      <c r="N103" s="21"/>
      <c r="O103" s="38"/>
      <c r="P103" s="38"/>
      <c r="Q103" s="21"/>
      <c r="R103" s="21"/>
      <c r="S103" s="21"/>
      <c r="T103" s="21"/>
      <c r="U103" s="25"/>
      <c r="V103" s="25"/>
      <c r="W103" s="26"/>
      <c r="X103" s="16" t="str">
        <f aca="false">IF(C103="","",IF(K103="",0,IF(K103&gt;=0.15,2,IF(K103&gt;=0.1,1,0)))+IF(L103="",0,IF(L103&gt;=0.12,2,IF(L103&gt;=0.08,1,0)))+(AND(N103&lt;&gt;"",N(N103)&gt;=0.15))+(AND(M103&lt;&gt;"",N(M103)&gt;=0.4)))</f>
        <v/>
      </c>
      <c r="Y103" s="16" t="str">
        <f aca="false">IF(C103="","",IF(Q103="",0,IF(Q103&gt;=0.1,2,IF(Q103&gt;=0.05,1,0)))+IF(R103="",0,IF(R103&gt;=0.08,2,IF(R103&gt;=0.04,1,0))))</f>
        <v/>
      </c>
      <c r="Z103" s="16" t="str">
        <f aca="false">IF(C103="","",IF(O103="",0,IF(O103&lt;=0.5,2,IF(O103&lt;=1,1,0)))+(AND(P103&lt;&gt;"",N(P103)&gt;=1.2)))</f>
        <v/>
      </c>
      <c r="AA103" s="16" t="str">
        <f aca="false">IF(C103="","",IF(H103="",0,IF(AND(H103&gt;0,H103&lt;=20),2,IF(AND(H103&gt;0,H103&lt;=30),1,0)))+IF(J103="",0,IF(AND(J103&gt;0,J103&lt;=20),2,IF(AND(J103&gt;0,J103&lt;=30),1,0))))</f>
        <v/>
      </c>
      <c r="AB103" s="16" t="str">
        <f aca="false">IF(C103="","",IF(OR(N(T103)&gt;=0.01,N(S103)&gt;=0.02),1,0))</f>
        <v/>
      </c>
      <c r="AC103" s="16" t="str">
        <f aca="false">IF(C103="","",MIN(2,N(U103))+MIN(2,N(V103)))</f>
        <v/>
      </c>
      <c r="AD103" s="50" t="str">
        <f aca="false">IFERROR(IF(OR(W103="",F103="",N(F103)=0),"",W103/F103-1),"")</f>
        <v/>
      </c>
      <c r="AE103" s="16" t="str">
        <f aca="false">IF(C103="","",IF(AD103="",0,IF(AD103&gt;=0.25,2,IF(AD103&gt;=0.1,1,0))))</f>
        <v/>
      </c>
      <c r="AF103" s="23" t="str">
        <f aca="false">IF(C103="","",X103+Y103+Z103+AA103+AB103+AC103+AE103)</f>
        <v/>
      </c>
      <c r="AG103" s="24" t="str">
        <f aca="false">IF(C103="","",IF(AF103&gt;=18,"A",IF(AF103&gt;=13,"B","C")))</f>
        <v/>
      </c>
      <c r="AH103" s="14" t="str">
        <f aca="false">IF(C103="","",IF(OR(AI103="Sold",AI103="Rejected"),"Closed",IF(AI103="Owned",IF(AND(ISNUMBER(W103),ISNUMBER(AL103),AL103&gt;W103*1.2),"REVIEW — price 20%+ above fair value",IF(AF103&lt;13,"REVIEW — quality score fell below 13","HOLD — re-check thesis yearly")),IF(AG103="A","Full LRC Stock Analysis",IF(AG103="B","Watch — re-check next month","Reject")))))</f>
        <v/>
      </c>
      <c r="AI103" s="35"/>
      <c r="AJ103" s="35"/>
      <c r="AK103" s="19"/>
      <c r="AL103" s="26"/>
      <c r="AM103" s="41" t="str">
        <f aca="false">IFERROR(IF(OR(AL103="",F103="",N(F103)=0),"",AL103/F103-1),"")</f>
        <v/>
      </c>
      <c r="AN103" s="35"/>
      <c r="AP103" s="43" t="str">
        <f aca="false">IF(AND(C103&lt;&gt;"",A103=$C$4,ISNUMBER(AF103)),AF103+ROW()/100000,"")</f>
        <v/>
      </c>
    </row>
    <row r="104" customFormat="false" ht="15" hidden="false" customHeight="false" outlineLevel="0" collapsed="false">
      <c r="A104" s="19"/>
      <c r="B104" s="35"/>
      <c r="C104" s="35"/>
      <c r="D104" s="35"/>
      <c r="E104" s="35"/>
      <c r="F104" s="26"/>
      <c r="G104" s="26"/>
      <c r="H104" s="49"/>
      <c r="I104" s="38"/>
      <c r="J104" s="49"/>
      <c r="K104" s="21"/>
      <c r="L104" s="21"/>
      <c r="M104" s="21"/>
      <c r="N104" s="21"/>
      <c r="O104" s="38"/>
      <c r="P104" s="38"/>
      <c r="Q104" s="21"/>
      <c r="R104" s="21"/>
      <c r="S104" s="21"/>
      <c r="T104" s="21"/>
      <c r="U104" s="25"/>
      <c r="V104" s="25"/>
      <c r="W104" s="26"/>
      <c r="X104" s="16" t="str">
        <f aca="false">IF(C104="","",IF(K104="",0,IF(K104&gt;=0.15,2,IF(K104&gt;=0.1,1,0)))+IF(L104="",0,IF(L104&gt;=0.12,2,IF(L104&gt;=0.08,1,0)))+(AND(N104&lt;&gt;"",N(N104)&gt;=0.15))+(AND(M104&lt;&gt;"",N(M104)&gt;=0.4)))</f>
        <v/>
      </c>
      <c r="Y104" s="16" t="str">
        <f aca="false">IF(C104="","",IF(Q104="",0,IF(Q104&gt;=0.1,2,IF(Q104&gt;=0.05,1,0)))+IF(R104="",0,IF(R104&gt;=0.08,2,IF(R104&gt;=0.04,1,0))))</f>
        <v/>
      </c>
      <c r="Z104" s="16" t="str">
        <f aca="false">IF(C104="","",IF(O104="",0,IF(O104&lt;=0.5,2,IF(O104&lt;=1,1,0)))+(AND(P104&lt;&gt;"",N(P104)&gt;=1.2)))</f>
        <v/>
      </c>
      <c r="AA104" s="16" t="str">
        <f aca="false">IF(C104="","",IF(H104="",0,IF(AND(H104&gt;0,H104&lt;=20),2,IF(AND(H104&gt;0,H104&lt;=30),1,0)))+IF(J104="",0,IF(AND(J104&gt;0,J104&lt;=20),2,IF(AND(J104&gt;0,J104&lt;=30),1,0))))</f>
        <v/>
      </c>
      <c r="AB104" s="16" t="str">
        <f aca="false">IF(C104="","",IF(OR(N(T104)&gt;=0.01,N(S104)&gt;=0.02),1,0))</f>
        <v/>
      </c>
      <c r="AC104" s="16" t="str">
        <f aca="false">IF(C104="","",MIN(2,N(U104))+MIN(2,N(V104)))</f>
        <v/>
      </c>
      <c r="AD104" s="50" t="str">
        <f aca="false">IFERROR(IF(OR(W104="",F104="",N(F104)=0),"",W104/F104-1),"")</f>
        <v/>
      </c>
      <c r="AE104" s="16" t="str">
        <f aca="false">IF(C104="","",IF(AD104="",0,IF(AD104&gt;=0.25,2,IF(AD104&gt;=0.1,1,0))))</f>
        <v/>
      </c>
      <c r="AF104" s="23" t="str">
        <f aca="false">IF(C104="","",X104+Y104+Z104+AA104+AB104+AC104+AE104)</f>
        <v/>
      </c>
      <c r="AG104" s="24" t="str">
        <f aca="false">IF(C104="","",IF(AF104&gt;=18,"A",IF(AF104&gt;=13,"B","C")))</f>
        <v/>
      </c>
      <c r="AH104" s="14" t="str">
        <f aca="false">IF(C104="","",IF(OR(AI104="Sold",AI104="Rejected"),"Closed",IF(AI104="Owned",IF(AND(ISNUMBER(W104),ISNUMBER(AL104),AL104&gt;W104*1.2),"REVIEW — price 20%+ above fair value",IF(AF104&lt;13,"REVIEW — quality score fell below 13","HOLD — re-check thesis yearly")),IF(AG104="A","Full LRC Stock Analysis",IF(AG104="B","Watch — re-check next month","Reject")))))</f>
        <v/>
      </c>
      <c r="AI104" s="35"/>
      <c r="AJ104" s="35"/>
      <c r="AK104" s="19"/>
      <c r="AL104" s="26"/>
      <c r="AM104" s="41" t="str">
        <f aca="false">IFERROR(IF(OR(AL104="",F104="",N(F104)=0),"",AL104/F104-1),"")</f>
        <v/>
      </c>
      <c r="AN104" s="35"/>
      <c r="AP104" s="43" t="str">
        <f aca="false">IF(AND(C104&lt;&gt;"",A104=$C$4,ISNUMBER(AF104)),AF104+ROW()/100000,"")</f>
        <v/>
      </c>
    </row>
    <row r="105" customFormat="false" ht="15" hidden="false" customHeight="false" outlineLevel="0" collapsed="false">
      <c r="A105" s="19"/>
      <c r="B105" s="35"/>
      <c r="C105" s="35"/>
      <c r="D105" s="35"/>
      <c r="E105" s="35"/>
      <c r="F105" s="26"/>
      <c r="G105" s="26"/>
      <c r="H105" s="49"/>
      <c r="I105" s="38"/>
      <c r="J105" s="49"/>
      <c r="K105" s="21"/>
      <c r="L105" s="21"/>
      <c r="M105" s="21"/>
      <c r="N105" s="21"/>
      <c r="O105" s="38"/>
      <c r="P105" s="38"/>
      <c r="Q105" s="21"/>
      <c r="R105" s="21"/>
      <c r="S105" s="21"/>
      <c r="T105" s="21"/>
      <c r="U105" s="25"/>
      <c r="V105" s="25"/>
      <c r="W105" s="26"/>
      <c r="X105" s="16" t="str">
        <f aca="false">IF(C105="","",IF(K105="",0,IF(K105&gt;=0.15,2,IF(K105&gt;=0.1,1,0)))+IF(L105="",0,IF(L105&gt;=0.12,2,IF(L105&gt;=0.08,1,0)))+(AND(N105&lt;&gt;"",N(N105)&gt;=0.15))+(AND(M105&lt;&gt;"",N(M105)&gt;=0.4)))</f>
        <v/>
      </c>
      <c r="Y105" s="16" t="str">
        <f aca="false">IF(C105="","",IF(Q105="",0,IF(Q105&gt;=0.1,2,IF(Q105&gt;=0.05,1,0)))+IF(R105="",0,IF(R105&gt;=0.08,2,IF(R105&gt;=0.04,1,0))))</f>
        <v/>
      </c>
      <c r="Z105" s="16" t="str">
        <f aca="false">IF(C105="","",IF(O105="",0,IF(O105&lt;=0.5,2,IF(O105&lt;=1,1,0)))+(AND(P105&lt;&gt;"",N(P105)&gt;=1.2)))</f>
        <v/>
      </c>
      <c r="AA105" s="16" t="str">
        <f aca="false">IF(C105="","",IF(H105="",0,IF(AND(H105&gt;0,H105&lt;=20),2,IF(AND(H105&gt;0,H105&lt;=30),1,0)))+IF(J105="",0,IF(AND(J105&gt;0,J105&lt;=20),2,IF(AND(J105&gt;0,J105&lt;=30),1,0))))</f>
        <v/>
      </c>
      <c r="AB105" s="16" t="str">
        <f aca="false">IF(C105="","",IF(OR(N(T105)&gt;=0.01,N(S105)&gt;=0.02),1,0))</f>
        <v/>
      </c>
      <c r="AC105" s="16" t="str">
        <f aca="false">IF(C105="","",MIN(2,N(U105))+MIN(2,N(V105)))</f>
        <v/>
      </c>
      <c r="AD105" s="50" t="str">
        <f aca="false">IFERROR(IF(OR(W105="",F105="",N(F105)=0),"",W105/F105-1),"")</f>
        <v/>
      </c>
      <c r="AE105" s="16" t="str">
        <f aca="false">IF(C105="","",IF(AD105="",0,IF(AD105&gt;=0.25,2,IF(AD105&gt;=0.1,1,0))))</f>
        <v/>
      </c>
      <c r="AF105" s="23" t="str">
        <f aca="false">IF(C105="","",X105+Y105+Z105+AA105+AB105+AC105+AE105)</f>
        <v/>
      </c>
      <c r="AG105" s="24" t="str">
        <f aca="false">IF(C105="","",IF(AF105&gt;=18,"A",IF(AF105&gt;=13,"B","C")))</f>
        <v/>
      </c>
      <c r="AH105" s="14" t="str">
        <f aca="false">IF(C105="","",IF(OR(AI105="Sold",AI105="Rejected"),"Closed",IF(AI105="Owned",IF(AND(ISNUMBER(W105),ISNUMBER(AL105),AL105&gt;W105*1.2),"REVIEW — price 20%+ above fair value",IF(AF105&lt;13,"REVIEW — quality score fell below 13","HOLD — re-check thesis yearly")),IF(AG105="A","Full LRC Stock Analysis",IF(AG105="B","Watch — re-check next month","Reject")))))</f>
        <v/>
      </c>
      <c r="AI105" s="35"/>
      <c r="AJ105" s="35"/>
      <c r="AK105" s="19"/>
      <c r="AL105" s="26"/>
      <c r="AM105" s="41" t="str">
        <f aca="false">IFERROR(IF(OR(AL105="",F105="",N(F105)=0),"",AL105/F105-1),"")</f>
        <v/>
      </c>
      <c r="AN105" s="35"/>
      <c r="AP105" s="43" t="str">
        <f aca="false">IF(AND(C105&lt;&gt;"",A105=$C$4,ISNUMBER(AF105)),AF105+ROW()/100000,"")</f>
        <v/>
      </c>
    </row>
    <row r="106" customFormat="false" ht="15" hidden="false" customHeight="false" outlineLevel="0" collapsed="false">
      <c r="A106" s="19"/>
      <c r="B106" s="35"/>
      <c r="C106" s="35"/>
      <c r="D106" s="35"/>
      <c r="E106" s="35"/>
      <c r="F106" s="26"/>
      <c r="G106" s="26"/>
      <c r="H106" s="49"/>
      <c r="I106" s="38"/>
      <c r="J106" s="49"/>
      <c r="K106" s="21"/>
      <c r="L106" s="21"/>
      <c r="M106" s="21"/>
      <c r="N106" s="21"/>
      <c r="O106" s="38"/>
      <c r="P106" s="38"/>
      <c r="Q106" s="21"/>
      <c r="R106" s="21"/>
      <c r="S106" s="21"/>
      <c r="T106" s="21"/>
      <c r="U106" s="25"/>
      <c r="V106" s="25"/>
      <c r="W106" s="26"/>
      <c r="X106" s="16" t="str">
        <f aca="false">IF(C106="","",IF(K106="",0,IF(K106&gt;=0.15,2,IF(K106&gt;=0.1,1,0)))+IF(L106="",0,IF(L106&gt;=0.12,2,IF(L106&gt;=0.08,1,0)))+(AND(N106&lt;&gt;"",N(N106)&gt;=0.15))+(AND(M106&lt;&gt;"",N(M106)&gt;=0.4)))</f>
        <v/>
      </c>
      <c r="Y106" s="16" t="str">
        <f aca="false">IF(C106="","",IF(Q106="",0,IF(Q106&gt;=0.1,2,IF(Q106&gt;=0.05,1,0)))+IF(R106="",0,IF(R106&gt;=0.08,2,IF(R106&gt;=0.04,1,0))))</f>
        <v/>
      </c>
      <c r="Z106" s="16" t="str">
        <f aca="false">IF(C106="","",IF(O106="",0,IF(O106&lt;=0.5,2,IF(O106&lt;=1,1,0)))+(AND(P106&lt;&gt;"",N(P106)&gt;=1.2)))</f>
        <v/>
      </c>
      <c r="AA106" s="16" t="str">
        <f aca="false">IF(C106="","",IF(H106="",0,IF(AND(H106&gt;0,H106&lt;=20),2,IF(AND(H106&gt;0,H106&lt;=30),1,0)))+IF(J106="",0,IF(AND(J106&gt;0,J106&lt;=20),2,IF(AND(J106&gt;0,J106&lt;=30),1,0))))</f>
        <v/>
      </c>
      <c r="AB106" s="16" t="str">
        <f aca="false">IF(C106="","",IF(OR(N(T106)&gt;=0.01,N(S106)&gt;=0.02),1,0))</f>
        <v/>
      </c>
      <c r="AC106" s="16" t="str">
        <f aca="false">IF(C106="","",MIN(2,N(U106))+MIN(2,N(V106)))</f>
        <v/>
      </c>
      <c r="AD106" s="50" t="str">
        <f aca="false">IFERROR(IF(OR(W106="",F106="",N(F106)=0),"",W106/F106-1),"")</f>
        <v/>
      </c>
      <c r="AE106" s="16" t="str">
        <f aca="false">IF(C106="","",IF(AD106="",0,IF(AD106&gt;=0.25,2,IF(AD106&gt;=0.1,1,0))))</f>
        <v/>
      </c>
      <c r="AF106" s="23" t="str">
        <f aca="false">IF(C106="","",X106+Y106+Z106+AA106+AB106+AC106+AE106)</f>
        <v/>
      </c>
      <c r="AG106" s="24" t="str">
        <f aca="false">IF(C106="","",IF(AF106&gt;=18,"A",IF(AF106&gt;=13,"B","C")))</f>
        <v/>
      </c>
      <c r="AH106" s="14" t="str">
        <f aca="false">IF(C106="","",IF(OR(AI106="Sold",AI106="Rejected"),"Closed",IF(AI106="Owned",IF(AND(ISNUMBER(W106),ISNUMBER(AL106),AL106&gt;W106*1.2),"REVIEW — price 20%+ above fair value",IF(AF106&lt;13,"REVIEW — quality score fell below 13","HOLD — re-check thesis yearly")),IF(AG106="A","Full LRC Stock Analysis",IF(AG106="B","Watch — re-check next month","Reject")))))</f>
        <v/>
      </c>
      <c r="AI106" s="35"/>
      <c r="AJ106" s="35"/>
      <c r="AK106" s="19"/>
      <c r="AL106" s="26"/>
      <c r="AM106" s="41" t="str">
        <f aca="false">IFERROR(IF(OR(AL106="",F106="",N(F106)=0),"",AL106/F106-1),"")</f>
        <v/>
      </c>
      <c r="AN106" s="35"/>
      <c r="AP106" s="43" t="str">
        <f aca="false">IF(AND(C106&lt;&gt;"",A106=$C$4,ISNUMBER(AF106)),AF106+ROW()/100000,"")</f>
        <v/>
      </c>
    </row>
    <row r="107" customFormat="false" ht="15" hidden="false" customHeight="false" outlineLevel="0" collapsed="false">
      <c r="A107" s="19"/>
      <c r="B107" s="35"/>
      <c r="C107" s="35"/>
      <c r="D107" s="35"/>
      <c r="E107" s="35"/>
      <c r="F107" s="26"/>
      <c r="G107" s="26"/>
      <c r="H107" s="49"/>
      <c r="I107" s="38"/>
      <c r="J107" s="49"/>
      <c r="K107" s="21"/>
      <c r="L107" s="21"/>
      <c r="M107" s="21"/>
      <c r="N107" s="21"/>
      <c r="O107" s="38"/>
      <c r="P107" s="38"/>
      <c r="Q107" s="21"/>
      <c r="R107" s="21"/>
      <c r="S107" s="21"/>
      <c r="T107" s="21"/>
      <c r="U107" s="25"/>
      <c r="V107" s="25"/>
      <c r="W107" s="26"/>
      <c r="X107" s="16" t="str">
        <f aca="false">IF(C107="","",IF(K107="",0,IF(K107&gt;=0.15,2,IF(K107&gt;=0.1,1,0)))+IF(L107="",0,IF(L107&gt;=0.12,2,IF(L107&gt;=0.08,1,0)))+(AND(N107&lt;&gt;"",N(N107)&gt;=0.15))+(AND(M107&lt;&gt;"",N(M107)&gt;=0.4)))</f>
        <v/>
      </c>
      <c r="Y107" s="16" t="str">
        <f aca="false">IF(C107="","",IF(Q107="",0,IF(Q107&gt;=0.1,2,IF(Q107&gt;=0.05,1,0)))+IF(R107="",0,IF(R107&gt;=0.08,2,IF(R107&gt;=0.04,1,0))))</f>
        <v/>
      </c>
      <c r="Z107" s="16" t="str">
        <f aca="false">IF(C107="","",IF(O107="",0,IF(O107&lt;=0.5,2,IF(O107&lt;=1,1,0)))+(AND(P107&lt;&gt;"",N(P107)&gt;=1.2)))</f>
        <v/>
      </c>
      <c r="AA107" s="16" t="str">
        <f aca="false">IF(C107="","",IF(H107="",0,IF(AND(H107&gt;0,H107&lt;=20),2,IF(AND(H107&gt;0,H107&lt;=30),1,0)))+IF(J107="",0,IF(AND(J107&gt;0,J107&lt;=20),2,IF(AND(J107&gt;0,J107&lt;=30),1,0))))</f>
        <v/>
      </c>
      <c r="AB107" s="16" t="str">
        <f aca="false">IF(C107="","",IF(OR(N(T107)&gt;=0.01,N(S107)&gt;=0.02),1,0))</f>
        <v/>
      </c>
      <c r="AC107" s="16" t="str">
        <f aca="false">IF(C107="","",MIN(2,N(U107))+MIN(2,N(V107)))</f>
        <v/>
      </c>
      <c r="AD107" s="50" t="str">
        <f aca="false">IFERROR(IF(OR(W107="",F107="",N(F107)=0),"",W107/F107-1),"")</f>
        <v/>
      </c>
      <c r="AE107" s="16" t="str">
        <f aca="false">IF(C107="","",IF(AD107="",0,IF(AD107&gt;=0.25,2,IF(AD107&gt;=0.1,1,0))))</f>
        <v/>
      </c>
      <c r="AF107" s="23" t="str">
        <f aca="false">IF(C107="","",X107+Y107+Z107+AA107+AB107+AC107+AE107)</f>
        <v/>
      </c>
      <c r="AG107" s="24" t="str">
        <f aca="false">IF(C107="","",IF(AF107&gt;=18,"A",IF(AF107&gt;=13,"B","C")))</f>
        <v/>
      </c>
      <c r="AH107" s="14" t="str">
        <f aca="false">IF(C107="","",IF(OR(AI107="Sold",AI107="Rejected"),"Closed",IF(AI107="Owned",IF(AND(ISNUMBER(W107),ISNUMBER(AL107),AL107&gt;W107*1.2),"REVIEW — price 20%+ above fair value",IF(AF107&lt;13,"REVIEW — quality score fell below 13","HOLD — re-check thesis yearly")),IF(AG107="A","Full LRC Stock Analysis",IF(AG107="B","Watch — re-check next month","Reject")))))</f>
        <v/>
      </c>
      <c r="AI107" s="35"/>
      <c r="AJ107" s="35"/>
      <c r="AK107" s="19"/>
      <c r="AL107" s="26"/>
      <c r="AM107" s="41" t="str">
        <f aca="false">IFERROR(IF(OR(AL107="",F107="",N(F107)=0),"",AL107/F107-1),"")</f>
        <v/>
      </c>
      <c r="AN107" s="35"/>
      <c r="AP107" s="43" t="str">
        <f aca="false">IF(AND(C107&lt;&gt;"",A107=$C$4,ISNUMBER(AF107)),AF107+ROW()/100000,"")</f>
        <v/>
      </c>
    </row>
    <row r="108" customFormat="false" ht="15" hidden="false" customHeight="false" outlineLevel="0" collapsed="false">
      <c r="A108" s="19"/>
      <c r="B108" s="35"/>
      <c r="C108" s="35"/>
      <c r="D108" s="35"/>
      <c r="E108" s="35"/>
      <c r="F108" s="26"/>
      <c r="G108" s="26"/>
      <c r="H108" s="49"/>
      <c r="I108" s="38"/>
      <c r="J108" s="49"/>
      <c r="K108" s="21"/>
      <c r="L108" s="21"/>
      <c r="M108" s="21"/>
      <c r="N108" s="21"/>
      <c r="O108" s="38"/>
      <c r="P108" s="38"/>
      <c r="Q108" s="21"/>
      <c r="R108" s="21"/>
      <c r="S108" s="21"/>
      <c r="T108" s="21"/>
      <c r="U108" s="25"/>
      <c r="V108" s="25"/>
      <c r="W108" s="26"/>
      <c r="X108" s="16" t="str">
        <f aca="false">IF(C108="","",IF(K108="",0,IF(K108&gt;=0.15,2,IF(K108&gt;=0.1,1,0)))+IF(L108="",0,IF(L108&gt;=0.12,2,IF(L108&gt;=0.08,1,0)))+(AND(N108&lt;&gt;"",N(N108)&gt;=0.15))+(AND(M108&lt;&gt;"",N(M108)&gt;=0.4)))</f>
        <v/>
      </c>
      <c r="Y108" s="16" t="str">
        <f aca="false">IF(C108="","",IF(Q108="",0,IF(Q108&gt;=0.1,2,IF(Q108&gt;=0.05,1,0)))+IF(R108="",0,IF(R108&gt;=0.08,2,IF(R108&gt;=0.04,1,0))))</f>
        <v/>
      </c>
      <c r="Z108" s="16" t="str">
        <f aca="false">IF(C108="","",IF(O108="",0,IF(O108&lt;=0.5,2,IF(O108&lt;=1,1,0)))+(AND(P108&lt;&gt;"",N(P108)&gt;=1.2)))</f>
        <v/>
      </c>
      <c r="AA108" s="16" t="str">
        <f aca="false">IF(C108="","",IF(H108="",0,IF(AND(H108&gt;0,H108&lt;=20),2,IF(AND(H108&gt;0,H108&lt;=30),1,0)))+IF(J108="",0,IF(AND(J108&gt;0,J108&lt;=20),2,IF(AND(J108&gt;0,J108&lt;=30),1,0))))</f>
        <v/>
      </c>
      <c r="AB108" s="16" t="str">
        <f aca="false">IF(C108="","",IF(OR(N(T108)&gt;=0.01,N(S108)&gt;=0.02),1,0))</f>
        <v/>
      </c>
      <c r="AC108" s="16" t="str">
        <f aca="false">IF(C108="","",MIN(2,N(U108))+MIN(2,N(V108)))</f>
        <v/>
      </c>
      <c r="AD108" s="50" t="str">
        <f aca="false">IFERROR(IF(OR(W108="",F108="",N(F108)=0),"",W108/F108-1),"")</f>
        <v/>
      </c>
      <c r="AE108" s="16" t="str">
        <f aca="false">IF(C108="","",IF(AD108="",0,IF(AD108&gt;=0.25,2,IF(AD108&gt;=0.1,1,0))))</f>
        <v/>
      </c>
      <c r="AF108" s="23" t="str">
        <f aca="false">IF(C108="","",X108+Y108+Z108+AA108+AB108+AC108+AE108)</f>
        <v/>
      </c>
      <c r="AG108" s="24" t="str">
        <f aca="false">IF(C108="","",IF(AF108&gt;=18,"A",IF(AF108&gt;=13,"B","C")))</f>
        <v/>
      </c>
      <c r="AH108" s="14" t="str">
        <f aca="false">IF(C108="","",IF(OR(AI108="Sold",AI108="Rejected"),"Closed",IF(AI108="Owned",IF(AND(ISNUMBER(W108),ISNUMBER(AL108),AL108&gt;W108*1.2),"REVIEW — price 20%+ above fair value",IF(AF108&lt;13,"REVIEW — quality score fell below 13","HOLD — re-check thesis yearly")),IF(AG108="A","Full LRC Stock Analysis",IF(AG108="B","Watch — re-check next month","Reject")))))</f>
        <v/>
      </c>
      <c r="AI108" s="35"/>
      <c r="AJ108" s="35"/>
      <c r="AK108" s="19"/>
      <c r="AL108" s="26"/>
      <c r="AM108" s="41" t="str">
        <f aca="false">IFERROR(IF(OR(AL108="",F108="",N(F108)=0),"",AL108/F108-1),"")</f>
        <v/>
      </c>
      <c r="AN108" s="35"/>
      <c r="AP108" s="43" t="str">
        <f aca="false">IF(AND(C108&lt;&gt;"",A108=$C$4,ISNUMBER(AF108)),AF108+ROW()/100000,"")</f>
        <v/>
      </c>
    </row>
    <row r="109" customFormat="false" ht="15" hidden="false" customHeight="false" outlineLevel="0" collapsed="false">
      <c r="A109" s="19"/>
      <c r="B109" s="35"/>
      <c r="C109" s="35"/>
      <c r="D109" s="35"/>
      <c r="E109" s="35"/>
      <c r="F109" s="26"/>
      <c r="G109" s="26"/>
      <c r="H109" s="49"/>
      <c r="I109" s="38"/>
      <c r="J109" s="49"/>
      <c r="K109" s="21"/>
      <c r="L109" s="21"/>
      <c r="M109" s="21"/>
      <c r="N109" s="21"/>
      <c r="O109" s="38"/>
      <c r="P109" s="38"/>
      <c r="Q109" s="21"/>
      <c r="R109" s="21"/>
      <c r="S109" s="21"/>
      <c r="T109" s="21"/>
      <c r="U109" s="25"/>
      <c r="V109" s="25"/>
      <c r="W109" s="26"/>
      <c r="X109" s="16" t="str">
        <f aca="false">IF(C109="","",IF(K109="",0,IF(K109&gt;=0.15,2,IF(K109&gt;=0.1,1,0)))+IF(L109="",0,IF(L109&gt;=0.12,2,IF(L109&gt;=0.08,1,0)))+(AND(N109&lt;&gt;"",N(N109)&gt;=0.15))+(AND(M109&lt;&gt;"",N(M109)&gt;=0.4)))</f>
        <v/>
      </c>
      <c r="Y109" s="16" t="str">
        <f aca="false">IF(C109="","",IF(Q109="",0,IF(Q109&gt;=0.1,2,IF(Q109&gt;=0.05,1,0)))+IF(R109="",0,IF(R109&gt;=0.08,2,IF(R109&gt;=0.04,1,0))))</f>
        <v/>
      </c>
      <c r="Z109" s="16" t="str">
        <f aca="false">IF(C109="","",IF(O109="",0,IF(O109&lt;=0.5,2,IF(O109&lt;=1,1,0)))+(AND(P109&lt;&gt;"",N(P109)&gt;=1.2)))</f>
        <v/>
      </c>
      <c r="AA109" s="16" t="str">
        <f aca="false">IF(C109="","",IF(H109="",0,IF(AND(H109&gt;0,H109&lt;=20),2,IF(AND(H109&gt;0,H109&lt;=30),1,0)))+IF(J109="",0,IF(AND(J109&gt;0,J109&lt;=20),2,IF(AND(J109&gt;0,J109&lt;=30),1,0))))</f>
        <v/>
      </c>
      <c r="AB109" s="16" t="str">
        <f aca="false">IF(C109="","",IF(OR(N(T109)&gt;=0.01,N(S109)&gt;=0.02),1,0))</f>
        <v/>
      </c>
      <c r="AC109" s="16" t="str">
        <f aca="false">IF(C109="","",MIN(2,N(U109))+MIN(2,N(V109)))</f>
        <v/>
      </c>
      <c r="AD109" s="50" t="str">
        <f aca="false">IFERROR(IF(OR(W109="",F109="",N(F109)=0),"",W109/F109-1),"")</f>
        <v/>
      </c>
      <c r="AE109" s="16" t="str">
        <f aca="false">IF(C109="","",IF(AD109="",0,IF(AD109&gt;=0.25,2,IF(AD109&gt;=0.1,1,0))))</f>
        <v/>
      </c>
      <c r="AF109" s="23" t="str">
        <f aca="false">IF(C109="","",X109+Y109+Z109+AA109+AB109+AC109+AE109)</f>
        <v/>
      </c>
      <c r="AG109" s="24" t="str">
        <f aca="false">IF(C109="","",IF(AF109&gt;=18,"A",IF(AF109&gt;=13,"B","C")))</f>
        <v/>
      </c>
      <c r="AH109" s="14" t="str">
        <f aca="false">IF(C109="","",IF(OR(AI109="Sold",AI109="Rejected"),"Closed",IF(AI109="Owned",IF(AND(ISNUMBER(W109),ISNUMBER(AL109),AL109&gt;W109*1.2),"REVIEW — price 20%+ above fair value",IF(AF109&lt;13,"REVIEW — quality score fell below 13","HOLD — re-check thesis yearly")),IF(AG109="A","Full LRC Stock Analysis",IF(AG109="B","Watch — re-check next month","Reject")))))</f>
        <v/>
      </c>
      <c r="AI109" s="35"/>
      <c r="AJ109" s="35"/>
      <c r="AK109" s="19"/>
      <c r="AL109" s="26"/>
      <c r="AM109" s="41" t="str">
        <f aca="false">IFERROR(IF(OR(AL109="",F109="",N(F109)=0),"",AL109/F109-1),"")</f>
        <v/>
      </c>
      <c r="AN109" s="35"/>
      <c r="AP109" s="43" t="str">
        <f aca="false">IF(AND(C109&lt;&gt;"",A109=$C$4,ISNUMBER(AF109)),AF109+ROW()/100000,"")</f>
        <v/>
      </c>
    </row>
    <row r="110" customFormat="false" ht="15" hidden="false" customHeight="false" outlineLevel="0" collapsed="false">
      <c r="A110" s="19"/>
      <c r="B110" s="35"/>
      <c r="C110" s="35"/>
      <c r="D110" s="35"/>
      <c r="E110" s="35"/>
      <c r="F110" s="26"/>
      <c r="G110" s="26"/>
      <c r="H110" s="49"/>
      <c r="I110" s="38"/>
      <c r="J110" s="49"/>
      <c r="K110" s="21"/>
      <c r="L110" s="21"/>
      <c r="M110" s="21"/>
      <c r="N110" s="21"/>
      <c r="O110" s="38"/>
      <c r="P110" s="38"/>
      <c r="Q110" s="21"/>
      <c r="R110" s="21"/>
      <c r="S110" s="21"/>
      <c r="T110" s="21"/>
      <c r="U110" s="25"/>
      <c r="V110" s="25"/>
      <c r="W110" s="26"/>
      <c r="X110" s="16" t="str">
        <f aca="false">IF(C110="","",IF(K110="",0,IF(K110&gt;=0.15,2,IF(K110&gt;=0.1,1,0)))+IF(L110="",0,IF(L110&gt;=0.12,2,IF(L110&gt;=0.08,1,0)))+(AND(N110&lt;&gt;"",N(N110)&gt;=0.15))+(AND(M110&lt;&gt;"",N(M110)&gt;=0.4)))</f>
        <v/>
      </c>
      <c r="Y110" s="16" t="str">
        <f aca="false">IF(C110="","",IF(Q110="",0,IF(Q110&gt;=0.1,2,IF(Q110&gt;=0.05,1,0)))+IF(R110="",0,IF(R110&gt;=0.08,2,IF(R110&gt;=0.04,1,0))))</f>
        <v/>
      </c>
      <c r="Z110" s="16" t="str">
        <f aca="false">IF(C110="","",IF(O110="",0,IF(O110&lt;=0.5,2,IF(O110&lt;=1,1,0)))+(AND(P110&lt;&gt;"",N(P110)&gt;=1.2)))</f>
        <v/>
      </c>
      <c r="AA110" s="16" t="str">
        <f aca="false">IF(C110="","",IF(H110="",0,IF(AND(H110&gt;0,H110&lt;=20),2,IF(AND(H110&gt;0,H110&lt;=30),1,0)))+IF(J110="",0,IF(AND(J110&gt;0,J110&lt;=20),2,IF(AND(J110&gt;0,J110&lt;=30),1,0))))</f>
        <v/>
      </c>
      <c r="AB110" s="16" t="str">
        <f aca="false">IF(C110="","",IF(OR(N(T110)&gt;=0.01,N(S110)&gt;=0.02),1,0))</f>
        <v/>
      </c>
      <c r="AC110" s="16" t="str">
        <f aca="false">IF(C110="","",MIN(2,N(U110))+MIN(2,N(V110)))</f>
        <v/>
      </c>
      <c r="AD110" s="50" t="str">
        <f aca="false">IFERROR(IF(OR(W110="",F110="",N(F110)=0),"",W110/F110-1),"")</f>
        <v/>
      </c>
      <c r="AE110" s="16" t="str">
        <f aca="false">IF(C110="","",IF(AD110="",0,IF(AD110&gt;=0.25,2,IF(AD110&gt;=0.1,1,0))))</f>
        <v/>
      </c>
      <c r="AF110" s="23" t="str">
        <f aca="false">IF(C110="","",X110+Y110+Z110+AA110+AB110+AC110+AE110)</f>
        <v/>
      </c>
      <c r="AG110" s="24" t="str">
        <f aca="false">IF(C110="","",IF(AF110&gt;=18,"A",IF(AF110&gt;=13,"B","C")))</f>
        <v/>
      </c>
      <c r="AH110" s="14" t="str">
        <f aca="false">IF(C110="","",IF(OR(AI110="Sold",AI110="Rejected"),"Closed",IF(AI110="Owned",IF(AND(ISNUMBER(W110),ISNUMBER(AL110),AL110&gt;W110*1.2),"REVIEW — price 20%+ above fair value",IF(AF110&lt;13,"REVIEW — quality score fell below 13","HOLD — re-check thesis yearly")),IF(AG110="A","Full LRC Stock Analysis",IF(AG110="B","Watch — re-check next month","Reject")))))</f>
        <v/>
      </c>
      <c r="AI110" s="35"/>
      <c r="AJ110" s="35"/>
      <c r="AK110" s="19"/>
      <c r="AL110" s="26"/>
      <c r="AM110" s="41" t="str">
        <f aca="false">IFERROR(IF(OR(AL110="",F110="",N(F110)=0),"",AL110/F110-1),"")</f>
        <v/>
      </c>
      <c r="AN110" s="35"/>
      <c r="AP110" s="43" t="str">
        <f aca="false">IF(AND(C110&lt;&gt;"",A110=$C$4,ISNUMBER(AF110)),AF110+ROW()/100000,"")</f>
        <v/>
      </c>
    </row>
    <row r="111" customFormat="false" ht="15" hidden="false" customHeight="false" outlineLevel="0" collapsed="false">
      <c r="A111" s="19"/>
      <c r="B111" s="35"/>
      <c r="C111" s="35"/>
      <c r="D111" s="35"/>
      <c r="E111" s="35"/>
      <c r="F111" s="26"/>
      <c r="G111" s="26"/>
      <c r="H111" s="49"/>
      <c r="I111" s="38"/>
      <c r="J111" s="49"/>
      <c r="K111" s="21"/>
      <c r="L111" s="21"/>
      <c r="M111" s="21"/>
      <c r="N111" s="21"/>
      <c r="O111" s="38"/>
      <c r="P111" s="38"/>
      <c r="Q111" s="21"/>
      <c r="R111" s="21"/>
      <c r="S111" s="21"/>
      <c r="T111" s="21"/>
      <c r="U111" s="25"/>
      <c r="V111" s="25"/>
      <c r="W111" s="26"/>
      <c r="X111" s="16" t="str">
        <f aca="false">IF(C111="","",IF(K111="",0,IF(K111&gt;=0.15,2,IF(K111&gt;=0.1,1,0)))+IF(L111="",0,IF(L111&gt;=0.12,2,IF(L111&gt;=0.08,1,0)))+(AND(N111&lt;&gt;"",N(N111)&gt;=0.15))+(AND(M111&lt;&gt;"",N(M111)&gt;=0.4)))</f>
        <v/>
      </c>
      <c r="Y111" s="16" t="str">
        <f aca="false">IF(C111="","",IF(Q111="",0,IF(Q111&gt;=0.1,2,IF(Q111&gt;=0.05,1,0)))+IF(R111="",0,IF(R111&gt;=0.08,2,IF(R111&gt;=0.04,1,0))))</f>
        <v/>
      </c>
      <c r="Z111" s="16" t="str">
        <f aca="false">IF(C111="","",IF(O111="",0,IF(O111&lt;=0.5,2,IF(O111&lt;=1,1,0)))+(AND(P111&lt;&gt;"",N(P111)&gt;=1.2)))</f>
        <v/>
      </c>
      <c r="AA111" s="16" t="str">
        <f aca="false">IF(C111="","",IF(H111="",0,IF(AND(H111&gt;0,H111&lt;=20),2,IF(AND(H111&gt;0,H111&lt;=30),1,0)))+IF(J111="",0,IF(AND(J111&gt;0,J111&lt;=20),2,IF(AND(J111&gt;0,J111&lt;=30),1,0))))</f>
        <v/>
      </c>
      <c r="AB111" s="16" t="str">
        <f aca="false">IF(C111="","",IF(OR(N(T111)&gt;=0.01,N(S111)&gt;=0.02),1,0))</f>
        <v/>
      </c>
      <c r="AC111" s="16" t="str">
        <f aca="false">IF(C111="","",MIN(2,N(U111))+MIN(2,N(V111)))</f>
        <v/>
      </c>
      <c r="AD111" s="50" t="str">
        <f aca="false">IFERROR(IF(OR(W111="",F111="",N(F111)=0),"",W111/F111-1),"")</f>
        <v/>
      </c>
      <c r="AE111" s="16" t="str">
        <f aca="false">IF(C111="","",IF(AD111="",0,IF(AD111&gt;=0.25,2,IF(AD111&gt;=0.1,1,0))))</f>
        <v/>
      </c>
      <c r="AF111" s="23" t="str">
        <f aca="false">IF(C111="","",X111+Y111+Z111+AA111+AB111+AC111+AE111)</f>
        <v/>
      </c>
      <c r="AG111" s="24" t="str">
        <f aca="false">IF(C111="","",IF(AF111&gt;=18,"A",IF(AF111&gt;=13,"B","C")))</f>
        <v/>
      </c>
      <c r="AH111" s="14" t="str">
        <f aca="false">IF(C111="","",IF(OR(AI111="Sold",AI111="Rejected"),"Closed",IF(AI111="Owned",IF(AND(ISNUMBER(W111),ISNUMBER(AL111),AL111&gt;W111*1.2),"REVIEW — price 20%+ above fair value",IF(AF111&lt;13,"REVIEW — quality score fell below 13","HOLD — re-check thesis yearly")),IF(AG111="A","Full LRC Stock Analysis",IF(AG111="B","Watch — re-check next month","Reject")))))</f>
        <v/>
      </c>
      <c r="AI111" s="35"/>
      <c r="AJ111" s="35"/>
      <c r="AK111" s="19"/>
      <c r="AL111" s="26"/>
      <c r="AM111" s="41" t="str">
        <f aca="false">IFERROR(IF(OR(AL111="",F111="",N(F111)=0),"",AL111/F111-1),"")</f>
        <v/>
      </c>
      <c r="AN111" s="35"/>
      <c r="AP111" s="43" t="str">
        <f aca="false">IF(AND(C111&lt;&gt;"",A111=$C$4,ISNUMBER(AF111)),AF111+ROW()/100000,"")</f>
        <v/>
      </c>
    </row>
    <row r="112" customFormat="false" ht="15" hidden="false" customHeight="false" outlineLevel="0" collapsed="false">
      <c r="A112" s="19"/>
      <c r="B112" s="35"/>
      <c r="C112" s="35"/>
      <c r="D112" s="35"/>
      <c r="E112" s="35"/>
      <c r="F112" s="26"/>
      <c r="G112" s="26"/>
      <c r="H112" s="49"/>
      <c r="I112" s="38"/>
      <c r="J112" s="49"/>
      <c r="K112" s="21"/>
      <c r="L112" s="21"/>
      <c r="M112" s="21"/>
      <c r="N112" s="21"/>
      <c r="O112" s="38"/>
      <c r="P112" s="38"/>
      <c r="Q112" s="21"/>
      <c r="R112" s="21"/>
      <c r="S112" s="21"/>
      <c r="T112" s="21"/>
      <c r="U112" s="25"/>
      <c r="V112" s="25"/>
      <c r="W112" s="26"/>
      <c r="X112" s="16" t="str">
        <f aca="false">IF(C112="","",IF(K112="",0,IF(K112&gt;=0.15,2,IF(K112&gt;=0.1,1,0)))+IF(L112="",0,IF(L112&gt;=0.12,2,IF(L112&gt;=0.08,1,0)))+(AND(N112&lt;&gt;"",N(N112)&gt;=0.15))+(AND(M112&lt;&gt;"",N(M112)&gt;=0.4)))</f>
        <v/>
      </c>
      <c r="Y112" s="16" t="str">
        <f aca="false">IF(C112="","",IF(Q112="",0,IF(Q112&gt;=0.1,2,IF(Q112&gt;=0.05,1,0)))+IF(R112="",0,IF(R112&gt;=0.08,2,IF(R112&gt;=0.04,1,0))))</f>
        <v/>
      </c>
      <c r="Z112" s="16" t="str">
        <f aca="false">IF(C112="","",IF(O112="",0,IF(O112&lt;=0.5,2,IF(O112&lt;=1,1,0)))+(AND(P112&lt;&gt;"",N(P112)&gt;=1.2)))</f>
        <v/>
      </c>
      <c r="AA112" s="16" t="str">
        <f aca="false">IF(C112="","",IF(H112="",0,IF(AND(H112&gt;0,H112&lt;=20),2,IF(AND(H112&gt;0,H112&lt;=30),1,0)))+IF(J112="",0,IF(AND(J112&gt;0,J112&lt;=20),2,IF(AND(J112&gt;0,J112&lt;=30),1,0))))</f>
        <v/>
      </c>
      <c r="AB112" s="16" t="str">
        <f aca="false">IF(C112="","",IF(OR(N(T112)&gt;=0.01,N(S112)&gt;=0.02),1,0))</f>
        <v/>
      </c>
      <c r="AC112" s="16" t="str">
        <f aca="false">IF(C112="","",MIN(2,N(U112))+MIN(2,N(V112)))</f>
        <v/>
      </c>
      <c r="AD112" s="50" t="str">
        <f aca="false">IFERROR(IF(OR(W112="",F112="",N(F112)=0),"",W112/F112-1),"")</f>
        <v/>
      </c>
      <c r="AE112" s="16" t="str">
        <f aca="false">IF(C112="","",IF(AD112="",0,IF(AD112&gt;=0.25,2,IF(AD112&gt;=0.1,1,0))))</f>
        <v/>
      </c>
      <c r="AF112" s="23" t="str">
        <f aca="false">IF(C112="","",X112+Y112+Z112+AA112+AB112+AC112+AE112)</f>
        <v/>
      </c>
      <c r="AG112" s="24" t="str">
        <f aca="false">IF(C112="","",IF(AF112&gt;=18,"A",IF(AF112&gt;=13,"B","C")))</f>
        <v/>
      </c>
      <c r="AH112" s="14" t="str">
        <f aca="false">IF(C112="","",IF(OR(AI112="Sold",AI112="Rejected"),"Closed",IF(AI112="Owned",IF(AND(ISNUMBER(W112),ISNUMBER(AL112),AL112&gt;W112*1.2),"REVIEW — price 20%+ above fair value",IF(AF112&lt;13,"REVIEW — quality score fell below 13","HOLD — re-check thesis yearly")),IF(AG112="A","Full LRC Stock Analysis",IF(AG112="B","Watch — re-check next month","Reject")))))</f>
        <v/>
      </c>
      <c r="AI112" s="35"/>
      <c r="AJ112" s="35"/>
      <c r="AK112" s="19"/>
      <c r="AL112" s="26"/>
      <c r="AM112" s="41" t="str">
        <f aca="false">IFERROR(IF(OR(AL112="",F112="",N(F112)=0),"",AL112/F112-1),"")</f>
        <v/>
      </c>
      <c r="AN112" s="35"/>
      <c r="AP112" s="43" t="str">
        <f aca="false">IF(AND(C112&lt;&gt;"",A112=$C$4,ISNUMBER(AF112)),AF112+ROW()/100000,"")</f>
        <v/>
      </c>
    </row>
    <row r="113" customFormat="false" ht="15" hidden="false" customHeight="false" outlineLevel="0" collapsed="false">
      <c r="A113" s="19"/>
      <c r="B113" s="35"/>
      <c r="C113" s="35"/>
      <c r="D113" s="35"/>
      <c r="E113" s="35"/>
      <c r="F113" s="26"/>
      <c r="G113" s="26"/>
      <c r="H113" s="49"/>
      <c r="I113" s="38"/>
      <c r="J113" s="49"/>
      <c r="K113" s="21"/>
      <c r="L113" s="21"/>
      <c r="M113" s="21"/>
      <c r="N113" s="21"/>
      <c r="O113" s="38"/>
      <c r="P113" s="38"/>
      <c r="Q113" s="21"/>
      <c r="R113" s="21"/>
      <c r="S113" s="21"/>
      <c r="T113" s="21"/>
      <c r="U113" s="25"/>
      <c r="V113" s="25"/>
      <c r="W113" s="26"/>
      <c r="X113" s="16" t="str">
        <f aca="false">IF(C113="","",IF(K113="",0,IF(K113&gt;=0.15,2,IF(K113&gt;=0.1,1,0)))+IF(L113="",0,IF(L113&gt;=0.12,2,IF(L113&gt;=0.08,1,0)))+(AND(N113&lt;&gt;"",N(N113)&gt;=0.15))+(AND(M113&lt;&gt;"",N(M113)&gt;=0.4)))</f>
        <v/>
      </c>
      <c r="Y113" s="16" t="str">
        <f aca="false">IF(C113="","",IF(Q113="",0,IF(Q113&gt;=0.1,2,IF(Q113&gt;=0.05,1,0)))+IF(R113="",0,IF(R113&gt;=0.08,2,IF(R113&gt;=0.04,1,0))))</f>
        <v/>
      </c>
      <c r="Z113" s="16" t="str">
        <f aca="false">IF(C113="","",IF(O113="",0,IF(O113&lt;=0.5,2,IF(O113&lt;=1,1,0)))+(AND(P113&lt;&gt;"",N(P113)&gt;=1.2)))</f>
        <v/>
      </c>
      <c r="AA113" s="16" t="str">
        <f aca="false">IF(C113="","",IF(H113="",0,IF(AND(H113&gt;0,H113&lt;=20),2,IF(AND(H113&gt;0,H113&lt;=30),1,0)))+IF(J113="",0,IF(AND(J113&gt;0,J113&lt;=20),2,IF(AND(J113&gt;0,J113&lt;=30),1,0))))</f>
        <v/>
      </c>
      <c r="AB113" s="16" t="str">
        <f aca="false">IF(C113="","",IF(OR(N(T113)&gt;=0.01,N(S113)&gt;=0.02),1,0))</f>
        <v/>
      </c>
      <c r="AC113" s="16" t="str">
        <f aca="false">IF(C113="","",MIN(2,N(U113))+MIN(2,N(V113)))</f>
        <v/>
      </c>
      <c r="AD113" s="50" t="str">
        <f aca="false">IFERROR(IF(OR(W113="",F113="",N(F113)=0),"",W113/F113-1),"")</f>
        <v/>
      </c>
      <c r="AE113" s="16" t="str">
        <f aca="false">IF(C113="","",IF(AD113="",0,IF(AD113&gt;=0.25,2,IF(AD113&gt;=0.1,1,0))))</f>
        <v/>
      </c>
      <c r="AF113" s="23" t="str">
        <f aca="false">IF(C113="","",X113+Y113+Z113+AA113+AB113+AC113+AE113)</f>
        <v/>
      </c>
      <c r="AG113" s="24" t="str">
        <f aca="false">IF(C113="","",IF(AF113&gt;=18,"A",IF(AF113&gt;=13,"B","C")))</f>
        <v/>
      </c>
      <c r="AH113" s="14" t="str">
        <f aca="false">IF(C113="","",IF(OR(AI113="Sold",AI113="Rejected"),"Closed",IF(AI113="Owned",IF(AND(ISNUMBER(W113),ISNUMBER(AL113),AL113&gt;W113*1.2),"REVIEW — price 20%+ above fair value",IF(AF113&lt;13,"REVIEW — quality score fell below 13","HOLD — re-check thesis yearly")),IF(AG113="A","Full LRC Stock Analysis",IF(AG113="B","Watch — re-check next month","Reject")))))</f>
        <v/>
      </c>
      <c r="AI113" s="35"/>
      <c r="AJ113" s="35"/>
      <c r="AK113" s="19"/>
      <c r="AL113" s="26"/>
      <c r="AM113" s="41" t="str">
        <f aca="false">IFERROR(IF(OR(AL113="",F113="",N(F113)=0),"",AL113/F113-1),"")</f>
        <v/>
      </c>
      <c r="AN113" s="35"/>
      <c r="AP113" s="43" t="str">
        <f aca="false">IF(AND(C113&lt;&gt;"",A113=$C$4,ISNUMBER(AF113)),AF113+ROW()/100000,"")</f>
        <v/>
      </c>
    </row>
    <row r="114" customFormat="false" ht="15" hidden="false" customHeight="false" outlineLevel="0" collapsed="false">
      <c r="A114" s="19"/>
      <c r="B114" s="35"/>
      <c r="C114" s="35"/>
      <c r="D114" s="35"/>
      <c r="E114" s="35"/>
      <c r="F114" s="26"/>
      <c r="G114" s="26"/>
      <c r="H114" s="49"/>
      <c r="I114" s="38"/>
      <c r="J114" s="49"/>
      <c r="K114" s="21"/>
      <c r="L114" s="21"/>
      <c r="M114" s="21"/>
      <c r="N114" s="21"/>
      <c r="O114" s="38"/>
      <c r="P114" s="38"/>
      <c r="Q114" s="21"/>
      <c r="R114" s="21"/>
      <c r="S114" s="21"/>
      <c r="T114" s="21"/>
      <c r="U114" s="25"/>
      <c r="V114" s="25"/>
      <c r="W114" s="26"/>
      <c r="X114" s="16" t="str">
        <f aca="false">IF(C114="","",IF(K114="",0,IF(K114&gt;=0.15,2,IF(K114&gt;=0.1,1,0)))+IF(L114="",0,IF(L114&gt;=0.12,2,IF(L114&gt;=0.08,1,0)))+(AND(N114&lt;&gt;"",N(N114)&gt;=0.15))+(AND(M114&lt;&gt;"",N(M114)&gt;=0.4)))</f>
        <v/>
      </c>
      <c r="Y114" s="16" t="str">
        <f aca="false">IF(C114="","",IF(Q114="",0,IF(Q114&gt;=0.1,2,IF(Q114&gt;=0.05,1,0)))+IF(R114="",0,IF(R114&gt;=0.08,2,IF(R114&gt;=0.04,1,0))))</f>
        <v/>
      </c>
      <c r="Z114" s="16" t="str">
        <f aca="false">IF(C114="","",IF(O114="",0,IF(O114&lt;=0.5,2,IF(O114&lt;=1,1,0)))+(AND(P114&lt;&gt;"",N(P114)&gt;=1.2)))</f>
        <v/>
      </c>
      <c r="AA114" s="16" t="str">
        <f aca="false">IF(C114="","",IF(H114="",0,IF(AND(H114&gt;0,H114&lt;=20),2,IF(AND(H114&gt;0,H114&lt;=30),1,0)))+IF(J114="",0,IF(AND(J114&gt;0,J114&lt;=20),2,IF(AND(J114&gt;0,J114&lt;=30),1,0))))</f>
        <v/>
      </c>
      <c r="AB114" s="16" t="str">
        <f aca="false">IF(C114="","",IF(OR(N(T114)&gt;=0.01,N(S114)&gt;=0.02),1,0))</f>
        <v/>
      </c>
      <c r="AC114" s="16" t="str">
        <f aca="false">IF(C114="","",MIN(2,N(U114))+MIN(2,N(V114)))</f>
        <v/>
      </c>
      <c r="AD114" s="50" t="str">
        <f aca="false">IFERROR(IF(OR(W114="",F114="",N(F114)=0),"",W114/F114-1),"")</f>
        <v/>
      </c>
      <c r="AE114" s="16" t="str">
        <f aca="false">IF(C114="","",IF(AD114="",0,IF(AD114&gt;=0.25,2,IF(AD114&gt;=0.1,1,0))))</f>
        <v/>
      </c>
      <c r="AF114" s="23" t="str">
        <f aca="false">IF(C114="","",X114+Y114+Z114+AA114+AB114+AC114+AE114)</f>
        <v/>
      </c>
      <c r="AG114" s="24" t="str">
        <f aca="false">IF(C114="","",IF(AF114&gt;=18,"A",IF(AF114&gt;=13,"B","C")))</f>
        <v/>
      </c>
      <c r="AH114" s="14" t="str">
        <f aca="false">IF(C114="","",IF(OR(AI114="Sold",AI114="Rejected"),"Closed",IF(AI114="Owned",IF(AND(ISNUMBER(W114),ISNUMBER(AL114),AL114&gt;W114*1.2),"REVIEW — price 20%+ above fair value",IF(AF114&lt;13,"REVIEW — quality score fell below 13","HOLD — re-check thesis yearly")),IF(AG114="A","Full LRC Stock Analysis",IF(AG114="B","Watch — re-check next month","Reject")))))</f>
        <v/>
      </c>
      <c r="AI114" s="35"/>
      <c r="AJ114" s="35"/>
      <c r="AK114" s="19"/>
      <c r="AL114" s="26"/>
      <c r="AM114" s="41" t="str">
        <f aca="false">IFERROR(IF(OR(AL114="",F114="",N(F114)=0),"",AL114/F114-1),"")</f>
        <v/>
      </c>
      <c r="AN114" s="35"/>
      <c r="AP114" s="43" t="str">
        <f aca="false">IF(AND(C114&lt;&gt;"",A114=$C$4,ISNUMBER(AF114)),AF114+ROW()/100000,"")</f>
        <v/>
      </c>
    </row>
    <row r="115" customFormat="false" ht="15" hidden="false" customHeight="false" outlineLevel="0" collapsed="false">
      <c r="A115" s="19"/>
      <c r="B115" s="35"/>
      <c r="C115" s="35"/>
      <c r="D115" s="35"/>
      <c r="E115" s="35"/>
      <c r="F115" s="26"/>
      <c r="G115" s="26"/>
      <c r="H115" s="49"/>
      <c r="I115" s="38"/>
      <c r="J115" s="49"/>
      <c r="K115" s="21"/>
      <c r="L115" s="21"/>
      <c r="M115" s="21"/>
      <c r="N115" s="21"/>
      <c r="O115" s="38"/>
      <c r="P115" s="38"/>
      <c r="Q115" s="21"/>
      <c r="R115" s="21"/>
      <c r="S115" s="21"/>
      <c r="T115" s="21"/>
      <c r="U115" s="25"/>
      <c r="V115" s="25"/>
      <c r="W115" s="26"/>
      <c r="X115" s="16" t="str">
        <f aca="false">IF(C115="","",IF(K115="",0,IF(K115&gt;=0.15,2,IF(K115&gt;=0.1,1,0)))+IF(L115="",0,IF(L115&gt;=0.12,2,IF(L115&gt;=0.08,1,0)))+(AND(N115&lt;&gt;"",N(N115)&gt;=0.15))+(AND(M115&lt;&gt;"",N(M115)&gt;=0.4)))</f>
        <v/>
      </c>
      <c r="Y115" s="16" t="str">
        <f aca="false">IF(C115="","",IF(Q115="",0,IF(Q115&gt;=0.1,2,IF(Q115&gt;=0.05,1,0)))+IF(R115="",0,IF(R115&gt;=0.08,2,IF(R115&gt;=0.04,1,0))))</f>
        <v/>
      </c>
      <c r="Z115" s="16" t="str">
        <f aca="false">IF(C115="","",IF(O115="",0,IF(O115&lt;=0.5,2,IF(O115&lt;=1,1,0)))+(AND(P115&lt;&gt;"",N(P115)&gt;=1.2)))</f>
        <v/>
      </c>
      <c r="AA115" s="16" t="str">
        <f aca="false">IF(C115="","",IF(H115="",0,IF(AND(H115&gt;0,H115&lt;=20),2,IF(AND(H115&gt;0,H115&lt;=30),1,0)))+IF(J115="",0,IF(AND(J115&gt;0,J115&lt;=20),2,IF(AND(J115&gt;0,J115&lt;=30),1,0))))</f>
        <v/>
      </c>
      <c r="AB115" s="16" t="str">
        <f aca="false">IF(C115="","",IF(OR(N(T115)&gt;=0.01,N(S115)&gt;=0.02),1,0))</f>
        <v/>
      </c>
      <c r="AC115" s="16" t="str">
        <f aca="false">IF(C115="","",MIN(2,N(U115))+MIN(2,N(V115)))</f>
        <v/>
      </c>
      <c r="AD115" s="50" t="str">
        <f aca="false">IFERROR(IF(OR(W115="",F115="",N(F115)=0),"",W115/F115-1),"")</f>
        <v/>
      </c>
      <c r="AE115" s="16" t="str">
        <f aca="false">IF(C115="","",IF(AD115="",0,IF(AD115&gt;=0.25,2,IF(AD115&gt;=0.1,1,0))))</f>
        <v/>
      </c>
      <c r="AF115" s="23" t="str">
        <f aca="false">IF(C115="","",X115+Y115+Z115+AA115+AB115+AC115+AE115)</f>
        <v/>
      </c>
      <c r="AG115" s="24" t="str">
        <f aca="false">IF(C115="","",IF(AF115&gt;=18,"A",IF(AF115&gt;=13,"B","C")))</f>
        <v/>
      </c>
      <c r="AH115" s="14" t="str">
        <f aca="false">IF(C115="","",IF(OR(AI115="Sold",AI115="Rejected"),"Closed",IF(AI115="Owned",IF(AND(ISNUMBER(W115),ISNUMBER(AL115),AL115&gt;W115*1.2),"REVIEW — price 20%+ above fair value",IF(AF115&lt;13,"REVIEW — quality score fell below 13","HOLD — re-check thesis yearly")),IF(AG115="A","Full LRC Stock Analysis",IF(AG115="B","Watch — re-check next month","Reject")))))</f>
        <v/>
      </c>
      <c r="AI115" s="35"/>
      <c r="AJ115" s="35"/>
      <c r="AK115" s="19"/>
      <c r="AL115" s="26"/>
      <c r="AM115" s="41" t="str">
        <f aca="false">IFERROR(IF(OR(AL115="",F115="",N(F115)=0),"",AL115/F115-1),"")</f>
        <v/>
      </c>
      <c r="AN115" s="35"/>
      <c r="AP115" s="43" t="str">
        <f aca="false">IF(AND(C115&lt;&gt;"",A115=$C$4,ISNUMBER(AF115)),AF115+ROW()/100000,"")</f>
        <v/>
      </c>
    </row>
    <row r="116" customFormat="false" ht="15" hidden="false" customHeight="false" outlineLevel="0" collapsed="false">
      <c r="A116" s="19"/>
      <c r="B116" s="35"/>
      <c r="C116" s="35"/>
      <c r="D116" s="35"/>
      <c r="E116" s="35"/>
      <c r="F116" s="26"/>
      <c r="G116" s="26"/>
      <c r="H116" s="49"/>
      <c r="I116" s="38"/>
      <c r="J116" s="49"/>
      <c r="K116" s="21"/>
      <c r="L116" s="21"/>
      <c r="M116" s="21"/>
      <c r="N116" s="21"/>
      <c r="O116" s="38"/>
      <c r="P116" s="38"/>
      <c r="Q116" s="21"/>
      <c r="R116" s="21"/>
      <c r="S116" s="21"/>
      <c r="T116" s="21"/>
      <c r="U116" s="25"/>
      <c r="V116" s="25"/>
      <c r="W116" s="26"/>
      <c r="X116" s="16" t="str">
        <f aca="false">IF(C116="","",IF(K116="",0,IF(K116&gt;=0.15,2,IF(K116&gt;=0.1,1,0)))+IF(L116="",0,IF(L116&gt;=0.12,2,IF(L116&gt;=0.08,1,0)))+(AND(N116&lt;&gt;"",N(N116)&gt;=0.15))+(AND(M116&lt;&gt;"",N(M116)&gt;=0.4)))</f>
        <v/>
      </c>
      <c r="Y116" s="16" t="str">
        <f aca="false">IF(C116="","",IF(Q116="",0,IF(Q116&gt;=0.1,2,IF(Q116&gt;=0.05,1,0)))+IF(R116="",0,IF(R116&gt;=0.08,2,IF(R116&gt;=0.04,1,0))))</f>
        <v/>
      </c>
      <c r="Z116" s="16" t="str">
        <f aca="false">IF(C116="","",IF(O116="",0,IF(O116&lt;=0.5,2,IF(O116&lt;=1,1,0)))+(AND(P116&lt;&gt;"",N(P116)&gt;=1.2)))</f>
        <v/>
      </c>
      <c r="AA116" s="16" t="str">
        <f aca="false">IF(C116="","",IF(H116="",0,IF(AND(H116&gt;0,H116&lt;=20),2,IF(AND(H116&gt;0,H116&lt;=30),1,0)))+IF(J116="",0,IF(AND(J116&gt;0,J116&lt;=20),2,IF(AND(J116&gt;0,J116&lt;=30),1,0))))</f>
        <v/>
      </c>
      <c r="AB116" s="16" t="str">
        <f aca="false">IF(C116="","",IF(OR(N(T116)&gt;=0.01,N(S116)&gt;=0.02),1,0))</f>
        <v/>
      </c>
      <c r="AC116" s="16" t="str">
        <f aca="false">IF(C116="","",MIN(2,N(U116))+MIN(2,N(V116)))</f>
        <v/>
      </c>
      <c r="AD116" s="50" t="str">
        <f aca="false">IFERROR(IF(OR(W116="",F116="",N(F116)=0),"",W116/F116-1),"")</f>
        <v/>
      </c>
      <c r="AE116" s="16" t="str">
        <f aca="false">IF(C116="","",IF(AD116="",0,IF(AD116&gt;=0.25,2,IF(AD116&gt;=0.1,1,0))))</f>
        <v/>
      </c>
      <c r="AF116" s="23" t="str">
        <f aca="false">IF(C116="","",X116+Y116+Z116+AA116+AB116+AC116+AE116)</f>
        <v/>
      </c>
      <c r="AG116" s="24" t="str">
        <f aca="false">IF(C116="","",IF(AF116&gt;=18,"A",IF(AF116&gt;=13,"B","C")))</f>
        <v/>
      </c>
      <c r="AH116" s="14" t="str">
        <f aca="false">IF(C116="","",IF(OR(AI116="Sold",AI116="Rejected"),"Closed",IF(AI116="Owned",IF(AND(ISNUMBER(W116),ISNUMBER(AL116),AL116&gt;W116*1.2),"REVIEW — price 20%+ above fair value",IF(AF116&lt;13,"REVIEW — quality score fell below 13","HOLD — re-check thesis yearly")),IF(AG116="A","Full LRC Stock Analysis",IF(AG116="B","Watch — re-check next month","Reject")))))</f>
        <v/>
      </c>
      <c r="AI116" s="35"/>
      <c r="AJ116" s="35"/>
      <c r="AK116" s="19"/>
      <c r="AL116" s="26"/>
      <c r="AM116" s="41" t="str">
        <f aca="false">IFERROR(IF(OR(AL116="",F116="",N(F116)=0),"",AL116/F116-1),"")</f>
        <v/>
      </c>
      <c r="AN116" s="35"/>
      <c r="AP116" s="43" t="str">
        <f aca="false">IF(AND(C116&lt;&gt;"",A116=$C$4,ISNUMBER(AF116)),AF116+ROW()/100000,"")</f>
        <v/>
      </c>
    </row>
    <row r="117" customFormat="false" ht="15" hidden="false" customHeight="false" outlineLevel="0" collapsed="false">
      <c r="A117" s="19"/>
      <c r="B117" s="35"/>
      <c r="C117" s="35"/>
      <c r="D117" s="35"/>
      <c r="E117" s="35"/>
      <c r="F117" s="26"/>
      <c r="G117" s="26"/>
      <c r="H117" s="49"/>
      <c r="I117" s="38"/>
      <c r="J117" s="49"/>
      <c r="K117" s="21"/>
      <c r="L117" s="21"/>
      <c r="M117" s="21"/>
      <c r="N117" s="21"/>
      <c r="O117" s="38"/>
      <c r="P117" s="38"/>
      <c r="Q117" s="21"/>
      <c r="R117" s="21"/>
      <c r="S117" s="21"/>
      <c r="T117" s="21"/>
      <c r="U117" s="25"/>
      <c r="V117" s="25"/>
      <c r="W117" s="26"/>
      <c r="X117" s="16" t="str">
        <f aca="false">IF(C117="","",IF(K117="",0,IF(K117&gt;=0.15,2,IF(K117&gt;=0.1,1,0)))+IF(L117="",0,IF(L117&gt;=0.12,2,IF(L117&gt;=0.08,1,0)))+(AND(N117&lt;&gt;"",N(N117)&gt;=0.15))+(AND(M117&lt;&gt;"",N(M117)&gt;=0.4)))</f>
        <v/>
      </c>
      <c r="Y117" s="16" t="str">
        <f aca="false">IF(C117="","",IF(Q117="",0,IF(Q117&gt;=0.1,2,IF(Q117&gt;=0.05,1,0)))+IF(R117="",0,IF(R117&gt;=0.08,2,IF(R117&gt;=0.04,1,0))))</f>
        <v/>
      </c>
      <c r="Z117" s="16" t="str">
        <f aca="false">IF(C117="","",IF(O117="",0,IF(O117&lt;=0.5,2,IF(O117&lt;=1,1,0)))+(AND(P117&lt;&gt;"",N(P117)&gt;=1.2)))</f>
        <v/>
      </c>
      <c r="AA117" s="16" t="str">
        <f aca="false">IF(C117="","",IF(H117="",0,IF(AND(H117&gt;0,H117&lt;=20),2,IF(AND(H117&gt;0,H117&lt;=30),1,0)))+IF(J117="",0,IF(AND(J117&gt;0,J117&lt;=20),2,IF(AND(J117&gt;0,J117&lt;=30),1,0))))</f>
        <v/>
      </c>
      <c r="AB117" s="16" t="str">
        <f aca="false">IF(C117="","",IF(OR(N(T117)&gt;=0.01,N(S117)&gt;=0.02),1,0))</f>
        <v/>
      </c>
      <c r="AC117" s="16" t="str">
        <f aca="false">IF(C117="","",MIN(2,N(U117))+MIN(2,N(V117)))</f>
        <v/>
      </c>
      <c r="AD117" s="50" t="str">
        <f aca="false">IFERROR(IF(OR(W117="",F117="",N(F117)=0),"",W117/F117-1),"")</f>
        <v/>
      </c>
      <c r="AE117" s="16" t="str">
        <f aca="false">IF(C117="","",IF(AD117="",0,IF(AD117&gt;=0.25,2,IF(AD117&gt;=0.1,1,0))))</f>
        <v/>
      </c>
      <c r="AF117" s="23" t="str">
        <f aca="false">IF(C117="","",X117+Y117+Z117+AA117+AB117+AC117+AE117)</f>
        <v/>
      </c>
      <c r="AG117" s="24" t="str">
        <f aca="false">IF(C117="","",IF(AF117&gt;=18,"A",IF(AF117&gt;=13,"B","C")))</f>
        <v/>
      </c>
      <c r="AH117" s="14" t="str">
        <f aca="false">IF(C117="","",IF(OR(AI117="Sold",AI117="Rejected"),"Closed",IF(AI117="Owned",IF(AND(ISNUMBER(W117),ISNUMBER(AL117),AL117&gt;W117*1.2),"REVIEW — price 20%+ above fair value",IF(AF117&lt;13,"REVIEW — quality score fell below 13","HOLD — re-check thesis yearly")),IF(AG117="A","Full LRC Stock Analysis",IF(AG117="B","Watch — re-check next month","Reject")))))</f>
        <v/>
      </c>
      <c r="AI117" s="35"/>
      <c r="AJ117" s="35"/>
      <c r="AK117" s="19"/>
      <c r="AL117" s="26"/>
      <c r="AM117" s="41" t="str">
        <f aca="false">IFERROR(IF(OR(AL117="",F117="",N(F117)=0),"",AL117/F117-1),"")</f>
        <v/>
      </c>
      <c r="AN117" s="35"/>
      <c r="AP117" s="43" t="str">
        <f aca="false">IF(AND(C117&lt;&gt;"",A117=$C$4,ISNUMBER(AF117)),AF117+ROW()/100000,"")</f>
        <v/>
      </c>
    </row>
    <row r="118" customFormat="false" ht="15" hidden="false" customHeight="false" outlineLevel="0" collapsed="false">
      <c r="A118" s="19"/>
      <c r="B118" s="35"/>
      <c r="C118" s="35"/>
      <c r="D118" s="35"/>
      <c r="E118" s="35"/>
      <c r="F118" s="26"/>
      <c r="G118" s="26"/>
      <c r="H118" s="49"/>
      <c r="I118" s="38"/>
      <c r="J118" s="49"/>
      <c r="K118" s="21"/>
      <c r="L118" s="21"/>
      <c r="M118" s="21"/>
      <c r="N118" s="21"/>
      <c r="O118" s="38"/>
      <c r="P118" s="38"/>
      <c r="Q118" s="21"/>
      <c r="R118" s="21"/>
      <c r="S118" s="21"/>
      <c r="T118" s="21"/>
      <c r="U118" s="25"/>
      <c r="V118" s="25"/>
      <c r="W118" s="26"/>
      <c r="X118" s="16" t="str">
        <f aca="false">IF(C118="","",IF(K118="",0,IF(K118&gt;=0.15,2,IF(K118&gt;=0.1,1,0)))+IF(L118="",0,IF(L118&gt;=0.12,2,IF(L118&gt;=0.08,1,0)))+(AND(N118&lt;&gt;"",N(N118)&gt;=0.15))+(AND(M118&lt;&gt;"",N(M118)&gt;=0.4)))</f>
        <v/>
      </c>
      <c r="Y118" s="16" t="str">
        <f aca="false">IF(C118="","",IF(Q118="",0,IF(Q118&gt;=0.1,2,IF(Q118&gt;=0.05,1,0)))+IF(R118="",0,IF(R118&gt;=0.08,2,IF(R118&gt;=0.04,1,0))))</f>
        <v/>
      </c>
      <c r="Z118" s="16" t="str">
        <f aca="false">IF(C118="","",IF(O118="",0,IF(O118&lt;=0.5,2,IF(O118&lt;=1,1,0)))+(AND(P118&lt;&gt;"",N(P118)&gt;=1.2)))</f>
        <v/>
      </c>
      <c r="AA118" s="16" t="str">
        <f aca="false">IF(C118="","",IF(H118="",0,IF(AND(H118&gt;0,H118&lt;=20),2,IF(AND(H118&gt;0,H118&lt;=30),1,0)))+IF(J118="",0,IF(AND(J118&gt;0,J118&lt;=20),2,IF(AND(J118&gt;0,J118&lt;=30),1,0))))</f>
        <v/>
      </c>
      <c r="AB118" s="16" t="str">
        <f aca="false">IF(C118="","",IF(OR(N(T118)&gt;=0.01,N(S118)&gt;=0.02),1,0))</f>
        <v/>
      </c>
      <c r="AC118" s="16" t="str">
        <f aca="false">IF(C118="","",MIN(2,N(U118))+MIN(2,N(V118)))</f>
        <v/>
      </c>
      <c r="AD118" s="50" t="str">
        <f aca="false">IFERROR(IF(OR(W118="",F118="",N(F118)=0),"",W118/F118-1),"")</f>
        <v/>
      </c>
      <c r="AE118" s="16" t="str">
        <f aca="false">IF(C118="","",IF(AD118="",0,IF(AD118&gt;=0.25,2,IF(AD118&gt;=0.1,1,0))))</f>
        <v/>
      </c>
      <c r="AF118" s="23" t="str">
        <f aca="false">IF(C118="","",X118+Y118+Z118+AA118+AB118+AC118+AE118)</f>
        <v/>
      </c>
      <c r="AG118" s="24" t="str">
        <f aca="false">IF(C118="","",IF(AF118&gt;=18,"A",IF(AF118&gt;=13,"B","C")))</f>
        <v/>
      </c>
      <c r="AH118" s="14" t="str">
        <f aca="false">IF(C118="","",IF(OR(AI118="Sold",AI118="Rejected"),"Closed",IF(AI118="Owned",IF(AND(ISNUMBER(W118),ISNUMBER(AL118),AL118&gt;W118*1.2),"REVIEW — price 20%+ above fair value",IF(AF118&lt;13,"REVIEW — quality score fell below 13","HOLD — re-check thesis yearly")),IF(AG118="A","Full LRC Stock Analysis",IF(AG118="B","Watch — re-check next month","Reject")))))</f>
        <v/>
      </c>
      <c r="AI118" s="35"/>
      <c r="AJ118" s="35"/>
      <c r="AK118" s="19"/>
      <c r="AL118" s="26"/>
      <c r="AM118" s="41" t="str">
        <f aca="false">IFERROR(IF(OR(AL118="",F118="",N(F118)=0),"",AL118/F118-1),"")</f>
        <v/>
      </c>
      <c r="AN118" s="35"/>
      <c r="AP118" s="43" t="str">
        <f aca="false">IF(AND(C118&lt;&gt;"",A118=$C$4,ISNUMBER(AF118)),AF118+ROW()/100000,"")</f>
        <v/>
      </c>
    </row>
    <row r="119" customFormat="false" ht="15" hidden="false" customHeight="false" outlineLevel="0" collapsed="false">
      <c r="A119" s="19"/>
      <c r="B119" s="35"/>
      <c r="C119" s="35"/>
      <c r="D119" s="35"/>
      <c r="E119" s="35"/>
      <c r="F119" s="26"/>
      <c r="G119" s="26"/>
      <c r="H119" s="49"/>
      <c r="I119" s="38"/>
      <c r="J119" s="49"/>
      <c r="K119" s="21"/>
      <c r="L119" s="21"/>
      <c r="M119" s="21"/>
      <c r="N119" s="21"/>
      <c r="O119" s="38"/>
      <c r="P119" s="38"/>
      <c r="Q119" s="21"/>
      <c r="R119" s="21"/>
      <c r="S119" s="21"/>
      <c r="T119" s="21"/>
      <c r="U119" s="25"/>
      <c r="V119" s="25"/>
      <c r="W119" s="26"/>
      <c r="X119" s="16" t="str">
        <f aca="false">IF(C119="","",IF(K119="",0,IF(K119&gt;=0.15,2,IF(K119&gt;=0.1,1,0)))+IF(L119="",0,IF(L119&gt;=0.12,2,IF(L119&gt;=0.08,1,0)))+(AND(N119&lt;&gt;"",N(N119)&gt;=0.15))+(AND(M119&lt;&gt;"",N(M119)&gt;=0.4)))</f>
        <v/>
      </c>
      <c r="Y119" s="16" t="str">
        <f aca="false">IF(C119="","",IF(Q119="",0,IF(Q119&gt;=0.1,2,IF(Q119&gt;=0.05,1,0)))+IF(R119="",0,IF(R119&gt;=0.08,2,IF(R119&gt;=0.04,1,0))))</f>
        <v/>
      </c>
      <c r="Z119" s="16" t="str">
        <f aca="false">IF(C119="","",IF(O119="",0,IF(O119&lt;=0.5,2,IF(O119&lt;=1,1,0)))+(AND(P119&lt;&gt;"",N(P119)&gt;=1.2)))</f>
        <v/>
      </c>
      <c r="AA119" s="16" t="str">
        <f aca="false">IF(C119="","",IF(H119="",0,IF(AND(H119&gt;0,H119&lt;=20),2,IF(AND(H119&gt;0,H119&lt;=30),1,0)))+IF(J119="",0,IF(AND(J119&gt;0,J119&lt;=20),2,IF(AND(J119&gt;0,J119&lt;=30),1,0))))</f>
        <v/>
      </c>
      <c r="AB119" s="16" t="str">
        <f aca="false">IF(C119="","",IF(OR(N(T119)&gt;=0.01,N(S119)&gt;=0.02),1,0))</f>
        <v/>
      </c>
      <c r="AC119" s="16" t="str">
        <f aca="false">IF(C119="","",MIN(2,N(U119))+MIN(2,N(V119)))</f>
        <v/>
      </c>
      <c r="AD119" s="50" t="str">
        <f aca="false">IFERROR(IF(OR(W119="",F119="",N(F119)=0),"",W119/F119-1),"")</f>
        <v/>
      </c>
      <c r="AE119" s="16" t="str">
        <f aca="false">IF(C119="","",IF(AD119="",0,IF(AD119&gt;=0.25,2,IF(AD119&gt;=0.1,1,0))))</f>
        <v/>
      </c>
      <c r="AF119" s="23" t="str">
        <f aca="false">IF(C119="","",X119+Y119+Z119+AA119+AB119+AC119+AE119)</f>
        <v/>
      </c>
      <c r="AG119" s="24" t="str">
        <f aca="false">IF(C119="","",IF(AF119&gt;=18,"A",IF(AF119&gt;=13,"B","C")))</f>
        <v/>
      </c>
      <c r="AH119" s="14" t="str">
        <f aca="false">IF(C119="","",IF(OR(AI119="Sold",AI119="Rejected"),"Closed",IF(AI119="Owned",IF(AND(ISNUMBER(W119),ISNUMBER(AL119),AL119&gt;W119*1.2),"REVIEW — price 20%+ above fair value",IF(AF119&lt;13,"REVIEW — quality score fell below 13","HOLD — re-check thesis yearly")),IF(AG119="A","Full LRC Stock Analysis",IF(AG119="B","Watch — re-check next month","Reject")))))</f>
        <v/>
      </c>
      <c r="AI119" s="35"/>
      <c r="AJ119" s="35"/>
      <c r="AK119" s="19"/>
      <c r="AL119" s="26"/>
      <c r="AM119" s="41" t="str">
        <f aca="false">IFERROR(IF(OR(AL119="",F119="",N(F119)=0),"",AL119/F119-1),"")</f>
        <v/>
      </c>
      <c r="AN119" s="35"/>
      <c r="AP119" s="43" t="str">
        <f aca="false">IF(AND(C119&lt;&gt;"",A119=$C$4,ISNUMBER(AF119)),AF119+ROW()/100000,"")</f>
        <v/>
      </c>
    </row>
    <row r="120" customFormat="false" ht="15" hidden="false" customHeight="false" outlineLevel="0" collapsed="false">
      <c r="A120" s="19"/>
      <c r="B120" s="35"/>
      <c r="C120" s="35"/>
      <c r="D120" s="35"/>
      <c r="E120" s="35"/>
      <c r="F120" s="26"/>
      <c r="G120" s="26"/>
      <c r="H120" s="49"/>
      <c r="I120" s="38"/>
      <c r="J120" s="49"/>
      <c r="K120" s="21"/>
      <c r="L120" s="21"/>
      <c r="M120" s="21"/>
      <c r="N120" s="21"/>
      <c r="O120" s="38"/>
      <c r="P120" s="38"/>
      <c r="Q120" s="21"/>
      <c r="R120" s="21"/>
      <c r="S120" s="21"/>
      <c r="T120" s="21"/>
      <c r="U120" s="25"/>
      <c r="V120" s="25"/>
      <c r="W120" s="26"/>
      <c r="X120" s="16" t="str">
        <f aca="false">IF(C120="","",IF(K120="",0,IF(K120&gt;=0.15,2,IF(K120&gt;=0.1,1,0)))+IF(L120="",0,IF(L120&gt;=0.12,2,IF(L120&gt;=0.08,1,0)))+(AND(N120&lt;&gt;"",N(N120)&gt;=0.15))+(AND(M120&lt;&gt;"",N(M120)&gt;=0.4)))</f>
        <v/>
      </c>
      <c r="Y120" s="16" t="str">
        <f aca="false">IF(C120="","",IF(Q120="",0,IF(Q120&gt;=0.1,2,IF(Q120&gt;=0.05,1,0)))+IF(R120="",0,IF(R120&gt;=0.08,2,IF(R120&gt;=0.04,1,0))))</f>
        <v/>
      </c>
      <c r="Z120" s="16" t="str">
        <f aca="false">IF(C120="","",IF(O120="",0,IF(O120&lt;=0.5,2,IF(O120&lt;=1,1,0)))+(AND(P120&lt;&gt;"",N(P120)&gt;=1.2)))</f>
        <v/>
      </c>
      <c r="AA120" s="16" t="str">
        <f aca="false">IF(C120="","",IF(H120="",0,IF(AND(H120&gt;0,H120&lt;=20),2,IF(AND(H120&gt;0,H120&lt;=30),1,0)))+IF(J120="",0,IF(AND(J120&gt;0,J120&lt;=20),2,IF(AND(J120&gt;0,J120&lt;=30),1,0))))</f>
        <v/>
      </c>
      <c r="AB120" s="16" t="str">
        <f aca="false">IF(C120="","",IF(OR(N(T120)&gt;=0.01,N(S120)&gt;=0.02),1,0))</f>
        <v/>
      </c>
      <c r="AC120" s="16" t="str">
        <f aca="false">IF(C120="","",MIN(2,N(U120))+MIN(2,N(V120)))</f>
        <v/>
      </c>
      <c r="AD120" s="50" t="str">
        <f aca="false">IFERROR(IF(OR(W120="",F120="",N(F120)=0),"",W120/F120-1),"")</f>
        <v/>
      </c>
      <c r="AE120" s="16" t="str">
        <f aca="false">IF(C120="","",IF(AD120="",0,IF(AD120&gt;=0.25,2,IF(AD120&gt;=0.1,1,0))))</f>
        <v/>
      </c>
      <c r="AF120" s="23" t="str">
        <f aca="false">IF(C120="","",X120+Y120+Z120+AA120+AB120+AC120+AE120)</f>
        <v/>
      </c>
      <c r="AG120" s="24" t="str">
        <f aca="false">IF(C120="","",IF(AF120&gt;=18,"A",IF(AF120&gt;=13,"B","C")))</f>
        <v/>
      </c>
      <c r="AH120" s="14" t="str">
        <f aca="false">IF(C120="","",IF(OR(AI120="Sold",AI120="Rejected"),"Closed",IF(AI120="Owned",IF(AND(ISNUMBER(W120),ISNUMBER(AL120),AL120&gt;W120*1.2),"REVIEW — price 20%+ above fair value",IF(AF120&lt;13,"REVIEW — quality score fell below 13","HOLD — re-check thesis yearly")),IF(AG120="A","Full LRC Stock Analysis",IF(AG120="B","Watch — re-check next month","Reject")))))</f>
        <v/>
      </c>
      <c r="AI120" s="35"/>
      <c r="AJ120" s="35"/>
      <c r="AK120" s="19"/>
      <c r="AL120" s="26"/>
      <c r="AM120" s="41" t="str">
        <f aca="false">IFERROR(IF(OR(AL120="",F120="",N(F120)=0),"",AL120/F120-1),"")</f>
        <v/>
      </c>
      <c r="AN120" s="35"/>
      <c r="AP120" s="43" t="str">
        <f aca="false">IF(AND(C120&lt;&gt;"",A120=$C$4,ISNUMBER(AF120)),AF120+ROW()/100000,"")</f>
        <v/>
      </c>
    </row>
    <row r="121" customFormat="false" ht="15" hidden="false" customHeight="false" outlineLevel="0" collapsed="false">
      <c r="A121" s="19"/>
      <c r="B121" s="35"/>
      <c r="C121" s="35"/>
      <c r="D121" s="35"/>
      <c r="E121" s="35"/>
      <c r="F121" s="26"/>
      <c r="G121" s="26"/>
      <c r="H121" s="49"/>
      <c r="I121" s="38"/>
      <c r="J121" s="49"/>
      <c r="K121" s="21"/>
      <c r="L121" s="21"/>
      <c r="M121" s="21"/>
      <c r="N121" s="21"/>
      <c r="O121" s="38"/>
      <c r="P121" s="38"/>
      <c r="Q121" s="21"/>
      <c r="R121" s="21"/>
      <c r="S121" s="21"/>
      <c r="T121" s="21"/>
      <c r="U121" s="25"/>
      <c r="V121" s="25"/>
      <c r="W121" s="26"/>
      <c r="X121" s="16" t="str">
        <f aca="false">IF(C121="","",IF(K121="",0,IF(K121&gt;=0.15,2,IF(K121&gt;=0.1,1,0)))+IF(L121="",0,IF(L121&gt;=0.12,2,IF(L121&gt;=0.08,1,0)))+(AND(N121&lt;&gt;"",N(N121)&gt;=0.15))+(AND(M121&lt;&gt;"",N(M121)&gt;=0.4)))</f>
        <v/>
      </c>
      <c r="Y121" s="16" t="str">
        <f aca="false">IF(C121="","",IF(Q121="",0,IF(Q121&gt;=0.1,2,IF(Q121&gt;=0.05,1,0)))+IF(R121="",0,IF(R121&gt;=0.08,2,IF(R121&gt;=0.04,1,0))))</f>
        <v/>
      </c>
      <c r="Z121" s="16" t="str">
        <f aca="false">IF(C121="","",IF(O121="",0,IF(O121&lt;=0.5,2,IF(O121&lt;=1,1,0)))+(AND(P121&lt;&gt;"",N(P121)&gt;=1.2)))</f>
        <v/>
      </c>
      <c r="AA121" s="16" t="str">
        <f aca="false">IF(C121="","",IF(H121="",0,IF(AND(H121&gt;0,H121&lt;=20),2,IF(AND(H121&gt;0,H121&lt;=30),1,0)))+IF(J121="",0,IF(AND(J121&gt;0,J121&lt;=20),2,IF(AND(J121&gt;0,J121&lt;=30),1,0))))</f>
        <v/>
      </c>
      <c r="AB121" s="16" t="str">
        <f aca="false">IF(C121="","",IF(OR(N(T121)&gt;=0.01,N(S121)&gt;=0.02),1,0))</f>
        <v/>
      </c>
      <c r="AC121" s="16" t="str">
        <f aca="false">IF(C121="","",MIN(2,N(U121))+MIN(2,N(V121)))</f>
        <v/>
      </c>
      <c r="AD121" s="50" t="str">
        <f aca="false">IFERROR(IF(OR(W121="",F121="",N(F121)=0),"",W121/F121-1),"")</f>
        <v/>
      </c>
      <c r="AE121" s="16" t="str">
        <f aca="false">IF(C121="","",IF(AD121="",0,IF(AD121&gt;=0.25,2,IF(AD121&gt;=0.1,1,0))))</f>
        <v/>
      </c>
      <c r="AF121" s="23" t="str">
        <f aca="false">IF(C121="","",X121+Y121+Z121+AA121+AB121+AC121+AE121)</f>
        <v/>
      </c>
      <c r="AG121" s="24" t="str">
        <f aca="false">IF(C121="","",IF(AF121&gt;=18,"A",IF(AF121&gt;=13,"B","C")))</f>
        <v/>
      </c>
      <c r="AH121" s="14" t="str">
        <f aca="false">IF(C121="","",IF(OR(AI121="Sold",AI121="Rejected"),"Closed",IF(AI121="Owned",IF(AND(ISNUMBER(W121),ISNUMBER(AL121),AL121&gt;W121*1.2),"REVIEW — price 20%+ above fair value",IF(AF121&lt;13,"REVIEW — quality score fell below 13","HOLD — re-check thesis yearly")),IF(AG121="A","Full LRC Stock Analysis",IF(AG121="B","Watch — re-check next month","Reject")))))</f>
        <v/>
      </c>
      <c r="AI121" s="35"/>
      <c r="AJ121" s="35"/>
      <c r="AK121" s="19"/>
      <c r="AL121" s="26"/>
      <c r="AM121" s="41" t="str">
        <f aca="false">IFERROR(IF(OR(AL121="",F121="",N(F121)=0),"",AL121/F121-1),"")</f>
        <v/>
      </c>
      <c r="AN121" s="35"/>
      <c r="AP121" s="43" t="str">
        <f aca="false">IF(AND(C121&lt;&gt;"",A121=$C$4,ISNUMBER(AF121)),AF121+ROW()/100000,"")</f>
        <v/>
      </c>
    </row>
    <row r="122" customFormat="false" ht="15" hidden="false" customHeight="false" outlineLevel="0" collapsed="false">
      <c r="A122" s="19"/>
      <c r="B122" s="35"/>
      <c r="C122" s="35"/>
      <c r="D122" s="35"/>
      <c r="E122" s="35"/>
      <c r="F122" s="26"/>
      <c r="G122" s="26"/>
      <c r="H122" s="49"/>
      <c r="I122" s="38"/>
      <c r="J122" s="49"/>
      <c r="K122" s="21"/>
      <c r="L122" s="21"/>
      <c r="M122" s="21"/>
      <c r="N122" s="21"/>
      <c r="O122" s="38"/>
      <c r="P122" s="38"/>
      <c r="Q122" s="21"/>
      <c r="R122" s="21"/>
      <c r="S122" s="21"/>
      <c r="T122" s="21"/>
      <c r="U122" s="25"/>
      <c r="V122" s="25"/>
      <c r="W122" s="26"/>
      <c r="X122" s="16" t="str">
        <f aca="false">IF(C122="","",IF(K122="",0,IF(K122&gt;=0.15,2,IF(K122&gt;=0.1,1,0)))+IF(L122="",0,IF(L122&gt;=0.12,2,IF(L122&gt;=0.08,1,0)))+(AND(N122&lt;&gt;"",N(N122)&gt;=0.15))+(AND(M122&lt;&gt;"",N(M122)&gt;=0.4)))</f>
        <v/>
      </c>
      <c r="Y122" s="16" t="str">
        <f aca="false">IF(C122="","",IF(Q122="",0,IF(Q122&gt;=0.1,2,IF(Q122&gt;=0.05,1,0)))+IF(R122="",0,IF(R122&gt;=0.08,2,IF(R122&gt;=0.04,1,0))))</f>
        <v/>
      </c>
      <c r="Z122" s="16" t="str">
        <f aca="false">IF(C122="","",IF(O122="",0,IF(O122&lt;=0.5,2,IF(O122&lt;=1,1,0)))+(AND(P122&lt;&gt;"",N(P122)&gt;=1.2)))</f>
        <v/>
      </c>
      <c r="AA122" s="16" t="str">
        <f aca="false">IF(C122="","",IF(H122="",0,IF(AND(H122&gt;0,H122&lt;=20),2,IF(AND(H122&gt;0,H122&lt;=30),1,0)))+IF(J122="",0,IF(AND(J122&gt;0,J122&lt;=20),2,IF(AND(J122&gt;0,J122&lt;=30),1,0))))</f>
        <v/>
      </c>
      <c r="AB122" s="16" t="str">
        <f aca="false">IF(C122="","",IF(OR(N(T122)&gt;=0.01,N(S122)&gt;=0.02),1,0))</f>
        <v/>
      </c>
      <c r="AC122" s="16" t="str">
        <f aca="false">IF(C122="","",MIN(2,N(U122))+MIN(2,N(V122)))</f>
        <v/>
      </c>
      <c r="AD122" s="50" t="str">
        <f aca="false">IFERROR(IF(OR(W122="",F122="",N(F122)=0),"",W122/F122-1),"")</f>
        <v/>
      </c>
      <c r="AE122" s="16" t="str">
        <f aca="false">IF(C122="","",IF(AD122="",0,IF(AD122&gt;=0.25,2,IF(AD122&gt;=0.1,1,0))))</f>
        <v/>
      </c>
      <c r="AF122" s="23" t="str">
        <f aca="false">IF(C122="","",X122+Y122+Z122+AA122+AB122+AC122+AE122)</f>
        <v/>
      </c>
      <c r="AG122" s="24" t="str">
        <f aca="false">IF(C122="","",IF(AF122&gt;=18,"A",IF(AF122&gt;=13,"B","C")))</f>
        <v/>
      </c>
      <c r="AH122" s="14" t="str">
        <f aca="false">IF(C122="","",IF(OR(AI122="Sold",AI122="Rejected"),"Closed",IF(AI122="Owned",IF(AND(ISNUMBER(W122),ISNUMBER(AL122),AL122&gt;W122*1.2),"REVIEW — price 20%+ above fair value",IF(AF122&lt;13,"REVIEW — quality score fell below 13","HOLD — re-check thesis yearly")),IF(AG122="A","Full LRC Stock Analysis",IF(AG122="B","Watch — re-check next month","Reject")))))</f>
        <v/>
      </c>
      <c r="AI122" s="35"/>
      <c r="AJ122" s="35"/>
      <c r="AK122" s="19"/>
      <c r="AL122" s="26"/>
      <c r="AM122" s="41" t="str">
        <f aca="false">IFERROR(IF(OR(AL122="",F122="",N(F122)=0),"",AL122/F122-1),"")</f>
        <v/>
      </c>
      <c r="AN122" s="35"/>
      <c r="AP122" s="43" t="str">
        <f aca="false">IF(AND(C122&lt;&gt;"",A122=$C$4,ISNUMBER(AF122)),AF122+ROW()/100000,"")</f>
        <v/>
      </c>
    </row>
    <row r="123" customFormat="false" ht="15" hidden="false" customHeight="false" outlineLevel="0" collapsed="false">
      <c r="A123" s="19"/>
      <c r="B123" s="35"/>
      <c r="C123" s="35"/>
      <c r="D123" s="35"/>
      <c r="E123" s="35"/>
      <c r="F123" s="26"/>
      <c r="G123" s="26"/>
      <c r="H123" s="49"/>
      <c r="I123" s="38"/>
      <c r="J123" s="49"/>
      <c r="K123" s="21"/>
      <c r="L123" s="21"/>
      <c r="M123" s="21"/>
      <c r="N123" s="21"/>
      <c r="O123" s="38"/>
      <c r="P123" s="38"/>
      <c r="Q123" s="21"/>
      <c r="R123" s="21"/>
      <c r="S123" s="21"/>
      <c r="T123" s="21"/>
      <c r="U123" s="25"/>
      <c r="V123" s="25"/>
      <c r="W123" s="26"/>
      <c r="X123" s="16" t="str">
        <f aca="false">IF(C123="","",IF(K123="",0,IF(K123&gt;=0.15,2,IF(K123&gt;=0.1,1,0)))+IF(L123="",0,IF(L123&gt;=0.12,2,IF(L123&gt;=0.08,1,0)))+(AND(N123&lt;&gt;"",N(N123)&gt;=0.15))+(AND(M123&lt;&gt;"",N(M123)&gt;=0.4)))</f>
        <v/>
      </c>
      <c r="Y123" s="16" t="str">
        <f aca="false">IF(C123="","",IF(Q123="",0,IF(Q123&gt;=0.1,2,IF(Q123&gt;=0.05,1,0)))+IF(R123="",0,IF(R123&gt;=0.08,2,IF(R123&gt;=0.04,1,0))))</f>
        <v/>
      </c>
      <c r="Z123" s="16" t="str">
        <f aca="false">IF(C123="","",IF(O123="",0,IF(O123&lt;=0.5,2,IF(O123&lt;=1,1,0)))+(AND(P123&lt;&gt;"",N(P123)&gt;=1.2)))</f>
        <v/>
      </c>
      <c r="AA123" s="16" t="str">
        <f aca="false">IF(C123="","",IF(H123="",0,IF(AND(H123&gt;0,H123&lt;=20),2,IF(AND(H123&gt;0,H123&lt;=30),1,0)))+IF(J123="",0,IF(AND(J123&gt;0,J123&lt;=20),2,IF(AND(J123&gt;0,J123&lt;=30),1,0))))</f>
        <v/>
      </c>
      <c r="AB123" s="16" t="str">
        <f aca="false">IF(C123="","",IF(OR(N(T123)&gt;=0.01,N(S123)&gt;=0.02),1,0))</f>
        <v/>
      </c>
      <c r="AC123" s="16" t="str">
        <f aca="false">IF(C123="","",MIN(2,N(U123))+MIN(2,N(V123)))</f>
        <v/>
      </c>
      <c r="AD123" s="50" t="str">
        <f aca="false">IFERROR(IF(OR(W123="",F123="",N(F123)=0),"",W123/F123-1),"")</f>
        <v/>
      </c>
      <c r="AE123" s="16" t="str">
        <f aca="false">IF(C123="","",IF(AD123="",0,IF(AD123&gt;=0.25,2,IF(AD123&gt;=0.1,1,0))))</f>
        <v/>
      </c>
      <c r="AF123" s="23" t="str">
        <f aca="false">IF(C123="","",X123+Y123+Z123+AA123+AB123+AC123+AE123)</f>
        <v/>
      </c>
      <c r="AG123" s="24" t="str">
        <f aca="false">IF(C123="","",IF(AF123&gt;=18,"A",IF(AF123&gt;=13,"B","C")))</f>
        <v/>
      </c>
      <c r="AH123" s="14" t="str">
        <f aca="false">IF(C123="","",IF(OR(AI123="Sold",AI123="Rejected"),"Closed",IF(AI123="Owned",IF(AND(ISNUMBER(W123),ISNUMBER(AL123),AL123&gt;W123*1.2),"REVIEW — price 20%+ above fair value",IF(AF123&lt;13,"REVIEW — quality score fell below 13","HOLD — re-check thesis yearly")),IF(AG123="A","Full LRC Stock Analysis",IF(AG123="B","Watch — re-check next month","Reject")))))</f>
        <v/>
      </c>
      <c r="AI123" s="35"/>
      <c r="AJ123" s="35"/>
      <c r="AK123" s="19"/>
      <c r="AL123" s="26"/>
      <c r="AM123" s="41" t="str">
        <f aca="false">IFERROR(IF(OR(AL123="",F123="",N(F123)=0),"",AL123/F123-1),"")</f>
        <v/>
      </c>
      <c r="AN123" s="35"/>
      <c r="AP123" s="43" t="str">
        <f aca="false">IF(AND(C123&lt;&gt;"",A123=$C$4,ISNUMBER(AF123)),AF123+ROW()/100000,"")</f>
        <v/>
      </c>
    </row>
    <row r="124" customFormat="false" ht="15" hidden="false" customHeight="false" outlineLevel="0" collapsed="false">
      <c r="A124" s="19"/>
      <c r="B124" s="35"/>
      <c r="C124" s="35"/>
      <c r="D124" s="35"/>
      <c r="E124" s="35"/>
      <c r="F124" s="26"/>
      <c r="G124" s="26"/>
      <c r="H124" s="49"/>
      <c r="I124" s="38"/>
      <c r="J124" s="49"/>
      <c r="K124" s="21"/>
      <c r="L124" s="21"/>
      <c r="M124" s="21"/>
      <c r="N124" s="21"/>
      <c r="O124" s="38"/>
      <c r="P124" s="38"/>
      <c r="Q124" s="21"/>
      <c r="R124" s="21"/>
      <c r="S124" s="21"/>
      <c r="T124" s="21"/>
      <c r="U124" s="25"/>
      <c r="V124" s="25"/>
      <c r="W124" s="26"/>
      <c r="X124" s="16" t="str">
        <f aca="false">IF(C124="","",IF(K124="",0,IF(K124&gt;=0.15,2,IF(K124&gt;=0.1,1,0)))+IF(L124="",0,IF(L124&gt;=0.12,2,IF(L124&gt;=0.08,1,0)))+(AND(N124&lt;&gt;"",N(N124)&gt;=0.15))+(AND(M124&lt;&gt;"",N(M124)&gt;=0.4)))</f>
        <v/>
      </c>
      <c r="Y124" s="16" t="str">
        <f aca="false">IF(C124="","",IF(Q124="",0,IF(Q124&gt;=0.1,2,IF(Q124&gt;=0.05,1,0)))+IF(R124="",0,IF(R124&gt;=0.08,2,IF(R124&gt;=0.04,1,0))))</f>
        <v/>
      </c>
      <c r="Z124" s="16" t="str">
        <f aca="false">IF(C124="","",IF(O124="",0,IF(O124&lt;=0.5,2,IF(O124&lt;=1,1,0)))+(AND(P124&lt;&gt;"",N(P124)&gt;=1.2)))</f>
        <v/>
      </c>
      <c r="AA124" s="16" t="str">
        <f aca="false">IF(C124="","",IF(H124="",0,IF(AND(H124&gt;0,H124&lt;=20),2,IF(AND(H124&gt;0,H124&lt;=30),1,0)))+IF(J124="",0,IF(AND(J124&gt;0,J124&lt;=20),2,IF(AND(J124&gt;0,J124&lt;=30),1,0))))</f>
        <v/>
      </c>
      <c r="AB124" s="16" t="str">
        <f aca="false">IF(C124="","",IF(OR(N(T124)&gt;=0.01,N(S124)&gt;=0.02),1,0))</f>
        <v/>
      </c>
      <c r="AC124" s="16" t="str">
        <f aca="false">IF(C124="","",MIN(2,N(U124))+MIN(2,N(V124)))</f>
        <v/>
      </c>
      <c r="AD124" s="50" t="str">
        <f aca="false">IFERROR(IF(OR(W124="",F124="",N(F124)=0),"",W124/F124-1),"")</f>
        <v/>
      </c>
      <c r="AE124" s="16" t="str">
        <f aca="false">IF(C124="","",IF(AD124="",0,IF(AD124&gt;=0.25,2,IF(AD124&gt;=0.1,1,0))))</f>
        <v/>
      </c>
      <c r="AF124" s="23" t="str">
        <f aca="false">IF(C124="","",X124+Y124+Z124+AA124+AB124+AC124+AE124)</f>
        <v/>
      </c>
      <c r="AG124" s="24" t="str">
        <f aca="false">IF(C124="","",IF(AF124&gt;=18,"A",IF(AF124&gt;=13,"B","C")))</f>
        <v/>
      </c>
      <c r="AH124" s="14" t="str">
        <f aca="false">IF(C124="","",IF(OR(AI124="Sold",AI124="Rejected"),"Closed",IF(AI124="Owned",IF(AND(ISNUMBER(W124),ISNUMBER(AL124),AL124&gt;W124*1.2),"REVIEW — price 20%+ above fair value",IF(AF124&lt;13,"REVIEW — quality score fell below 13","HOLD — re-check thesis yearly")),IF(AG124="A","Full LRC Stock Analysis",IF(AG124="B","Watch — re-check next month","Reject")))))</f>
        <v/>
      </c>
      <c r="AI124" s="35"/>
      <c r="AJ124" s="35"/>
      <c r="AK124" s="19"/>
      <c r="AL124" s="26"/>
      <c r="AM124" s="41" t="str">
        <f aca="false">IFERROR(IF(OR(AL124="",F124="",N(F124)=0),"",AL124/F124-1),"")</f>
        <v/>
      </c>
      <c r="AN124" s="35"/>
      <c r="AP124" s="43" t="str">
        <f aca="false">IF(AND(C124&lt;&gt;"",A124=$C$4,ISNUMBER(AF124)),AF124+ROW()/100000,"")</f>
        <v/>
      </c>
    </row>
    <row r="125" customFormat="false" ht="15" hidden="false" customHeight="false" outlineLevel="0" collapsed="false">
      <c r="A125" s="19"/>
      <c r="B125" s="35"/>
      <c r="C125" s="35"/>
      <c r="D125" s="35"/>
      <c r="E125" s="35"/>
      <c r="F125" s="26"/>
      <c r="G125" s="26"/>
      <c r="H125" s="49"/>
      <c r="I125" s="38"/>
      <c r="J125" s="49"/>
      <c r="K125" s="21"/>
      <c r="L125" s="21"/>
      <c r="M125" s="21"/>
      <c r="N125" s="21"/>
      <c r="O125" s="38"/>
      <c r="P125" s="38"/>
      <c r="Q125" s="21"/>
      <c r="R125" s="21"/>
      <c r="S125" s="21"/>
      <c r="T125" s="21"/>
      <c r="U125" s="25"/>
      <c r="V125" s="25"/>
      <c r="W125" s="26"/>
      <c r="X125" s="16" t="str">
        <f aca="false">IF(C125="","",IF(K125="",0,IF(K125&gt;=0.15,2,IF(K125&gt;=0.1,1,0)))+IF(L125="",0,IF(L125&gt;=0.12,2,IF(L125&gt;=0.08,1,0)))+(AND(N125&lt;&gt;"",N(N125)&gt;=0.15))+(AND(M125&lt;&gt;"",N(M125)&gt;=0.4)))</f>
        <v/>
      </c>
      <c r="Y125" s="16" t="str">
        <f aca="false">IF(C125="","",IF(Q125="",0,IF(Q125&gt;=0.1,2,IF(Q125&gt;=0.05,1,0)))+IF(R125="",0,IF(R125&gt;=0.08,2,IF(R125&gt;=0.04,1,0))))</f>
        <v/>
      </c>
      <c r="Z125" s="16" t="str">
        <f aca="false">IF(C125="","",IF(O125="",0,IF(O125&lt;=0.5,2,IF(O125&lt;=1,1,0)))+(AND(P125&lt;&gt;"",N(P125)&gt;=1.2)))</f>
        <v/>
      </c>
      <c r="AA125" s="16" t="str">
        <f aca="false">IF(C125="","",IF(H125="",0,IF(AND(H125&gt;0,H125&lt;=20),2,IF(AND(H125&gt;0,H125&lt;=30),1,0)))+IF(J125="",0,IF(AND(J125&gt;0,J125&lt;=20),2,IF(AND(J125&gt;0,J125&lt;=30),1,0))))</f>
        <v/>
      </c>
      <c r="AB125" s="16" t="str">
        <f aca="false">IF(C125="","",IF(OR(N(T125)&gt;=0.01,N(S125)&gt;=0.02),1,0))</f>
        <v/>
      </c>
      <c r="AC125" s="16" t="str">
        <f aca="false">IF(C125="","",MIN(2,N(U125))+MIN(2,N(V125)))</f>
        <v/>
      </c>
      <c r="AD125" s="50" t="str">
        <f aca="false">IFERROR(IF(OR(W125="",F125="",N(F125)=0),"",W125/F125-1),"")</f>
        <v/>
      </c>
      <c r="AE125" s="16" t="str">
        <f aca="false">IF(C125="","",IF(AD125="",0,IF(AD125&gt;=0.25,2,IF(AD125&gt;=0.1,1,0))))</f>
        <v/>
      </c>
      <c r="AF125" s="23" t="str">
        <f aca="false">IF(C125="","",X125+Y125+Z125+AA125+AB125+AC125+AE125)</f>
        <v/>
      </c>
      <c r="AG125" s="24" t="str">
        <f aca="false">IF(C125="","",IF(AF125&gt;=18,"A",IF(AF125&gt;=13,"B","C")))</f>
        <v/>
      </c>
      <c r="AH125" s="14" t="str">
        <f aca="false">IF(C125="","",IF(OR(AI125="Sold",AI125="Rejected"),"Closed",IF(AI125="Owned",IF(AND(ISNUMBER(W125),ISNUMBER(AL125),AL125&gt;W125*1.2),"REVIEW — price 20%+ above fair value",IF(AF125&lt;13,"REVIEW — quality score fell below 13","HOLD — re-check thesis yearly")),IF(AG125="A","Full LRC Stock Analysis",IF(AG125="B","Watch — re-check next month","Reject")))))</f>
        <v/>
      </c>
      <c r="AI125" s="35"/>
      <c r="AJ125" s="35"/>
      <c r="AK125" s="19"/>
      <c r="AL125" s="26"/>
      <c r="AM125" s="41" t="str">
        <f aca="false">IFERROR(IF(OR(AL125="",F125="",N(F125)=0),"",AL125/F125-1),"")</f>
        <v/>
      </c>
      <c r="AN125" s="35"/>
      <c r="AP125" s="43" t="str">
        <f aca="false">IF(AND(C125&lt;&gt;"",A125=$C$4,ISNUMBER(AF125)),AF125+ROW()/100000,"")</f>
        <v/>
      </c>
    </row>
    <row r="126" customFormat="false" ht="15" hidden="false" customHeight="false" outlineLevel="0" collapsed="false">
      <c r="A126" s="19"/>
      <c r="B126" s="35"/>
      <c r="C126" s="35"/>
      <c r="D126" s="35"/>
      <c r="E126" s="35"/>
      <c r="F126" s="26"/>
      <c r="G126" s="26"/>
      <c r="H126" s="49"/>
      <c r="I126" s="38"/>
      <c r="J126" s="49"/>
      <c r="K126" s="21"/>
      <c r="L126" s="21"/>
      <c r="M126" s="21"/>
      <c r="N126" s="21"/>
      <c r="O126" s="38"/>
      <c r="P126" s="38"/>
      <c r="Q126" s="21"/>
      <c r="R126" s="21"/>
      <c r="S126" s="21"/>
      <c r="T126" s="21"/>
      <c r="U126" s="25"/>
      <c r="V126" s="25"/>
      <c r="W126" s="26"/>
      <c r="X126" s="16" t="str">
        <f aca="false">IF(C126="","",IF(K126="",0,IF(K126&gt;=0.15,2,IF(K126&gt;=0.1,1,0)))+IF(L126="",0,IF(L126&gt;=0.12,2,IF(L126&gt;=0.08,1,0)))+(AND(N126&lt;&gt;"",N(N126)&gt;=0.15))+(AND(M126&lt;&gt;"",N(M126)&gt;=0.4)))</f>
        <v/>
      </c>
      <c r="Y126" s="16" t="str">
        <f aca="false">IF(C126="","",IF(Q126="",0,IF(Q126&gt;=0.1,2,IF(Q126&gt;=0.05,1,0)))+IF(R126="",0,IF(R126&gt;=0.08,2,IF(R126&gt;=0.04,1,0))))</f>
        <v/>
      </c>
      <c r="Z126" s="16" t="str">
        <f aca="false">IF(C126="","",IF(O126="",0,IF(O126&lt;=0.5,2,IF(O126&lt;=1,1,0)))+(AND(P126&lt;&gt;"",N(P126)&gt;=1.2)))</f>
        <v/>
      </c>
      <c r="AA126" s="16" t="str">
        <f aca="false">IF(C126="","",IF(H126="",0,IF(AND(H126&gt;0,H126&lt;=20),2,IF(AND(H126&gt;0,H126&lt;=30),1,0)))+IF(J126="",0,IF(AND(J126&gt;0,J126&lt;=20),2,IF(AND(J126&gt;0,J126&lt;=30),1,0))))</f>
        <v/>
      </c>
      <c r="AB126" s="16" t="str">
        <f aca="false">IF(C126="","",IF(OR(N(T126)&gt;=0.01,N(S126)&gt;=0.02),1,0))</f>
        <v/>
      </c>
      <c r="AC126" s="16" t="str">
        <f aca="false">IF(C126="","",MIN(2,N(U126))+MIN(2,N(V126)))</f>
        <v/>
      </c>
      <c r="AD126" s="50" t="str">
        <f aca="false">IFERROR(IF(OR(W126="",F126="",N(F126)=0),"",W126/F126-1),"")</f>
        <v/>
      </c>
      <c r="AE126" s="16" t="str">
        <f aca="false">IF(C126="","",IF(AD126="",0,IF(AD126&gt;=0.25,2,IF(AD126&gt;=0.1,1,0))))</f>
        <v/>
      </c>
      <c r="AF126" s="23" t="str">
        <f aca="false">IF(C126="","",X126+Y126+Z126+AA126+AB126+AC126+AE126)</f>
        <v/>
      </c>
      <c r="AG126" s="24" t="str">
        <f aca="false">IF(C126="","",IF(AF126&gt;=18,"A",IF(AF126&gt;=13,"B","C")))</f>
        <v/>
      </c>
      <c r="AH126" s="14" t="str">
        <f aca="false">IF(C126="","",IF(OR(AI126="Sold",AI126="Rejected"),"Closed",IF(AI126="Owned",IF(AND(ISNUMBER(W126),ISNUMBER(AL126),AL126&gt;W126*1.2),"REVIEW — price 20%+ above fair value",IF(AF126&lt;13,"REVIEW — quality score fell below 13","HOLD — re-check thesis yearly")),IF(AG126="A","Full LRC Stock Analysis",IF(AG126="B","Watch — re-check next month","Reject")))))</f>
        <v/>
      </c>
      <c r="AI126" s="35"/>
      <c r="AJ126" s="35"/>
      <c r="AK126" s="19"/>
      <c r="AL126" s="26"/>
      <c r="AM126" s="41" t="str">
        <f aca="false">IFERROR(IF(OR(AL126="",F126="",N(F126)=0),"",AL126/F126-1),"")</f>
        <v/>
      </c>
      <c r="AN126" s="35"/>
      <c r="AP126" s="43" t="str">
        <f aca="false">IF(AND(C126&lt;&gt;"",A126=$C$4,ISNUMBER(AF126)),AF126+ROW()/100000,"")</f>
        <v/>
      </c>
    </row>
    <row r="127" customFormat="false" ht="15" hidden="false" customHeight="false" outlineLevel="0" collapsed="false">
      <c r="A127" s="19"/>
      <c r="B127" s="35"/>
      <c r="C127" s="35"/>
      <c r="D127" s="35"/>
      <c r="E127" s="35"/>
      <c r="F127" s="26"/>
      <c r="G127" s="26"/>
      <c r="H127" s="49"/>
      <c r="I127" s="38"/>
      <c r="J127" s="49"/>
      <c r="K127" s="21"/>
      <c r="L127" s="21"/>
      <c r="M127" s="21"/>
      <c r="N127" s="21"/>
      <c r="O127" s="38"/>
      <c r="P127" s="38"/>
      <c r="Q127" s="21"/>
      <c r="R127" s="21"/>
      <c r="S127" s="21"/>
      <c r="T127" s="21"/>
      <c r="U127" s="25"/>
      <c r="V127" s="25"/>
      <c r="W127" s="26"/>
      <c r="X127" s="16" t="str">
        <f aca="false">IF(C127="","",IF(K127="",0,IF(K127&gt;=0.15,2,IF(K127&gt;=0.1,1,0)))+IF(L127="",0,IF(L127&gt;=0.12,2,IF(L127&gt;=0.08,1,0)))+(AND(N127&lt;&gt;"",N(N127)&gt;=0.15))+(AND(M127&lt;&gt;"",N(M127)&gt;=0.4)))</f>
        <v/>
      </c>
      <c r="Y127" s="16" t="str">
        <f aca="false">IF(C127="","",IF(Q127="",0,IF(Q127&gt;=0.1,2,IF(Q127&gt;=0.05,1,0)))+IF(R127="",0,IF(R127&gt;=0.08,2,IF(R127&gt;=0.04,1,0))))</f>
        <v/>
      </c>
      <c r="Z127" s="16" t="str">
        <f aca="false">IF(C127="","",IF(O127="",0,IF(O127&lt;=0.5,2,IF(O127&lt;=1,1,0)))+(AND(P127&lt;&gt;"",N(P127)&gt;=1.2)))</f>
        <v/>
      </c>
      <c r="AA127" s="16" t="str">
        <f aca="false">IF(C127="","",IF(H127="",0,IF(AND(H127&gt;0,H127&lt;=20),2,IF(AND(H127&gt;0,H127&lt;=30),1,0)))+IF(J127="",0,IF(AND(J127&gt;0,J127&lt;=20),2,IF(AND(J127&gt;0,J127&lt;=30),1,0))))</f>
        <v/>
      </c>
      <c r="AB127" s="16" t="str">
        <f aca="false">IF(C127="","",IF(OR(N(T127)&gt;=0.01,N(S127)&gt;=0.02),1,0))</f>
        <v/>
      </c>
      <c r="AC127" s="16" t="str">
        <f aca="false">IF(C127="","",MIN(2,N(U127))+MIN(2,N(V127)))</f>
        <v/>
      </c>
      <c r="AD127" s="50" t="str">
        <f aca="false">IFERROR(IF(OR(W127="",F127="",N(F127)=0),"",W127/F127-1),"")</f>
        <v/>
      </c>
      <c r="AE127" s="16" t="str">
        <f aca="false">IF(C127="","",IF(AD127="",0,IF(AD127&gt;=0.25,2,IF(AD127&gt;=0.1,1,0))))</f>
        <v/>
      </c>
      <c r="AF127" s="23" t="str">
        <f aca="false">IF(C127="","",X127+Y127+Z127+AA127+AB127+AC127+AE127)</f>
        <v/>
      </c>
      <c r="AG127" s="24" t="str">
        <f aca="false">IF(C127="","",IF(AF127&gt;=18,"A",IF(AF127&gt;=13,"B","C")))</f>
        <v/>
      </c>
      <c r="AH127" s="14" t="str">
        <f aca="false">IF(C127="","",IF(OR(AI127="Sold",AI127="Rejected"),"Closed",IF(AI127="Owned",IF(AND(ISNUMBER(W127),ISNUMBER(AL127),AL127&gt;W127*1.2),"REVIEW — price 20%+ above fair value",IF(AF127&lt;13,"REVIEW — quality score fell below 13","HOLD — re-check thesis yearly")),IF(AG127="A","Full LRC Stock Analysis",IF(AG127="B","Watch — re-check next month","Reject")))))</f>
        <v/>
      </c>
      <c r="AI127" s="35"/>
      <c r="AJ127" s="35"/>
      <c r="AK127" s="19"/>
      <c r="AL127" s="26"/>
      <c r="AM127" s="41" t="str">
        <f aca="false">IFERROR(IF(OR(AL127="",F127="",N(F127)=0),"",AL127/F127-1),"")</f>
        <v/>
      </c>
      <c r="AN127" s="35"/>
      <c r="AP127" s="43" t="str">
        <f aca="false">IF(AND(C127&lt;&gt;"",A127=$C$4,ISNUMBER(AF127)),AF127+ROW()/100000,"")</f>
        <v/>
      </c>
    </row>
    <row r="128" customFormat="false" ht="15" hidden="false" customHeight="false" outlineLevel="0" collapsed="false">
      <c r="A128" s="19"/>
      <c r="B128" s="35"/>
      <c r="C128" s="35"/>
      <c r="D128" s="35"/>
      <c r="E128" s="35"/>
      <c r="F128" s="26"/>
      <c r="G128" s="26"/>
      <c r="H128" s="49"/>
      <c r="I128" s="38"/>
      <c r="J128" s="49"/>
      <c r="K128" s="21"/>
      <c r="L128" s="21"/>
      <c r="M128" s="21"/>
      <c r="N128" s="21"/>
      <c r="O128" s="38"/>
      <c r="P128" s="38"/>
      <c r="Q128" s="21"/>
      <c r="R128" s="21"/>
      <c r="S128" s="21"/>
      <c r="T128" s="21"/>
      <c r="U128" s="25"/>
      <c r="V128" s="25"/>
      <c r="W128" s="26"/>
      <c r="X128" s="16" t="str">
        <f aca="false">IF(C128="","",IF(K128="",0,IF(K128&gt;=0.15,2,IF(K128&gt;=0.1,1,0)))+IF(L128="",0,IF(L128&gt;=0.12,2,IF(L128&gt;=0.08,1,0)))+(AND(N128&lt;&gt;"",N(N128)&gt;=0.15))+(AND(M128&lt;&gt;"",N(M128)&gt;=0.4)))</f>
        <v/>
      </c>
      <c r="Y128" s="16" t="str">
        <f aca="false">IF(C128="","",IF(Q128="",0,IF(Q128&gt;=0.1,2,IF(Q128&gt;=0.05,1,0)))+IF(R128="",0,IF(R128&gt;=0.08,2,IF(R128&gt;=0.04,1,0))))</f>
        <v/>
      </c>
      <c r="Z128" s="16" t="str">
        <f aca="false">IF(C128="","",IF(O128="",0,IF(O128&lt;=0.5,2,IF(O128&lt;=1,1,0)))+(AND(P128&lt;&gt;"",N(P128)&gt;=1.2)))</f>
        <v/>
      </c>
      <c r="AA128" s="16" t="str">
        <f aca="false">IF(C128="","",IF(H128="",0,IF(AND(H128&gt;0,H128&lt;=20),2,IF(AND(H128&gt;0,H128&lt;=30),1,0)))+IF(J128="",0,IF(AND(J128&gt;0,J128&lt;=20),2,IF(AND(J128&gt;0,J128&lt;=30),1,0))))</f>
        <v/>
      </c>
      <c r="AB128" s="16" t="str">
        <f aca="false">IF(C128="","",IF(OR(N(T128)&gt;=0.01,N(S128)&gt;=0.02),1,0))</f>
        <v/>
      </c>
      <c r="AC128" s="16" t="str">
        <f aca="false">IF(C128="","",MIN(2,N(U128))+MIN(2,N(V128)))</f>
        <v/>
      </c>
      <c r="AD128" s="50" t="str">
        <f aca="false">IFERROR(IF(OR(W128="",F128="",N(F128)=0),"",W128/F128-1),"")</f>
        <v/>
      </c>
      <c r="AE128" s="16" t="str">
        <f aca="false">IF(C128="","",IF(AD128="",0,IF(AD128&gt;=0.25,2,IF(AD128&gt;=0.1,1,0))))</f>
        <v/>
      </c>
      <c r="AF128" s="23" t="str">
        <f aca="false">IF(C128="","",X128+Y128+Z128+AA128+AB128+AC128+AE128)</f>
        <v/>
      </c>
      <c r="AG128" s="24" t="str">
        <f aca="false">IF(C128="","",IF(AF128&gt;=18,"A",IF(AF128&gt;=13,"B","C")))</f>
        <v/>
      </c>
      <c r="AH128" s="14" t="str">
        <f aca="false">IF(C128="","",IF(OR(AI128="Sold",AI128="Rejected"),"Closed",IF(AI128="Owned",IF(AND(ISNUMBER(W128),ISNUMBER(AL128),AL128&gt;W128*1.2),"REVIEW — price 20%+ above fair value",IF(AF128&lt;13,"REVIEW — quality score fell below 13","HOLD — re-check thesis yearly")),IF(AG128="A","Full LRC Stock Analysis",IF(AG128="B","Watch — re-check next month","Reject")))))</f>
        <v/>
      </c>
      <c r="AI128" s="35"/>
      <c r="AJ128" s="35"/>
      <c r="AK128" s="19"/>
      <c r="AL128" s="26"/>
      <c r="AM128" s="41" t="str">
        <f aca="false">IFERROR(IF(OR(AL128="",F128="",N(F128)=0),"",AL128/F128-1),"")</f>
        <v/>
      </c>
      <c r="AN128" s="35"/>
      <c r="AP128" s="43" t="str">
        <f aca="false">IF(AND(C128&lt;&gt;"",A128=$C$4,ISNUMBER(AF128)),AF128+ROW()/100000,"")</f>
        <v/>
      </c>
    </row>
    <row r="129" customFormat="false" ht="15" hidden="false" customHeight="false" outlineLevel="0" collapsed="false">
      <c r="A129" s="19"/>
      <c r="B129" s="35"/>
      <c r="C129" s="35"/>
      <c r="D129" s="35"/>
      <c r="E129" s="35"/>
      <c r="F129" s="26"/>
      <c r="G129" s="26"/>
      <c r="H129" s="49"/>
      <c r="I129" s="38"/>
      <c r="J129" s="49"/>
      <c r="K129" s="21"/>
      <c r="L129" s="21"/>
      <c r="M129" s="21"/>
      <c r="N129" s="21"/>
      <c r="O129" s="38"/>
      <c r="P129" s="38"/>
      <c r="Q129" s="21"/>
      <c r="R129" s="21"/>
      <c r="S129" s="21"/>
      <c r="T129" s="21"/>
      <c r="U129" s="25"/>
      <c r="V129" s="25"/>
      <c r="W129" s="26"/>
      <c r="X129" s="16" t="str">
        <f aca="false">IF(C129="","",IF(K129="",0,IF(K129&gt;=0.15,2,IF(K129&gt;=0.1,1,0)))+IF(L129="",0,IF(L129&gt;=0.12,2,IF(L129&gt;=0.08,1,0)))+(AND(N129&lt;&gt;"",N(N129)&gt;=0.15))+(AND(M129&lt;&gt;"",N(M129)&gt;=0.4)))</f>
        <v/>
      </c>
      <c r="Y129" s="16" t="str">
        <f aca="false">IF(C129="","",IF(Q129="",0,IF(Q129&gt;=0.1,2,IF(Q129&gt;=0.05,1,0)))+IF(R129="",0,IF(R129&gt;=0.08,2,IF(R129&gt;=0.04,1,0))))</f>
        <v/>
      </c>
      <c r="Z129" s="16" t="str">
        <f aca="false">IF(C129="","",IF(O129="",0,IF(O129&lt;=0.5,2,IF(O129&lt;=1,1,0)))+(AND(P129&lt;&gt;"",N(P129)&gt;=1.2)))</f>
        <v/>
      </c>
      <c r="AA129" s="16" t="str">
        <f aca="false">IF(C129="","",IF(H129="",0,IF(AND(H129&gt;0,H129&lt;=20),2,IF(AND(H129&gt;0,H129&lt;=30),1,0)))+IF(J129="",0,IF(AND(J129&gt;0,J129&lt;=20),2,IF(AND(J129&gt;0,J129&lt;=30),1,0))))</f>
        <v/>
      </c>
      <c r="AB129" s="16" t="str">
        <f aca="false">IF(C129="","",IF(OR(N(T129)&gt;=0.01,N(S129)&gt;=0.02),1,0))</f>
        <v/>
      </c>
      <c r="AC129" s="16" t="str">
        <f aca="false">IF(C129="","",MIN(2,N(U129))+MIN(2,N(V129)))</f>
        <v/>
      </c>
      <c r="AD129" s="50" t="str">
        <f aca="false">IFERROR(IF(OR(W129="",F129="",N(F129)=0),"",W129/F129-1),"")</f>
        <v/>
      </c>
      <c r="AE129" s="16" t="str">
        <f aca="false">IF(C129="","",IF(AD129="",0,IF(AD129&gt;=0.25,2,IF(AD129&gt;=0.1,1,0))))</f>
        <v/>
      </c>
      <c r="AF129" s="23" t="str">
        <f aca="false">IF(C129="","",X129+Y129+Z129+AA129+AB129+AC129+AE129)</f>
        <v/>
      </c>
      <c r="AG129" s="24" t="str">
        <f aca="false">IF(C129="","",IF(AF129&gt;=18,"A",IF(AF129&gt;=13,"B","C")))</f>
        <v/>
      </c>
      <c r="AH129" s="14" t="str">
        <f aca="false">IF(C129="","",IF(OR(AI129="Sold",AI129="Rejected"),"Closed",IF(AI129="Owned",IF(AND(ISNUMBER(W129),ISNUMBER(AL129),AL129&gt;W129*1.2),"REVIEW — price 20%+ above fair value",IF(AF129&lt;13,"REVIEW — quality score fell below 13","HOLD — re-check thesis yearly")),IF(AG129="A","Full LRC Stock Analysis",IF(AG129="B","Watch — re-check next month","Reject")))))</f>
        <v/>
      </c>
      <c r="AI129" s="35"/>
      <c r="AJ129" s="35"/>
      <c r="AK129" s="19"/>
      <c r="AL129" s="26"/>
      <c r="AM129" s="41" t="str">
        <f aca="false">IFERROR(IF(OR(AL129="",F129="",N(F129)=0),"",AL129/F129-1),"")</f>
        <v/>
      </c>
      <c r="AN129" s="35"/>
      <c r="AP129" s="43" t="str">
        <f aca="false">IF(AND(C129&lt;&gt;"",A129=$C$4,ISNUMBER(AF129)),AF129+ROW()/100000,"")</f>
        <v/>
      </c>
    </row>
    <row r="130" customFormat="false" ht="15" hidden="false" customHeight="false" outlineLevel="0" collapsed="false">
      <c r="A130" s="19"/>
      <c r="B130" s="35"/>
      <c r="C130" s="35"/>
      <c r="D130" s="35"/>
      <c r="E130" s="35"/>
      <c r="F130" s="26"/>
      <c r="G130" s="26"/>
      <c r="H130" s="49"/>
      <c r="I130" s="38"/>
      <c r="J130" s="49"/>
      <c r="K130" s="21"/>
      <c r="L130" s="21"/>
      <c r="M130" s="21"/>
      <c r="N130" s="21"/>
      <c r="O130" s="38"/>
      <c r="P130" s="38"/>
      <c r="Q130" s="21"/>
      <c r="R130" s="21"/>
      <c r="S130" s="21"/>
      <c r="T130" s="21"/>
      <c r="U130" s="25"/>
      <c r="V130" s="25"/>
      <c r="W130" s="26"/>
      <c r="X130" s="16" t="str">
        <f aca="false">IF(C130="","",IF(K130="",0,IF(K130&gt;=0.15,2,IF(K130&gt;=0.1,1,0)))+IF(L130="",0,IF(L130&gt;=0.12,2,IF(L130&gt;=0.08,1,0)))+(AND(N130&lt;&gt;"",N(N130)&gt;=0.15))+(AND(M130&lt;&gt;"",N(M130)&gt;=0.4)))</f>
        <v/>
      </c>
      <c r="Y130" s="16" t="str">
        <f aca="false">IF(C130="","",IF(Q130="",0,IF(Q130&gt;=0.1,2,IF(Q130&gt;=0.05,1,0)))+IF(R130="",0,IF(R130&gt;=0.08,2,IF(R130&gt;=0.04,1,0))))</f>
        <v/>
      </c>
      <c r="Z130" s="16" t="str">
        <f aca="false">IF(C130="","",IF(O130="",0,IF(O130&lt;=0.5,2,IF(O130&lt;=1,1,0)))+(AND(P130&lt;&gt;"",N(P130)&gt;=1.2)))</f>
        <v/>
      </c>
      <c r="AA130" s="16" t="str">
        <f aca="false">IF(C130="","",IF(H130="",0,IF(AND(H130&gt;0,H130&lt;=20),2,IF(AND(H130&gt;0,H130&lt;=30),1,0)))+IF(J130="",0,IF(AND(J130&gt;0,J130&lt;=20),2,IF(AND(J130&gt;0,J130&lt;=30),1,0))))</f>
        <v/>
      </c>
      <c r="AB130" s="16" t="str">
        <f aca="false">IF(C130="","",IF(OR(N(T130)&gt;=0.01,N(S130)&gt;=0.02),1,0))</f>
        <v/>
      </c>
      <c r="AC130" s="16" t="str">
        <f aca="false">IF(C130="","",MIN(2,N(U130))+MIN(2,N(V130)))</f>
        <v/>
      </c>
      <c r="AD130" s="50" t="str">
        <f aca="false">IFERROR(IF(OR(W130="",F130="",N(F130)=0),"",W130/F130-1),"")</f>
        <v/>
      </c>
      <c r="AE130" s="16" t="str">
        <f aca="false">IF(C130="","",IF(AD130="",0,IF(AD130&gt;=0.25,2,IF(AD130&gt;=0.1,1,0))))</f>
        <v/>
      </c>
      <c r="AF130" s="23" t="str">
        <f aca="false">IF(C130="","",X130+Y130+Z130+AA130+AB130+AC130+AE130)</f>
        <v/>
      </c>
      <c r="AG130" s="24" t="str">
        <f aca="false">IF(C130="","",IF(AF130&gt;=18,"A",IF(AF130&gt;=13,"B","C")))</f>
        <v/>
      </c>
      <c r="AH130" s="14" t="str">
        <f aca="false">IF(C130="","",IF(OR(AI130="Sold",AI130="Rejected"),"Closed",IF(AI130="Owned",IF(AND(ISNUMBER(W130),ISNUMBER(AL130),AL130&gt;W130*1.2),"REVIEW — price 20%+ above fair value",IF(AF130&lt;13,"REVIEW — quality score fell below 13","HOLD — re-check thesis yearly")),IF(AG130="A","Full LRC Stock Analysis",IF(AG130="B","Watch — re-check next month","Reject")))))</f>
        <v/>
      </c>
      <c r="AI130" s="35"/>
      <c r="AJ130" s="35"/>
      <c r="AK130" s="19"/>
      <c r="AL130" s="26"/>
      <c r="AM130" s="41" t="str">
        <f aca="false">IFERROR(IF(OR(AL130="",F130="",N(F130)=0),"",AL130/F130-1),"")</f>
        <v/>
      </c>
      <c r="AN130" s="35"/>
      <c r="AP130" s="43" t="str">
        <f aca="false">IF(AND(C130&lt;&gt;"",A130=$C$4,ISNUMBER(AF130)),AF130+ROW()/100000,"")</f>
        <v/>
      </c>
    </row>
    <row r="131" customFormat="false" ht="15" hidden="false" customHeight="false" outlineLevel="0" collapsed="false">
      <c r="A131" s="19"/>
      <c r="B131" s="35"/>
      <c r="C131" s="35"/>
      <c r="D131" s="35"/>
      <c r="E131" s="35"/>
      <c r="F131" s="26"/>
      <c r="G131" s="26"/>
      <c r="H131" s="49"/>
      <c r="I131" s="38"/>
      <c r="J131" s="49"/>
      <c r="K131" s="21"/>
      <c r="L131" s="21"/>
      <c r="M131" s="21"/>
      <c r="N131" s="21"/>
      <c r="O131" s="38"/>
      <c r="P131" s="38"/>
      <c r="Q131" s="21"/>
      <c r="R131" s="21"/>
      <c r="S131" s="21"/>
      <c r="T131" s="21"/>
      <c r="U131" s="25"/>
      <c r="V131" s="25"/>
      <c r="W131" s="26"/>
      <c r="X131" s="16" t="str">
        <f aca="false">IF(C131="","",IF(K131="",0,IF(K131&gt;=0.15,2,IF(K131&gt;=0.1,1,0)))+IF(L131="",0,IF(L131&gt;=0.12,2,IF(L131&gt;=0.08,1,0)))+(AND(N131&lt;&gt;"",N(N131)&gt;=0.15))+(AND(M131&lt;&gt;"",N(M131)&gt;=0.4)))</f>
        <v/>
      </c>
      <c r="Y131" s="16" t="str">
        <f aca="false">IF(C131="","",IF(Q131="",0,IF(Q131&gt;=0.1,2,IF(Q131&gt;=0.05,1,0)))+IF(R131="",0,IF(R131&gt;=0.08,2,IF(R131&gt;=0.04,1,0))))</f>
        <v/>
      </c>
      <c r="Z131" s="16" t="str">
        <f aca="false">IF(C131="","",IF(O131="",0,IF(O131&lt;=0.5,2,IF(O131&lt;=1,1,0)))+(AND(P131&lt;&gt;"",N(P131)&gt;=1.2)))</f>
        <v/>
      </c>
      <c r="AA131" s="16" t="str">
        <f aca="false">IF(C131="","",IF(H131="",0,IF(AND(H131&gt;0,H131&lt;=20),2,IF(AND(H131&gt;0,H131&lt;=30),1,0)))+IF(J131="",0,IF(AND(J131&gt;0,J131&lt;=20),2,IF(AND(J131&gt;0,J131&lt;=30),1,0))))</f>
        <v/>
      </c>
      <c r="AB131" s="16" t="str">
        <f aca="false">IF(C131="","",IF(OR(N(T131)&gt;=0.01,N(S131)&gt;=0.02),1,0))</f>
        <v/>
      </c>
      <c r="AC131" s="16" t="str">
        <f aca="false">IF(C131="","",MIN(2,N(U131))+MIN(2,N(V131)))</f>
        <v/>
      </c>
      <c r="AD131" s="50" t="str">
        <f aca="false">IFERROR(IF(OR(W131="",F131="",N(F131)=0),"",W131/F131-1),"")</f>
        <v/>
      </c>
      <c r="AE131" s="16" t="str">
        <f aca="false">IF(C131="","",IF(AD131="",0,IF(AD131&gt;=0.25,2,IF(AD131&gt;=0.1,1,0))))</f>
        <v/>
      </c>
      <c r="AF131" s="23" t="str">
        <f aca="false">IF(C131="","",X131+Y131+Z131+AA131+AB131+AC131+AE131)</f>
        <v/>
      </c>
      <c r="AG131" s="24" t="str">
        <f aca="false">IF(C131="","",IF(AF131&gt;=18,"A",IF(AF131&gt;=13,"B","C")))</f>
        <v/>
      </c>
      <c r="AH131" s="14" t="str">
        <f aca="false">IF(C131="","",IF(OR(AI131="Sold",AI131="Rejected"),"Closed",IF(AI131="Owned",IF(AND(ISNUMBER(W131),ISNUMBER(AL131),AL131&gt;W131*1.2),"REVIEW — price 20%+ above fair value",IF(AF131&lt;13,"REVIEW — quality score fell below 13","HOLD — re-check thesis yearly")),IF(AG131="A","Full LRC Stock Analysis",IF(AG131="B","Watch — re-check next month","Reject")))))</f>
        <v/>
      </c>
      <c r="AI131" s="35"/>
      <c r="AJ131" s="35"/>
      <c r="AK131" s="19"/>
      <c r="AL131" s="26"/>
      <c r="AM131" s="41" t="str">
        <f aca="false">IFERROR(IF(OR(AL131="",F131="",N(F131)=0),"",AL131/F131-1),"")</f>
        <v/>
      </c>
      <c r="AN131" s="35"/>
      <c r="AP131" s="43" t="str">
        <f aca="false">IF(AND(C131&lt;&gt;"",A131=$C$4,ISNUMBER(AF131)),AF131+ROW()/100000,"")</f>
        <v/>
      </c>
    </row>
    <row r="132" customFormat="false" ht="15" hidden="false" customHeight="false" outlineLevel="0" collapsed="false">
      <c r="A132" s="19"/>
      <c r="B132" s="35"/>
      <c r="C132" s="35"/>
      <c r="D132" s="35"/>
      <c r="E132" s="35"/>
      <c r="F132" s="26"/>
      <c r="G132" s="26"/>
      <c r="H132" s="49"/>
      <c r="I132" s="38"/>
      <c r="J132" s="49"/>
      <c r="K132" s="21"/>
      <c r="L132" s="21"/>
      <c r="M132" s="21"/>
      <c r="N132" s="21"/>
      <c r="O132" s="38"/>
      <c r="P132" s="38"/>
      <c r="Q132" s="21"/>
      <c r="R132" s="21"/>
      <c r="S132" s="21"/>
      <c r="T132" s="21"/>
      <c r="U132" s="25"/>
      <c r="V132" s="25"/>
      <c r="W132" s="26"/>
      <c r="X132" s="16" t="str">
        <f aca="false">IF(C132="","",IF(K132="",0,IF(K132&gt;=0.15,2,IF(K132&gt;=0.1,1,0)))+IF(L132="",0,IF(L132&gt;=0.12,2,IF(L132&gt;=0.08,1,0)))+(AND(N132&lt;&gt;"",N(N132)&gt;=0.15))+(AND(M132&lt;&gt;"",N(M132)&gt;=0.4)))</f>
        <v/>
      </c>
      <c r="Y132" s="16" t="str">
        <f aca="false">IF(C132="","",IF(Q132="",0,IF(Q132&gt;=0.1,2,IF(Q132&gt;=0.05,1,0)))+IF(R132="",0,IF(R132&gt;=0.08,2,IF(R132&gt;=0.04,1,0))))</f>
        <v/>
      </c>
      <c r="Z132" s="16" t="str">
        <f aca="false">IF(C132="","",IF(O132="",0,IF(O132&lt;=0.5,2,IF(O132&lt;=1,1,0)))+(AND(P132&lt;&gt;"",N(P132)&gt;=1.2)))</f>
        <v/>
      </c>
      <c r="AA132" s="16" t="str">
        <f aca="false">IF(C132="","",IF(H132="",0,IF(AND(H132&gt;0,H132&lt;=20),2,IF(AND(H132&gt;0,H132&lt;=30),1,0)))+IF(J132="",0,IF(AND(J132&gt;0,J132&lt;=20),2,IF(AND(J132&gt;0,J132&lt;=30),1,0))))</f>
        <v/>
      </c>
      <c r="AB132" s="16" t="str">
        <f aca="false">IF(C132="","",IF(OR(N(T132)&gt;=0.01,N(S132)&gt;=0.02),1,0))</f>
        <v/>
      </c>
      <c r="AC132" s="16" t="str">
        <f aca="false">IF(C132="","",MIN(2,N(U132))+MIN(2,N(V132)))</f>
        <v/>
      </c>
      <c r="AD132" s="50" t="str">
        <f aca="false">IFERROR(IF(OR(W132="",F132="",N(F132)=0),"",W132/F132-1),"")</f>
        <v/>
      </c>
      <c r="AE132" s="16" t="str">
        <f aca="false">IF(C132="","",IF(AD132="",0,IF(AD132&gt;=0.25,2,IF(AD132&gt;=0.1,1,0))))</f>
        <v/>
      </c>
      <c r="AF132" s="23" t="str">
        <f aca="false">IF(C132="","",X132+Y132+Z132+AA132+AB132+AC132+AE132)</f>
        <v/>
      </c>
      <c r="AG132" s="24" t="str">
        <f aca="false">IF(C132="","",IF(AF132&gt;=18,"A",IF(AF132&gt;=13,"B","C")))</f>
        <v/>
      </c>
      <c r="AH132" s="14" t="str">
        <f aca="false">IF(C132="","",IF(OR(AI132="Sold",AI132="Rejected"),"Closed",IF(AI132="Owned",IF(AND(ISNUMBER(W132),ISNUMBER(AL132),AL132&gt;W132*1.2),"REVIEW — price 20%+ above fair value",IF(AF132&lt;13,"REVIEW — quality score fell below 13","HOLD — re-check thesis yearly")),IF(AG132="A","Full LRC Stock Analysis",IF(AG132="B","Watch — re-check next month","Reject")))))</f>
        <v/>
      </c>
      <c r="AI132" s="35"/>
      <c r="AJ132" s="35"/>
      <c r="AK132" s="19"/>
      <c r="AL132" s="26"/>
      <c r="AM132" s="41" t="str">
        <f aca="false">IFERROR(IF(OR(AL132="",F132="",N(F132)=0),"",AL132/F132-1),"")</f>
        <v/>
      </c>
      <c r="AN132" s="35"/>
      <c r="AP132" s="43" t="str">
        <f aca="false">IF(AND(C132&lt;&gt;"",A132=$C$4,ISNUMBER(AF132)),AF132+ROW()/100000,"")</f>
        <v/>
      </c>
    </row>
    <row r="133" customFormat="false" ht="15" hidden="false" customHeight="false" outlineLevel="0" collapsed="false">
      <c r="A133" s="19"/>
      <c r="B133" s="35"/>
      <c r="C133" s="35"/>
      <c r="D133" s="35"/>
      <c r="E133" s="35"/>
      <c r="F133" s="26"/>
      <c r="G133" s="26"/>
      <c r="H133" s="49"/>
      <c r="I133" s="38"/>
      <c r="J133" s="49"/>
      <c r="K133" s="21"/>
      <c r="L133" s="21"/>
      <c r="M133" s="21"/>
      <c r="N133" s="21"/>
      <c r="O133" s="38"/>
      <c r="P133" s="38"/>
      <c r="Q133" s="21"/>
      <c r="R133" s="21"/>
      <c r="S133" s="21"/>
      <c r="T133" s="21"/>
      <c r="U133" s="25"/>
      <c r="V133" s="25"/>
      <c r="W133" s="26"/>
      <c r="X133" s="16" t="str">
        <f aca="false">IF(C133="","",IF(K133="",0,IF(K133&gt;=0.15,2,IF(K133&gt;=0.1,1,0)))+IF(L133="",0,IF(L133&gt;=0.12,2,IF(L133&gt;=0.08,1,0)))+(AND(N133&lt;&gt;"",N(N133)&gt;=0.15))+(AND(M133&lt;&gt;"",N(M133)&gt;=0.4)))</f>
        <v/>
      </c>
      <c r="Y133" s="16" t="str">
        <f aca="false">IF(C133="","",IF(Q133="",0,IF(Q133&gt;=0.1,2,IF(Q133&gt;=0.05,1,0)))+IF(R133="",0,IF(R133&gt;=0.08,2,IF(R133&gt;=0.04,1,0))))</f>
        <v/>
      </c>
      <c r="Z133" s="16" t="str">
        <f aca="false">IF(C133="","",IF(O133="",0,IF(O133&lt;=0.5,2,IF(O133&lt;=1,1,0)))+(AND(P133&lt;&gt;"",N(P133)&gt;=1.2)))</f>
        <v/>
      </c>
      <c r="AA133" s="16" t="str">
        <f aca="false">IF(C133="","",IF(H133="",0,IF(AND(H133&gt;0,H133&lt;=20),2,IF(AND(H133&gt;0,H133&lt;=30),1,0)))+IF(J133="",0,IF(AND(J133&gt;0,J133&lt;=20),2,IF(AND(J133&gt;0,J133&lt;=30),1,0))))</f>
        <v/>
      </c>
      <c r="AB133" s="16" t="str">
        <f aca="false">IF(C133="","",IF(OR(N(T133)&gt;=0.01,N(S133)&gt;=0.02),1,0))</f>
        <v/>
      </c>
      <c r="AC133" s="16" t="str">
        <f aca="false">IF(C133="","",MIN(2,N(U133))+MIN(2,N(V133)))</f>
        <v/>
      </c>
      <c r="AD133" s="50" t="str">
        <f aca="false">IFERROR(IF(OR(W133="",F133="",N(F133)=0),"",W133/F133-1),"")</f>
        <v/>
      </c>
      <c r="AE133" s="16" t="str">
        <f aca="false">IF(C133="","",IF(AD133="",0,IF(AD133&gt;=0.25,2,IF(AD133&gt;=0.1,1,0))))</f>
        <v/>
      </c>
      <c r="AF133" s="23" t="str">
        <f aca="false">IF(C133="","",X133+Y133+Z133+AA133+AB133+AC133+AE133)</f>
        <v/>
      </c>
      <c r="AG133" s="24" t="str">
        <f aca="false">IF(C133="","",IF(AF133&gt;=18,"A",IF(AF133&gt;=13,"B","C")))</f>
        <v/>
      </c>
      <c r="AH133" s="14" t="str">
        <f aca="false">IF(C133="","",IF(OR(AI133="Sold",AI133="Rejected"),"Closed",IF(AI133="Owned",IF(AND(ISNUMBER(W133),ISNUMBER(AL133),AL133&gt;W133*1.2),"REVIEW — price 20%+ above fair value",IF(AF133&lt;13,"REVIEW — quality score fell below 13","HOLD — re-check thesis yearly")),IF(AG133="A","Full LRC Stock Analysis",IF(AG133="B","Watch — re-check next month","Reject")))))</f>
        <v/>
      </c>
      <c r="AI133" s="35"/>
      <c r="AJ133" s="35"/>
      <c r="AK133" s="19"/>
      <c r="AL133" s="26"/>
      <c r="AM133" s="41" t="str">
        <f aca="false">IFERROR(IF(OR(AL133="",F133="",N(F133)=0),"",AL133/F133-1),"")</f>
        <v/>
      </c>
      <c r="AN133" s="35"/>
      <c r="AP133" s="43" t="str">
        <f aca="false">IF(AND(C133&lt;&gt;"",A133=$C$4,ISNUMBER(AF133)),AF133+ROW()/100000,"")</f>
        <v/>
      </c>
    </row>
    <row r="134" customFormat="false" ht="15" hidden="false" customHeight="false" outlineLevel="0" collapsed="false">
      <c r="A134" s="19"/>
      <c r="B134" s="35"/>
      <c r="C134" s="35"/>
      <c r="D134" s="35"/>
      <c r="E134" s="35"/>
      <c r="F134" s="26"/>
      <c r="G134" s="26"/>
      <c r="H134" s="49"/>
      <c r="I134" s="38"/>
      <c r="J134" s="49"/>
      <c r="K134" s="21"/>
      <c r="L134" s="21"/>
      <c r="M134" s="21"/>
      <c r="N134" s="21"/>
      <c r="O134" s="38"/>
      <c r="P134" s="38"/>
      <c r="Q134" s="21"/>
      <c r="R134" s="21"/>
      <c r="S134" s="21"/>
      <c r="T134" s="21"/>
      <c r="U134" s="25"/>
      <c r="V134" s="25"/>
      <c r="W134" s="26"/>
      <c r="X134" s="16" t="str">
        <f aca="false">IF(C134="","",IF(K134="",0,IF(K134&gt;=0.15,2,IF(K134&gt;=0.1,1,0)))+IF(L134="",0,IF(L134&gt;=0.12,2,IF(L134&gt;=0.08,1,0)))+(AND(N134&lt;&gt;"",N(N134)&gt;=0.15))+(AND(M134&lt;&gt;"",N(M134)&gt;=0.4)))</f>
        <v/>
      </c>
      <c r="Y134" s="16" t="str">
        <f aca="false">IF(C134="","",IF(Q134="",0,IF(Q134&gt;=0.1,2,IF(Q134&gt;=0.05,1,0)))+IF(R134="",0,IF(R134&gt;=0.08,2,IF(R134&gt;=0.04,1,0))))</f>
        <v/>
      </c>
      <c r="Z134" s="16" t="str">
        <f aca="false">IF(C134="","",IF(O134="",0,IF(O134&lt;=0.5,2,IF(O134&lt;=1,1,0)))+(AND(P134&lt;&gt;"",N(P134)&gt;=1.2)))</f>
        <v/>
      </c>
      <c r="AA134" s="16" t="str">
        <f aca="false">IF(C134="","",IF(H134="",0,IF(AND(H134&gt;0,H134&lt;=20),2,IF(AND(H134&gt;0,H134&lt;=30),1,0)))+IF(J134="",0,IF(AND(J134&gt;0,J134&lt;=20),2,IF(AND(J134&gt;0,J134&lt;=30),1,0))))</f>
        <v/>
      </c>
      <c r="AB134" s="16" t="str">
        <f aca="false">IF(C134="","",IF(OR(N(T134)&gt;=0.01,N(S134)&gt;=0.02),1,0))</f>
        <v/>
      </c>
      <c r="AC134" s="16" t="str">
        <f aca="false">IF(C134="","",MIN(2,N(U134))+MIN(2,N(V134)))</f>
        <v/>
      </c>
      <c r="AD134" s="50" t="str">
        <f aca="false">IFERROR(IF(OR(W134="",F134="",N(F134)=0),"",W134/F134-1),"")</f>
        <v/>
      </c>
      <c r="AE134" s="16" t="str">
        <f aca="false">IF(C134="","",IF(AD134="",0,IF(AD134&gt;=0.25,2,IF(AD134&gt;=0.1,1,0))))</f>
        <v/>
      </c>
      <c r="AF134" s="23" t="str">
        <f aca="false">IF(C134="","",X134+Y134+Z134+AA134+AB134+AC134+AE134)</f>
        <v/>
      </c>
      <c r="AG134" s="24" t="str">
        <f aca="false">IF(C134="","",IF(AF134&gt;=18,"A",IF(AF134&gt;=13,"B","C")))</f>
        <v/>
      </c>
      <c r="AH134" s="14" t="str">
        <f aca="false">IF(C134="","",IF(OR(AI134="Sold",AI134="Rejected"),"Closed",IF(AI134="Owned",IF(AND(ISNUMBER(W134),ISNUMBER(AL134),AL134&gt;W134*1.2),"REVIEW — price 20%+ above fair value",IF(AF134&lt;13,"REVIEW — quality score fell below 13","HOLD — re-check thesis yearly")),IF(AG134="A","Full LRC Stock Analysis",IF(AG134="B","Watch — re-check next month","Reject")))))</f>
        <v/>
      </c>
      <c r="AI134" s="35"/>
      <c r="AJ134" s="35"/>
      <c r="AK134" s="19"/>
      <c r="AL134" s="26"/>
      <c r="AM134" s="41" t="str">
        <f aca="false">IFERROR(IF(OR(AL134="",F134="",N(F134)=0),"",AL134/F134-1),"")</f>
        <v/>
      </c>
      <c r="AN134" s="35"/>
      <c r="AP134" s="43" t="str">
        <f aca="false">IF(AND(C134&lt;&gt;"",A134=$C$4,ISNUMBER(AF134)),AF134+ROW()/100000,"")</f>
        <v/>
      </c>
    </row>
    <row r="135" customFormat="false" ht="15" hidden="false" customHeight="false" outlineLevel="0" collapsed="false">
      <c r="A135" s="19"/>
      <c r="B135" s="35"/>
      <c r="C135" s="35"/>
      <c r="D135" s="35"/>
      <c r="E135" s="35"/>
      <c r="F135" s="26"/>
      <c r="G135" s="26"/>
      <c r="H135" s="49"/>
      <c r="I135" s="38"/>
      <c r="J135" s="49"/>
      <c r="K135" s="21"/>
      <c r="L135" s="21"/>
      <c r="M135" s="21"/>
      <c r="N135" s="21"/>
      <c r="O135" s="38"/>
      <c r="P135" s="38"/>
      <c r="Q135" s="21"/>
      <c r="R135" s="21"/>
      <c r="S135" s="21"/>
      <c r="T135" s="21"/>
      <c r="U135" s="25"/>
      <c r="V135" s="25"/>
      <c r="W135" s="26"/>
      <c r="X135" s="16" t="str">
        <f aca="false">IF(C135="","",IF(K135="",0,IF(K135&gt;=0.15,2,IF(K135&gt;=0.1,1,0)))+IF(L135="",0,IF(L135&gt;=0.12,2,IF(L135&gt;=0.08,1,0)))+(AND(N135&lt;&gt;"",N(N135)&gt;=0.15))+(AND(M135&lt;&gt;"",N(M135)&gt;=0.4)))</f>
        <v/>
      </c>
      <c r="Y135" s="16" t="str">
        <f aca="false">IF(C135="","",IF(Q135="",0,IF(Q135&gt;=0.1,2,IF(Q135&gt;=0.05,1,0)))+IF(R135="",0,IF(R135&gt;=0.08,2,IF(R135&gt;=0.04,1,0))))</f>
        <v/>
      </c>
      <c r="Z135" s="16" t="str">
        <f aca="false">IF(C135="","",IF(O135="",0,IF(O135&lt;=0.5,2,IF(O135&lt;=1,1,0)))+(AND(P135&lt;&gt;"",N(P135)&gt;=1.2)))</f>
        <v/>
      </c>
      <c r="AA135" s="16" t="str">
        <f aca="false">IF(C135="","",IF(H135="",0,IF(AND(H135&gt;0,H135&lt;=20),2,IF(AND(H135&gt;0,H135&lt;=30),1,0)))+IF(J135="",0,IF(AND(J135&gt;0,J135&lt;=20),2,IF(AND(J135&gt;0,J135&lt;=30),1,0))))</f>
        <v/>
      </c>
      <c r="AB135" s="16" t="str">
        <f aca="false">IF(C135="","",IF(OR(N(T135)&gt;=0.01,N(S135)&gt;=0.02),1,0))</f>
        <v/>
      </c>
      <c r="AC135" s="16" t="str">
        <f aca="false">IF(C135="","",MIN(2,N(U135))+MIN(2,N(V135)))</f>
        <v/>
      </c>
      <c r="AD135" s="50" t="str">
        <f aca="false">IFERROR(IF(OR(W135="",F135="",N(F135)=0),"",W135/F135-1),"")</f>
        <v/>
      </c>
      <c r="AE135" s="16" t="str">
        <f aca="false">IF(C135="","",IF(AD135="",0,IF(AD135&gt;=0.25,2,IF(AD135&gt;=0.1,1,0))))</f>
        <v/>
      </c>
      <c r="AF135" s="23" t="str">
        <f aca="false">IF(C135="","",X135+Y135+Z135+AA135+AB135+AC135+AE135)</f>
        <v/>
      </c>
      <c r="AG135" s="24" t="str">
        <f aca="false">IF(C135="","",IF(AF135&gt;=18,"A",IF(AF135&gt;=13,"B","C")))</f>
        <v/>
      </c>
      <c r="AH135" s="14" t="str">
        <f aca="false">IF(C135="","",IF(OR(AI135="Sold",AI135="Rejected"),"Closed",IF(AI135="Owned",IF(AND(ISNUMBER(W135),ISNUMBER(AL135),AL135&gt;W135*1.2),"REVIEW — price 20%+ above fair value",IF(AF135&lt;13,"REVIEW — quality score fell below 13","HOLD — re-check thesis yearly")),IF(AG135="A","Full LRC Stock Analysis",IF(AG135="B","Watch — re-check next month","Reject")))))</f>
        <v/>
      </c>
      <c r="AI135" s="35"/>
      <c r="AJ135" s="35"/>
      <c r="AK135" s="19"/>
      <c r="AL135" s="26"/>
      <c r="AM135" s="41" t="str">
        <f aca="false">IFERROR(IF(OR(AL135="",F135="",N(F135)=0),"",AL135/F135-1),"")</f>
        <v/>
      </c>
      <c r="AN135" s="35"/>
      <c r="AP135" s="43" t="str">
        <f aca="false">IF(AND(C135&lt;&gt;"",A135=$C$4,ISNUMBER(AF135)),AF135+ROW()/100000,"")</f>
        <v/>
      </c>
    </row>
    <row r="136" customFormat="false" ht="15" hidden="false" customHeight="false" outlineLevel="0" collapsed="false">
      <c r="A136" s="19"/>
      <c r="B136" s="35"/>
      <c r="C136" s="35"/>
      <c r="D136" s="35"/>
      <c r="E136" s="35"/>
      <c r="F136" s="26"/>
      <c r="G136" s="26"/>
      <c r="H136" s="49"/>
      <c r="I136" s="38"/>
      <c r="J136" s="49"/>
      <c r="K136" s="21"/>
      <c r="L136" s="21"/>
      <c r="M136" s="21"/>
      <c r="N136" s="21"/>
      <c r="O136" s="38"/>
      <c r="P136" s="38"/>
      <c r="Q136" s="21"/>
      <c r="R136" s="21"/>
      <c r="S136" s="21"/>
      <c r="T136" s="21"/>
      <c r="U136" s="25"/>
      <c r="V136" s="25"/>
      <c r="W136" s="26"/>
      <c r="X136" s="16" t="str">
        <f aca="false">IF(C136="","",IF(K136="",0,IF(K136&gt;=0.15,2,IF(K136&gt;=0.1,1,0)))+IF(L136="",0,IF(L136&gt;=0.12,2,IF(L136&gt;=0.08,1,0)))+(AND(N136&lt;&gt;"",N(N136)&gt;=0.15))+(AND(M136&lt;&gt;"",N(M136)&gt;=0.4)))</f>
        <v/>
      </c>
      <c r="Y136" s="16" t="str">
        <f aca="false">IF(C136="","",IF(Q136="",0,IF(Q136&gt;=0.1,2,IF(Q136&gt;=0.05,1,0)))+IF(R136="",0,IF(R136&gt;=0.08,2,IF(R136&gt;=0.04,1,0))))</f>
        <v/>
      </c>
      <c r="Z136" s="16" t="str">
        <f aca="false">IF(C136="","",IF(O136="",0,IF(O136&lt;=0.5,2,IF(O136&lt;=1,1,0)))+(AND(P136&lt;&gt;"",N(P136)&gt;=1.2)))</f>
        <v/>
      </c>
      <c r="AA136" s="16" t="str">
        <f aca="false">IF(C136="","",IF(H136="",0,IF(AND(H136&gt;0,H136&lt;=20),2,IF(AND(H136&gt;0,H136&lt;=30),1,0)))+IF(J136="",0,IF(AND(J136&gt;0,J136&lt;=20),2,IF(AND(J136&gt;0,J136&lt;=30),1,0))))</f>
        <v/>
      </c>
      <c r="AB136" s="16" t="str">
        <f aca="false">IF(C136="","",IF(OR(N(T136)&gt;=0.01,N(S136)&gt;=0.02),1,0))</f>
        <v/>
      </c>
      <c r="AC136" s="16" t="str">
        <f aca="false">IF(C136="","",MIN(2,N(U136))+MIN(2,N(V136)))</f>
        <v/>
      </c>
      <c r="AD136" s="50" t="str">
        <f aca="false">IFERROR(IF(OR(W136="",F136="",N(F136)=0),"",W136/F136-1),"")</f>
        <v/>
      </c>
      <c r="AE136" s="16" t="str">
        <f aca="false">IF(C136="","",IF(AD136="",0,IF(AD136&gt;=0.25,2,IF(AD136&gt;=0.1,1,0))))</f>
        <v/>
      </c>
      <c r="AF136" s="23" t="str">
        <f aca="false">IF(C136="","",X136+Y136+Z136+AA136+AB136+AC136+AE136)</f>
        <v/>
      </c>
      <c r="AG136" s="24" t="str">
        <f aca="false">IF(C136="","",IF(AF136&gt;=18,"A",IF(AF136&gt;=13,"B","C")))</f>
        <v/>
      </c>
      <c r="AH136" s="14" t="str">
        <f aca="false">IF(C136="","",IF(OR(AI136="Sold",AI136="Rejected"),"Closed",IF(AI136="Owned",IF(AND(ISNUMBER(W136),ISNUMBER(AL136),AL136&gt;W136*1.2),"REVIEW — price 20%+ above fair value",IF(AF136&lt;13,"REVIEW — quality score fell below 13","HOLD — re-check thesis yearly")),IF(AG136="A","Full LRC Stock Analysis",IF(AG136="B","Watch — re-check next month","Reject")))))</f>
        <v/>
      </c>
      <c r="AI136" s="35"/>
      <c r="AJ136" s="35"/>
      <c r="AK136" s="19"/>
      <c r="AL136" s="26"/>
      <c r="AM136" s="41" t="str">
        <f aca="false">IFERROR(IF(OR(AL136="",F136="",N(F136)=0),"",AL136/F136-1),"")</f>
        <v/>
      </c>
      <c r="AN136" s="35"/>
      <c r="AP136" s="43" t="str">
        <f aca="false">IF(AND(C136&lt;&gt;"",A136=$C$4,ISNUMBER(AF136)),AF136+ROW()/100000,"")</f>
        <v/>
      </c>
    </row>
    <row r="137" customFormat="false" ht="15" hidden="false" customHeight="false" outlineLevel="0" collapsed="false">
      <c r="A137" s="19"/>
      <c r="B137" s="35"/>
      <c r="C137" s="35"/>
      <c r="D137" s="35"/>
      <c r="E137" s="35"/>
      <c r="F137" s="26"/>
      <c r="G137" s="26"/>
      <c r="H137" s="49"/>
      <c r="I137" s="38"/>
      <c r="J137" s="49"/>
      <c r="K137" s="21"/>
      <c r="L137" s="21"/>
      <c r="M137" s="21"/>
      <c r="N137" s="21"/>
      <c r="O137" s="38"/>
      <c r="P137" s="38"/>
      <c r="Q137" s="21"/>
      <c r="R137" s="21"/>
      <c r="S137" s="21"/>
      <c r="T137" s="21"/>
      <c r="U137" s="25"/>
      <c r="V137" s="25"/>
      <c r="W137" s="26"/>
      <c r="X137" s="16" t="str">
        <f aca="false">IF(C137="","",IF(K137="",0,IF(K137&gt;=0.15,2,IF(K137&gt;=0.1,1,0)))+IF(L137="",0,IF(L137&gt;=0.12,2,IF(L137&gt;=0.08,1,0)))+(AND(N137&lt;&gt;"",N(N137)&gt;=0.15))+(AND(M137&lt;&gt;"",N(M137)&gt;=0.4)))</f>
        <v/>
      </c>
      <c r="Y137" s="16" t="str">
        <f aca="false">IF(C137="","",IF(Q137="",0,IF(Q137&gt;=0.1,2,IF(Q137&gt;=0.05,1,0)))+IF(R137="",0,IF(R137&gt;=0.08,2,IF(R137&gt;=0.04,1,0))))</f>
        <v/>
      </c>
      <c r="Z137" s="16" t="str">
        <f aca="false">IF(C137="","",IF(O137="",0,IF(O137&lt;=0.5,2,IF(O137&lt;=1,1,0)))+(AND(P137&lt;&gt;"",N(P137)&gt;=1.2)))</f>
        <v/>
      </c>
      <c r="AA137" s="16" t="str">
        <f aca="false">IF(C137="","",IF(H137="",0,IF(AND(H137&gt;0,H137&lt;=20),2,IF(AND(H137&gt;0,H137&lt;=30),1,0)))+IF(J137="",0,IF(AND(J137&gt;0,J137&lt;=20),2,IF(AND(J137&gt;0,J137&lt;=30),1,0))))</f>
        <v/>
      </c>
      <c r="AB137" s="16" t="str">
        <f aca="false">IF(C137="","",IF(OR(N(T137)&gt;=0.01,N(S137)&gt;=0.02),1,0))</f>
        <v/>
      </c>
      <c r="AC137" s="16" t="str">
        <f aca="false">IF(C137="","",MIN(2,N(U137))+MIN(2,N(V137)))</f>
        <v/>
      </c>
      <c r="AD137" s="50" t="str">
        <f aca="false">IFERROR(IF(OR(W137="",F137="",N(F137)=0),"",W137/F137-1),"")</f>
        <v/>
      </c>
      <c r="AE137" s="16" t="str">
        <f aca="false">IF(C137="","",IF(AD137="",0,IF(AD137&gt;=0.25,2,IF(AD137&gt;=0.1,1,0))))</f>
        <v/>
      </c>
      <c r="AF137" s="23" t="str">
        <f aca="false">IF(C137="","",X137+Y137+Z137+AA137+AB137+AC137+AE137)</f>
        <v/>
      </c>
      <c r="AG137" s="24" t="str">
        <f aca="false">IF(C137="","",IF(AF137&gt;=18,"A",IF(AF137&gt;=13,"B","C")))</f>
        <v/>
      </c>
      <c r="AH137" s="14" t="str">
        <f aca="false">IF(C137="","",IF(OR(AI137="Sold",AI137="Rejected"),"Closed",IF(AI137="Owned",IF(AND(ISNUMBER(W137),ISNUMBER(AL137),AL137&gt;W137*1.2),"REVIEW — price 20%+ above fair value",IF(AF137&lt;13,"REVIEW — quality score fell below 13","HOLD — re-check thesis yearly")),IF(AG137="A","Full LRC Stock Analysis",IF(AG137="B","Watch — re-check next month","Reject")))))</f>
        <v/>
      </c>
      <c r="AI137" s="35"/>
      <c r="AJ137" s="35"/>
      <c r="AK137" s="19"/>
      <c r="AL137" s="26"/>
      <c r="AM137" s="41" t="str">
        <f aca="false">IFERROR(IF(OR(AL137="",F137="",N(F137)=0),"",AL137/F137-1),"")</f>
        <v/>
      </c>
      <c r="AN137" s="35"/>
      <c r="AP137" s="43" t="str">
        <f aca="false">IF(AND(C137&lt;&gt;"",A137=$C$4,ISNUMBER(AF137)),AF137+ROW()/100000,"")</f>
        <v/>
      </c>
    </row>
    <row r="138" customFormat="false" ht="15" hidden="false" customHeight="false" outlineLevel="0" collapsed="false">
      <c r="A138" s="19"/>
      <c r="B138" s="35"/>
      <c r="C138" s="35"/>
      <c r="D138" s="35"/>
      <c r="E138" s="35"/>
      <c r="F138" s="26"/>
      <c r="G138" s="26"/>
      <c r="H138" s="49"/>
      <c r="I138" s="38"/>
      <c r="J138" s="49"/>
      <c r="K138" s="21"/>
      <c r="L138" s="21"/>
      <c r="M138" s="21"/>
      <c r="N138" s="21"/>
      <c r="O138" s="38"/>
      <c r="P138" s="38"/>
      <c r="Q138" s="21"/>
      <c r="R138" s="21"/>
      <c r="S138" s="21"/>
      <c r="T138" s="21"/>
      <c r="U138" s="25"/>
      <c r="V138" s="25"/>
      <c r="W138" s="26"/>
      <c r="X138" s="16" t="str">
        <f aca="false">IF(C138="","",IF(K138="",0,IF(K138&gt;=0.15,2,IF(K138&gt;=0.1,1,0)))+IF(L138="",0,IF(L138&gt;=0.12,2,IF(L138&gt;=0.08,1,0)))+(AND(N138&lt;&gt;"",N(N138)&gt;=0.15))+(AND(M138&lt;&gt;"",N(M138)&gt;=0.4)))</f>
        <v/>
      </c>
      <c r="Y138" s="16" t="str">
        <f aca="false">IF(C138="","",IF(Q138="",0,IF(Q138&gt;=0.1,2,IF(Q138&gt;=0.05,1,0)))+IF(R138="",0,IF(R138&gt;=0.08,2,IF(R138&gt;=0.04,1,0))))</f>
        <v/>
      </c>
      <c r="Z138" s="16" t="str">
        <f aca="false">IF(C138="","",IF(O138="",0,IF(O138&lt;=0.5,2,IF(O138&lt;=1,1,0)))+(AND(P138&lt;&gt;"",N(P138)&gt;=1.2)))</f>
        <v/>
      </c>
      <c r="AA138" s="16" t="str">
        <f aca="false">IF(C138="","",IF(H138="",0,IF(AND(H138&gt;0,H138&lt;=20),2,IF(AND(H138&gt;0,H138&lt;=30),1,0)))+IF(J138="",0,IF(AND(J138&gt;0,J138&lt;=20),2,IF(AND(J138&gt;0,J138&lt;=30),1,0))))</f>
        <v/>
      </c>
      <c r="AB138" s="16" t="str">
        <f aca="false">IF(C138="","",IF(OR(N(T138)&gt;=0.01,N(S138)&gt;=0.02),1,0))</f>
        <v/>
      </c>
      <c r="AC138" s="16" t="str">
        <f aca="false">IF(C138="","",MIN(2,N(U138))+MIN(2,N(V138)))</f>
        <v/>
      </c>
      <c r="AD138" s="50" t="str">
        <f aca="false">IFERROR(IF(OR(W138="",F138="",N(F138)=0),"",W138/F138-1),"")</f>
        <v/>
      </c>
      <c r="AE138" s="16" t="str">
        <f aca="false">IF(C138="","",IF(AD138="",0,IF(AD138&gt;=0.25,2,IF(AD138&gt;=0.1,1,0))))</f>
        <v/>
      </c>
      <c r="AF138" s="23" t="str">
        <f aca="false">IF(C138="","",X138+Y138+Z138+AA138+AB138+AC138+AE138)</f>
        <v/>
      </c>
      <c r="AG138" s="24" t="str">
        <f aca="false">IF(C138="","",IF(AF138&gt;=18,"A",IF(AF138&gt;=13,"B","C")))</f>
        <v/>
      </c>
      <c r="AH138" s="14" t="str">
        <f aca="false">IF(C138="","",IF(OR(AI138="Sold",AI138="Rejected"),"Closed",IF(AI138="Owned",IF(AND(ISNUMBER(W138),ISNUMBER(AL138),AL138&gt;W138*1.2),"REVIEW — price 20%+ above fair value",IF(AF138&lt;13,"REVIEW — quality score fell below 13","HOLD — re-check thesis yearly")),IF(AG138="A","Full LRC Stock Analysis",IF(AG138="B","Watch — re-check next month","Reject")))))</f>
        <v/>
      </c>
      <c r="AI138" s="35"/>
      <c r="AJ138" s="35"/>
      <c r="AK138" s="19"/>
      <c r="AL138" s="26"/>
      <c r="AM138" s="41" t="str">
        <f aca="false">IFERROR(IF(OR(AL138="",F138="",N(F138)=0),"",AL138/F138-1),"")</f>
        <v/>
      </c>
      <c r="AN138" s="35"/>
      <c r="AP138" s="43" t="str">
        <f aca="false">IF(AND(C138&lt;&gt;"",A138=$C$4,ISNUMBER(AF138)),AF138+ROW()/100000,"")</f>
        <v/>
      </c>
    </row>
    <row r="139" customFormat="false" ht="15" hidden="false" customHeight="false" outlineLevel="0" collapsed="false">
      <c r="A139" s="19"/>
      <c r="B139" s="35"/>
      <c r="C139" s="35"/>
      <c r="D139" s="35"/>
      <c r="E139" s="35"/>
      <c r="F139" s="26"/>
      <c r="G139" s="26"/>
      <c r="H139" s="49"/>
      <c r="I139" s="38"/>
      <c r="J139" s="49"/>
      <c r="K139" s="21"/>
      <c r="L139" s="21"/>
      <c r="M139" s="21"/>
      <c r="N139" s="21"/>
      <c r="O139" s="38"/>
      <c r="P139" s="38"/>
      <c r="Q139" s="21"/>
      <c r="R139" s="21"/>
      <c r="S139" s="21"/>
      <c r="T139" s="21"/>
      <c r="U139" s="25"/>
      <c r="V139" s="25"/>
      <c r="W139" s="26"/>
      <c r="X139" s="16" t="str">
        <f aca="false">IF(C139="","",IF(K139="",0,IF(K139&gt;=0.15,2,IF(K139&gt;=0.1,1,0)))+IF(L139="",0,IF(L139&gt;=0.12,2,IF(L139&gt;=0.08,1,0)))+(AND(N139&lt;&gt;"",N(N139)&gt;=0.15))+(AND(M139&lt;&gt;"",N(M139)&gt;=0.4)))</f>
        <v/>
      </c>
      <c r="Y139" s="16" t="str">
        <f aca="false">IF(C139="","",IF(Q139="",0,IF(Q139&gt;=0.1,2,IF(Q139&gt;=0.05,1,0)))+IF(R139="",0,IF(R139&gt;=0.08,2,IF(R139&gt;=0.04,1,0))))</f>
        <v/>
      </c>
      <c r="Z139" s="16" t="str">
        <f aca="false">IF(C139="","",IF(O139="",0,IF(O139&lt;=0.5,2,IF(O139&lt;=1,1,0)))+(AND(P139&lt;&gt;"",N(P139)&gt;=1.2)))</f>
        <v/>
      </c>
      <c r="AA139" s="16" t="str">
        <f aca="false">IF(C139="","",IF(H139="",0,IF(AND(H139&gt;0,H139&lt;=20),2,IF(AND(H139&gt;0,H139&lt;=30),1,0)))+IF(J139="",0,IF(AND(J139&gt;0,J139&lt;=20),2,IF(AND(J139&gt;0,J139&lt;=30),1,0))))</f>
        <v/>
      </c>
      <c r="AB139" s="16" t="str">
        <f aca="false">IF(C139="","",IF(OR(N(T139)&gt;=0.01,N(S139)&gt;=0.02),1,0))</f>
        <v/>
      </c>
      <c r="AC139" s="16" t="str">
        <f aca="false">IF(C139="","",MIN(2,N(U139))+MIN(2,N(V139)))</f>
        <v/>
      </c>
      <c r="AD139" s="50" t="str">
        <f aca="false">IFERROR(IF(OR(W139="",F139="",N(F139)=0),"",W139/F139-1),"")</f>
        <v/>
      </c>
      <c r="AE139" s="16" t="str">
        <f aca="false">IF(C139="","",IF(AD139="",0,IF(AD139&gt;=0.25,2,IF(AD139&gt;=0.1,1,0))))</f>
        <v/>
      </c>
      <c r="AF139" s="23" t="str">
        <f aca="false">IF(C139="","",X139+Y139+Z139+AA139+AB139+AC139+AE139)</f>
        <v/>
      </c>
      <c r="AG139" s="24" t="str">
        <f aca="false">IF(C139="","",IF(AF139&gt;=18,"A",IF(AF139&gt;=13,"B","C")))</f>
        <v/>
      </c>
      <c r="AH139" s="14" t="str">
        <f aca="false">IF(C139="","",IF(OR(AI139="Sold",AI139="Rejected"),"Closed",IF(AI139="Owned",IF(AND(ISNUMBER(W139),ISNUMBER(AL139),AL139&gt;W139*1.2),"REVIEW — price 20%+ above fair value",IF(AF139&lt;13,"REVIEW — quality score fell below 13","HOLD — re-check thesis yearly")),IF(AG139="A","Full LRC Stock Analysis",IF(AG139="B","Watch — re-check next month","Reject")))))</f>
        <v/>
      </c>
      <c r="AI139" s="35"/>
      <c r="AJ139" s="35"/>
      <c r="AK139" s="19"/>
      <c r="AL139" s="26"/>
      <c r="AM139" s="41" t="str">
        <f aca="false">IFERROR(IF(OR(AL139="",F139="",N(F139)=0),"",AL139/F139-1),"")</f>
        <v/>
      </c>
      <c r="AN139" s="35"/>
      <c r="AP139" s="43" t="str">
        <f aca="false">IF(AND(C139&lt;&gt;"",A139=$C$4,ISNUMBER(AF139)),AF139+ROW()/100000,"")</f>
        <v/>
      </c>
    </row>
    <row r="140" customFormat="false" ht="15" hidden="false" customHeight="false" outlineLevel="0" collapsed="false">
      <c r="A140" s="19"/>
      <c r="B140" s="35"/>
      <c r="C140" s="35"/>
      <c r="D140" s="35"/>
      <c r="E140" s="35"/>
      <c r="F140" s="26"/>
      <c r="G140" s="26"/>
      <c r="H140" s="49"/>
      <c r="I140" s="38"/>
      <c r="J140" s="49"/>
      <c r="K140" s="21"/>
      <c r="L140" s="21"/>
      <c r="M140" s="21"/>
      <c r="N140" s="21"/>
      <c r="O140" s="38"/>
      <c r="P140" s="38"/>
      <c r="Q140" s="21"/>
      <c r="R140" s="21"/>
      <c r="S140" s="21"/>
      <c r="T140" s="21"/>
      <c r="U140" s="25"/>
      <c r="V140" s="25"/>
      <c r="W140" s="26"/>
      <c r="X140" s="16" t="str">
        <f aca="false">IF(C140="","",IF(K140="",0,IF(K140&gt;=0.15,2,IF(K140&gt;=0.1,1,0)))+IF(L140="",0,IF(L140&gt;=0.12,2,IF(L140&gt;=0.08,1,0)))+(AND(N140&lt;&gt;"",N(N140)&gt;=0.15))+(AND(M140&lt;&gt;"",N(M140)&gt;=0.4)))</f>
        <v/>
      </c>
      <c r="Y140" s="16" t="str">
        <f aca="false">IF(C140="","",IF(Q140="",0,IF(Q140&gt;=0.1,2,IF(Q140&gt;=0.05,1,0)))+IF(R140="",0,IF(R140&gt;=0.08,2,IF(R140&gt;=0.04,1,0))))</f>
        <v/>
      </c>
      <c r="Z140" s="16" t="str">
        <f aca="false">IF(C140="","",IF(O140="",0,IF(O140&lt;=0.5,2,IF(O140&lt;=1,1,0)))+(AND(P140&lt;&gt;"",N(P140)&gt;=1.2)))</f>
        <v/>
      </c>
      <c r="AA140" s="16" t="str">
        <f aca="false">IF(C140="","",IF(H140="",0,IF(AND(H140&gt;0,H140&lt;=20),2,IF(AND(H140&gt;0,H140&lt;=30),1,0)))+IF(J140="",0,IF(AND(J140&gt;0,J140&lt;=20),2,IF(AND(J140&gt;0,J140&lt;=30),1,0))))</f>
        <v/>
      </c>
      <c r="AB140" s="16" t="str">
        <f aca="false">IF(C140="","",IF(OR(N(T140)&gt;=0.01,N(S140)&gt;=0.02),1,0))</f>
        <v/>
      </c>
      <c r="AC140" s="16" t="str">
        <f aca="false">IF(C140="","",MIN(2,N(U140))+MIN(2,N(V140)))</f>
        <v/>
      </c>
      <c r="AD140" s="50" t="str">
        <f aca="false">IFERROR(IF(OR(W140="",F140="",N(F140)=0),"",W140/F140-1),"")</f>
        <v/>
      </c>
      <c r="AE140" s="16" t="str">
        <f aca="false">IF(C140="","",IF(AD140="",0,IF(AD140&gt;=0.25,2,IF(AD140&gt;=0.1,1,0))))</f>
        <v/>
      </c>
      <c r="AF140" s="23" t="str">
        <f aca="false">IF(C140="","",X140+Y140+Z140+AA140+AB140+AC140+AE140)</f>
        <v/>
      </c>
      <c r="AG140" s="24" t="str">
        <f aca="false">IF(C140="","",IF(AF140&gt;=18,"A",IF(AF140&gt;=13,"B","C")))</f>
        <v/>
      </c>
      <c r="AH140" s="14" t="str">
        <f aca="false">IF(C140="","",IF(OR(AI140="Sold",AI140="Rejected"),"Closed",IF(AI140="Owned",IF(AND(ISNUMBER(W140),ISNUMBER(AL140),AL140&gt;W140*1.2),"REVIEW — price 20%+ above fair value",IF(AF140&lt;13,"REVIEW — quality score fell below 13","HOLD — re-check thesis yearly")),IF(AG140="A","Full LRC Stock Analysis",IF(AG140="B","Watch — re-check next month","Reject")))))</f>
        <v/>
      </c>
      <c r="AI140" s="35"/>
      <c r="AJ140" s="35"/>
      <c r="AK140" s="19"/>
      <c r="AL140" s="26"/>
      <c r="AM140" s="41" t="str">
        <f aca="false">IFERROR(IF(OR(AL140="",F140="",N(F140)=0),"",AL140/F140-1),"")</f>
        <v/>
      </c>
      <c r="AN140" s="35"/>
      <c r="AP140" s="43" t="str">
        <f aca="false">IF(AND(C140&lt;&gt;"",A140=$C$4,ISNUMBER(AF140)),AF140+ROW()/100000,"")</f>
        <v/>
      </c>
    </row>
    <row r="141" customFormat="false" ht="15" hidden="false" customHeight="false" outlineLevel="0" collapsed="false">
      <c r="A141" s="19"/>
      <c r="B141" s="35"/>
      <c r="C141" s="35"/>
      <c r="D141" s="35"/>
      <c r="E141" s="35"/>
      <c r="F141" s="26"/>
      <c r="G141" s="26"/>
      <c r="H141" s="49"/>
      <c r="I141" s="38"/>
      <c r="J141" s="49"/>
      <c r="K141" s="21"/>
      <c r="L141" s="21"/>
      <c r="M141" s="21"/>
      <c r="N141" s="21"/>
      <c r="O141" s="38"/>
      <c r="P141" s="38"/>
      <c r="Q141" s="21"/>
      <c r="R141" s="21"/>
      <c r="S141" s="21"/>
      <c r="T141" s="21"/>
      <c r="U141" s="25"/>
      <c r="V141" s="25"/>
      <c r="W141" s="26"/>
      <c r="X141" s="16" t="str">
        <f aca="false">IF(C141="","",IF(K141="",0,IF(K141&gt;=0.15,2,IF(K141&gt;=0.1,1,0)))+IF(L141="",0,IF(L141&gt;=0.12,2,IF(L141&gt;=0.08,1,0)))+(AND(N141&lt;&gt;"",N(N141)&gt;=0.15))+(AND(M141&lt;&gt;"",N(M141)&gt;=0.4)))</f>
        <v/>
      </c>
      <c r="Y141" s="16" t="str">
        <f aca="false">IF(C141="","",IF(Q141="",0,IF(Q141&gt;=0.1,2,IF(Q141&gt;=0.05,1,0)))+IF(R141="",0,IF(R141&gt;=0.08,2,IF(R141&gt;=0.04,1,0))))</f>
        <v/>
      </c>
      <c r="Z141" s="16" t="str">
        <f aca="false">IF(C141="","",IF(O141="",0,IF(O141&lt;=0.5,2,IF(O141&lt;=1,1,0)))+(AND(P141&lt;&gt;"",N(P141)&gt;=1.2)))</f>
        <v/>
      </c>
      <c r="AA141" s="16" t="str">
        <f aca="false">IF(C141="","",IF(H141="",0,IF(AND(H141&gt;0,H141&lt;=20),2,IF(AND(H141&gt;0,H141&lt;=30),1,0)))+IF(J141="",0,IF(AND(J141&gt;0,J141&lt;=20),2,IF(AND(J141&gt;0,J141&lt;=30),1,0))))</f>
        <v/>
      </c>
      <c r="AB141" s="16" t="str">
        <f aca="false">IF(C141="","",IF(OR(N(T141)&gt;=0.01,N(S141)&gt;=0.02),1,0))</f>
        <v/>
      </c>
      <c r="AC141" s="16" t="str">
        <f aca="false">IF(C141="","",MIN(2,N(U141))+MIN(2,N(V141)))</f>
        <v/>
      </c>
      <c r="AD141" s="50" t="str">
        <f aca="false">IFERROR(IF(OR(W141="",F141="",N(F141)=0),"",W141/F141-1),"")</f>
        <v/>
      </c>
      <c r="AE141" s="16" t="str">
        <f aca="false">IF(C141="","",IF(AD141="",0,IF(AD141&gt;=0.25,2,IF(AD141&gt;=0.1,1,0))))</f>
        <v/>
      </c>
      <c r="AF141" s="23" t="str">
        <f aca="false">IF(C141="","",X141+Y141+Z141+AA141+AB141+AC141+AE141)</f>
        <v/>
      </c>
      <c r="AG141" s="24" t="str">
        <f aca="false">IF(C141="","",IF(AF141&gt;=18,"A",IF(AF141&gt;=13,"B","C")))</f>
        <v/>
      </c>
      <c r="AH141" s="14" t="str">
        <f aca="false">IF(C141="","",IF(OR(AI141="Sold",AI141="Rejected"),"Closed",IF(AI141="Owned",IF(AND(ISNUMBER(W141),ISNUMBER(AL141),AL141&gt;W141*1.2),"REVIEW — price 20%+ above fair value",IF(AF141&lt;13,"REVIEW — quality score fell below 13","HOLD — re-check thesis yearly")),IF(AG141="A","Full LRC Stock Analysis",IF(AG141="B","Watch — re-check next month","Reject")))))</f>
        <v/>
      </c>
      <c r="AI141" s="35"/>
      <c r="AJ141" s="35"/>
      <c r="AK141" s="19"/>
      <c r="AL141" s="26"/>
      <c r="AM141" s="41" t="str">
        <f aca="false">IFERROR(IF(OR(AL141="",F141="",N(F141)=0),"",AL141/F141-1),"")</f>
        <v/>
      </c>
      <c r="AN141" s="35"/>
      <c r="AP141" s="43" t="str">
        <f aca="false">IF(AND(C141&lt;&gt;"",A141=$C$4,ISNUMBER(AF141)),AF141+ROW()/100000,"")</f>
        <v/>
      </c>
    </row>
    <row r="142" customFormat="false" ht="15" hidden="false" customHeight="false" outlineLevel="0" collapsed="false">
      <c r="A142" s="19"/>
      <c r="B142" s="35"/>
      <c r="C142" s="35"/>
      <c r="D142" s="35"/>
      <c r="E142" s="35"/>
      <c r="F142" s="26"/>
      <c r="G142" s="26"/>
      <c r="H142" s="49"/>
      <c r="I142" s="38"/>
      <c r="J142" s="49"/>
      <c r="K142" s="21"/>
      <c r="L142" s="21"/>
      <c r="M142" s="21"/>
      <c r="N142" s="21"/>
      <c r="O142" s="38"/>
      <c r="P142" s="38"/>
      <c r="Q142" s="21"/>
      <c r="R142" s="21"/>
      <c r="S142" s="21"/>
      <c r="T142" s="21"/>
      <c r="U142" s="25"/>
      <c r="V142" s="25"/>
      <c r="W142" s="26"/>
      <c r="X142" s="16" t="str">
        <f aca="false">IF(C142="","",IF(K142="",0,IF(K142&gt;=0.15,2,IF(K142&gt;=0.1,1,0)))+IF(L142="",0,IF(L142&gt;=0.12,2,IF(L142&gt;=0.08,1,0)))+(AND(N142&lt;&gt;"",N(N142)&gt;=0.15))+(AND(M142&lt;&gt;"",N(M142)&gt;=0.4)))</f>
        <v/>
      </c>
      <c r="Y142" s="16" t="str">
        <f aca="false">IF(C142="","",IF(Q142="",0,IF(Q142&gt;=0.1,2,IF(Q142&gt;=0.05,1,0)))+IF(R142="",0,IF(R142&gt;=0.08,2,IF(R142&gt;=0.04,1,0))))</f>
        <v/>
      </c>
      <c r="Z142" s="16" t="str">
        <f aca="false">IF(C142="","",IF(O142="",0,IF(O142&lt;=0.5,2,IF(O142&lt;=1,1,0)))+(AND(P142&lt;&gt;"",N(P142)&gt;=1.2)))</f>
        <v/>
      </c>
      <c r="AA142" s="16" t="str">
        <f aca="false">IF(C142="","",IF(H142="",0,IF(AND(H142&gt;0,H142&lt;=20),2,IF(AND(H142&gt;0,H142&lt;=30),1,0)))+IF(J142="",0,IF(AND(J142&gt;0,J142&lt;=20),2,IF(AND(J142&gt;0,J142&lt;=30),1,0))))</f>
        <v/>
      </c>
      <c r="AB142" s="16" t="str">
        <f aca="false">IF(C142="","",IF(OR(N(T142)&gt;=0.01,N(S142)&gt;=0.02),1,0))</f>
        <v/>
      </c>
      <c r="AC142" s="16" t="str">
        <f aca="false">IF(C142="","",MIN(2,N(U142))+MIN(2,N(V142)))</f>
        <v/>
      </c>
      <c r="AD142" s="50" t="str">
        <f aca="false">IFERROR(IF(OR(W142="",F142="",N(F142)=0),"",W142/F142-1),"")</f>
        <v/>
      </c>
      <c r="AE142" s="16" t="str">
        <f aca="false">IF(C142="","",IF(AD142="",0,IF(AD142&gt;=0.25,2,IF(AD142&gt;=0.1,1,0))))</f>
        <v/>
      </c>
      <c r="AF142" s="23" t="str">
        <f aca="false">IF(C142="","",X142+Y142+Z142+AA142+AB142+AC142+AE142)</f>
        <v/>
      </c>
      <c r="AG142" s="24" t="str">
        <f aca="false">IF(C142="","",IF(AF142&gt;=18,"A",IF(AF142&gt;=13,"B","C")))</f>
        <v/>
      </c>
      <c r="AH142" s="14" t="str">
        <f aca="false">IF(C142="","",IF(OR(AI142="Sold",AI142="Rejected"),"Closed",IF(AI142="Owned",IF(AND(ISNUMBER(W142),ISNUMBER(AL142),AL142&gt;W142*1.2),"REVIEW — price 20%+ above fair value",IF(AF142&lt;13,"REVIEW — quality score fell below 13","HOLD — re-check thesis yearly")),IF(AG142="A","Full LRC Stock Analysis",IF(AG142="B","Watch — re-check next month","Reject")))))</f>
        <v/>
      </c>
      <c r="AI142" s="35"/>
      <c r="AJ142" s="35"/>
      <c r="AK142" s="19"/>
      <c r="AL142" s="26"/>
      <c r="AM142" s="41" t="str">
        <f aca="false">IFERROR(IF(OR(AL142="",F142="",N(F142)=0),"",AL142/F142-1),"")</f>
        <v/>
      </c>
      <c r="AN142" s="35"/>
      <c r="AP142" s="43" t="str">
        <f aca="false">IF(AND(C142&lt;&gt;"",A142=$C$4,ISNUMBER(AF142)),AF142+ROW()/100000,"")</f>
        <v/>
      </c>
    </row>
    <row r="143" customFormat="false" ht="15" hidden="false" customHeight="false" outlineLevel="0" collapsed="false">
      <c r="A143" s="19"/>
      <c r="B143" s="35"/>
      <c r="C143" s="35"/>
      <c r="D143" s="35"/>
      <c r="E143" s="35"/>
      <c r="F143" s="26"/>
      <c r="G143" s="26"/>
      <c r="H143" s="49"/>
      <c r="I143" s="38"/>
      <c r="J143" s="49"/>
      <c r="K143" s="21"/>
      <c r="L143" s="21"/>
      <c r="M143" s="21"/>
      <c r="N143" s="21"/>
      <c r="O143" s="38"/>
      <c r="P143" s="38"/>
      <c r="Q143" s="21"/>
      <c r="R143" s="21"/>
      <c r="S143" s="21"/>
      <c r="T143" s="21"/>
      <c r="U143" s="25"/>
      <c r="V143" s="25"/>
      <c r="W143" s="26"/>
      <c r="X143" s="16" t="str">
        <f aca="false">IF(C143="","",IF(K143="",0,IF(K143&gt;=0.15,2,IF(K143&gt;=0.1,1,0)))+IF(L143="",0,IF(L143&gt;=0.12,2,IF(L143&gt;=0.08,1,0)))+(AND(N143&lt;&gt;"",N(N143)&gt;=0.15))+(AND(M143&lt;&gt;"",N(M143)&gt;=0.4)))</f>
        <v/>
      </c>
      <c r="Y143" s="16" t="str">
        <f aca="false">IF(C143="","",IF(Q143="",0,IF(Q143&gt;=0.1,2,IF(Q143&gt;=0.05,1,0)))+IF(R143="",0,IF(R143&gt;=0.08,2,IF(R143&gt;=0.04,1,0))))</f>
        <v/>
      </c>
      <c r="Z143" s="16" t="str">
        <f aca="false">IF(C143="","",IF(O143="",0,IF(O143&lt;=0.5,2,IF(O143&lt;=1,1,0)))+(AND(P143&lt;&gt;"",N(P143)&gt;=1.2)))</f>
        <v/>
      </c>
      <c r="AA143" s="16" t="str">
        <f aca="false">IF(C143="","",IF(H143="",0,IF(AND(H143&gt;0,H143&lt;=20),2,IF(AND(H143&gt;0,H143&lt;=30),1,0)))+IF(J143="",0,IF(AND(J143&gt;0,J143&lt;=20),2,IF(AND(J143&gt;0,J143&lt;=30),1,0))))</f>
        <v/>
      </c>
      <c r="AB143" s="16" t="str">
        <f aca="false">IF(C143="","",IF(OR(N(T143)&gt;=0.01,N(S143)&gt;=0.02),1,0))</f>
        <v/>
      </c>
      <c r="AC143" s="16" t="str">
        <f aca="false">IF(C143="","",MIN(2,N(U143))+MIN(2,N(V143)))</f>
        <v/>
      </c>
      <c r="AD143" s="50" t="str">
        <f aca="false">IFERROR(IF(OR(W143="",F143="",N(F143)=0),"",W143/F143-1),"")</f>
        <v/>
      </c>
      <c r="AE143" s="16" t="str">
        <f aca="false">IF(C143="","",IF(AD143="",0,IF(AD143&gt;=0.25,2,IF(AD143&gt;=0.1,1,0))))</f>
        <v/>
      </c>
      <c r="AF143" s="23" t="str">
        <f aca="false">IF(C143="","",X143+Y143+Z143+AA143+AB143+AC143+AE143)</f>
        <v/>
      </c>
      <c r="AG143" s="24" t="str">
        <f aca="false">IF(C143="","",IF(AF143&gt;=18,"A",IF(AF143&gt;=13,"B","C")))</f>
        <v/>
      </c>
      <c r="AH143" s="14" t="str">
        <f aca="false">IF(C143="","",IF(OR(AI143="Sold",AI143="Rejected"),"Closed",IF(AI143="Owned",IF(AND(ISNUMBER(W143),ISNUMBER(AL143),AL143&gt;W143*1.2),"REVIEW — price 20%+ above fair value",IF(AF143&lt;13,"REVIEW — quality score fell below 13","HOLD — re-check thesis yearly")),IF(AG143="A","Full LRC Stock Analysis",IF(AG143="B","Watch — re-check next month","Reject")))))</f>
        <v/>
      </c>
      <c r="AI143" s="35"/>
      <c r="AJ143" s="35"/>
      <c r="AK143" s="19"/>
      <c r="AL143" s="26"/>
      <c r="AM143" s="41" t="str">
        <f aca="false">IFERROR(IF(OR(AL143="",F143="",N(F143)=0),"",AL143/F143-1),"")</f>
        <v/>
      </c>
      <c r="AN143" s="35"/>
      <c r="AP143" s="43" t="str">
        <f aca="false">IF(AND(C143&lt;&gt;"",A143=$C$4,ISNUMBER(AF143)),AF143+ROW()/100000,"")</f>
        <v/>
      </c>
    </row>
    <row r="144" customFormat="false" ht="15" hidden="false" customHeight="false" outlineLevel="0" collapsed="false">
      <c r="A144" s="19"/>
      <c r="B144" s="35"/>
      <c r="C144" s="35"/>
      <c r="D144" s="35"/>
      <c r="E144" s="35"/>
      <c r="F144" s="26"/>
      <c r="G144" s="26"/>
      <c r="H144" s="49"/>
      <c r="I144" s="38"/>
      <c r="J144" s="49"/>
      <c r="K144" s="21"/>
      <c r="L144" s="21"/>
      <c r="M144" s="21"/>
      <c r="N144" s="21"/>
      <c r="O144" s="38"/>
      <c r="P144" s="38"/>
      <c r="Q144" s="21"/>
      <c r="R144" s="21"/>
      <c r="S144" s="21"/>
      <c r="T144" s="21"/>
      <c r="U144" s="25"/>
      <c r="V144" s="25"/>
      <c r="W144" s="26"/>
      <c r="X144" s="16" t="str">
        <f aca="false">IF(C144="","",IF(K144="",0,IF(K144&gt;=0.15,2,IF(K144&gt;=0.1,1,0)))+IF(L144="",0,IF(L144&gt;=0.12,2,IF(L144&gt;=0.08,1,0)))+(AND(N144&lt;&gt;"",N(N144)&gt;=0.15))+(AND(M144&lt;&gt;"",N(M144)&gt;=0.4)))</f>
        <v/>
      </c>
      <c r="Y144" s="16" t="str">
        <f aca="false">IF(C144="","",IF(Q144="",0,IF(Q144&gt;=0.1,2,IF(Q144&gt;=0.05,1,0)))+IF(R144="",0,IF(R144&gt;=0.08,2,IF(R144&gt;=0.04,1,0))))</f>
        <v/>
      </c>
      <c r="Z144" s="16" t="str">
        <f aca="false">IF(C144="","",IF(O144="",0,IF(O144&lt;=0.5,2,IF(O144&lt;=1,1,0)))+(AND(P144&lt;&gt;"",N(P144)&gt;=1.2)))</f>
        <v/>
      </c>
      <c r="AA144" s="16" t="str">
        <f aca="false">IF(C144="","",IF(H144="",0,IF(AND(H144&gt;0,H144&lt;=20),2,IF(AND(H144&gt;0,H144&lt;=30),1,0)))+IF(J144="",0,IF(AND(J144&gt;0,J144&lt;=20),2,IF(AND(J144&gt;0,J144&lt;=30),1,0))))</f>
        <v/>
      </c>
      <c r="AB144" s="16" t="str">
        <f aca="false">IF(C144="","",IF(OR(N(T144)&gt;=0.01,N(S144)&gt;=0.02),1,0))</f>
        <v/>
      </c>
      <c r="AC144" s="16" t="str">
        <f aca="false">IF(C144="","",MIN(2,N(U144))+MIN(2,N(V144)))</f>
        <v/>
      </c>
      <c r="AD144" s="50" t="str">
        <f aca="false">IFERROR(IF(OR(W144="",F144="",N(F144)=0),"",W144/F144-1),"")</f>
        <v/>
      </c>
      <c r="AE144" s="16" t="str">
        <f aca="false">IF(C144="","",IF(AD144="",0,IF(AD144&gt;=0.25,2,IF(AD144&gt;=0.1,1,0))))</f>
        <v/>
      </c>
      <c r="AF144" s="23" t="str">
        <f aca="false">IF(C144="","",X144+Y144+Z144+AA144+AB144+AC144+AE144)</f>
        <v/>
      </c>
      <c r="AG144" s="24" t="str">
        <f aca="false">IF(C144="","",IF(AF144&gt;=18,"A",IF(AF144&gt;=13,"B","C")))</f>
        <v/>
      </c>
      <c r="AH144" s="14" t="str">
        <f aca="false">IF(C144="","",IF(OR(AI144="Sold",AI144="Rejected"),"Closed",IF(AI144="Owned",IF(AND(ISNUMBER(W144),ISNUMBER(AL144),AL144&gt;W144*1.2),"REVIEW — price 20%+ above fair value",IF(AF144&lt;13,"REVIEW — quality score fell below 13","HOLD — re-check thesis yearly")),IF(AG144="A","Full LRC Stock Analysis",IF(AG144="B","Watch — re-check next month","Reject")))))</f>
        <v/>
      </c>
      <c r="AI144" s="35"/>
      <c r="AJ144" s="35"/>
      <c r="AK144" s="19"/>
      <c r="AL144" s="26"/>
      <c r="AM144" s="41" t="str">
        <f aca="false">IFERROR(IF(OR(AL144="",F144="",N(F144)=0),"",AL144/F144-1),"")</f>
        <v/>
      </c>
      <c r="AN144" s="35"/>
      <c r="AP144" s="43" t="str">
        <f aca="false">IF(AND(C144&lt;&gt;"",A144=$C$4,ISNUMBER(AF144)),AF144+ROW()/100000,"")</f>
        <v/>
      </c>
    </row>
    <row r="145" customFormat="false" ht="15" hidden="false" customHeight="false" outlineLevel="0" collapsed="false">
      <c r="A145" s="19"/>
      <c r="B145" s="35"/>
      <c r="C145" s="35"/>
      <c r="D145" s="35"/>
      <c r="E145" s="35"/>
      <c r="F145" s="26"/>
      <c r="G145" s="26"/>
      <c r="H145" s="49"/>
      <c r="I145" s="38"/>
      <c r="J145" s="49"/>
      <c r="K145" s="21"/>
      <c r="L145" s="21"/>
      <c r="M145" s="21"/>
      <c r="N145" s="21"/>
      <c r="O145" s="38"/>
      <c r="P145" s="38"/>
      <c r="Q145" s="21"/>
      <c r="R145" s="21"/>
      <c r="S145" s="21"/>
      <c r="T145" s="21"/>
      <c r="U145" s="25"/>
      <c r="V145" s="25"/>
      <c r="W145" s="26"/>
      <c r="X145" s="16" t="str">
        <f aca="false">IF(C145="","",IF(K145="",0,IF(K145&gt;=0.15,2,IF(K145&gt;=0.1,1,0)))+IF(L145="",0,IF(L145&gt;=0.12,2,IF(L145&gt;=0.08,1,0)))+(AND(N145&lt;&gt;"",N(N145)&gt;=0.15))+(AND(M145&lt;&gt;"",N(M145)&gt;=0.4)))</f>
        <v/>
      </c>
      <c r="Y145" s="16" t="str">
        <f aca="false">IF(C145="","",IF(Q145="",0,IF(Q145&gt;=0.1,2,IF(Q145&gt;=0.05,1,0)))+IF(R145="",0,IF(R145&gt;=0.08,2,IF(R145&gt;=0.04,1,0))))</f>
        <v/>
      </c>
      <c r="Z145" s="16" t="str">
        <f aca="false">IF(C145="","",IF(O145="",0,IF(O145&lt;=0.5,2,IF(O145&lt;=1,1,0)))+(AND(P145&lt;&gt;"",N(P145)&gt;=1.2)))</f>
        <v/>
      </c>
      <c r="AA145" s="16" t="str">
        <f aca="false">IF(C145="","",IF(H145="",0,IF(AND(H145&gt;0,H145&lt;=20),2,IF(AND(H145&gt;0,H145&lt;=30),1,0)))+IF(J145="",0,IF(AND(J145&gt;0,J145&lt;=20),2,IF(AND(J145&gt;0,J145&lt;=30),1,0))))</f>
        <v/>
      </c>
      <c r="AB145" s="16" t="str">
        <f aca="false">IF(C145="","",IF(OR(N(T145)&gt;=0.01,N(S145)&gt;=0.02),1,0))</f>
        <v/>
      </c>
      <c r="AC145" s="16" t="str">
        <f aca="false">IF(C145="","",MIN(2,N(U145))+MIN(2,N(V145)))</f>
        <v/>
      </c>
      <c r="AD145" s="50" t="str">
        <f aca="false">IFERROR(IF(OR(W145="",F145="",N(F145)=0),"",W145/F145-1),"")</f>
        <v/>
      </c>
      <c r="AE145" s="16" t="str">
        <f aca="false">IF(C145="","",IF(AD145="",0,IF(AD145&gt;=0.25,2,IF(AD145&gt;=0.1,1,0))))</f>
        <v/>
      </c>
      <c r="AF145" s="23" t="str">
        <f aca="false">IF(C145="","",X145+Y145+Z145+AA145+AB145+AC145+AE145)</f>
        <v/>
      </c>
      <c r="AG145" s="24" t="str">
        <f aca="false">IF(C145="","",IF(AF145&gt;=18,"A",IF(AF145&gt;=13,"B","C")))</f>
        <v/>
      </c>
      <c r="AH145" s="14" t="str">
        <f aca="false">IF(C145="","",IF(OR(AI145="Sold",AI145="Rejected"),"Closed",IF(AI145="Owned",IF(AND(ISNUMBER(W145),ISNUMBER(AL145),AL145&gt;W145*1.2),"REVIEW — price 20%+ above fair value",IF(AF145&lt;13,"REVIEW — quality score fell below 13","HOLD — re-check thesis yearly")),IF(AG145="A","Full LRC Stock Analysis",IF(AG145="B","Watch — re-check next month","Reject")))))</f>
        <v/>
      </c>
      <c r="AI145" s="35"/>
      <c r="AJ145" s="35"/>
      <c r="AK145" s="19"/>
      <c r="AL145" s="26"/>
      <c r="AM145" s="41" t="str">
        <f aca="false">IFERROR(IF(OR(AL145="",F145="",N(F145)=0),"",AL145/F145-1),"")</f>
        <v/>
      </c>
      <c r="AN145" s="35"/>
      <c r="AP145" s="43" t="str">
        <f aca="false">IF(AND(C145&lt;&gt;"",A145=$C$4,ISNUMBER(AF145)),AF145+ROW()/100000,"")</f>
        <v/>
      </c>
    </row>
    <row r="146" customFormat="false" ht="15" hidden="false" customHeight="false" outlineLevel="0" collapsed="false">
      <c r="A146" s="19"/>
      <c r="B146" s="35"/>
      <c r="C146" s="35"/>
      <c r="D146" s="35"/>
      <c r="E146" s="35"/>
      <c r="F146" s="26"/>
      <c r="G146" s="26"/>
      <c r="H146" s="49"/>
      <c r="I146" s="38"/>
      <c r="J146" s="49"/>
      <c r="K146" s="21"/>
      <c r="L146" s="21"/>
      <c r="M146" s="21"/>
      <c r="N146" s="21"/>
      <c r="O146" s="38"/>
      <c r="P146" s="38"/>
      <c r="Q146" s="21"/>
      <c r="R146" s="21"/>
      <c r="S146" s="21"/>
      <c r="T146" s="21"/>
      <c r="U146" s="25"/>
      <c r="V146" s="25"/>
      <c r="W146" s="26"/>
      <c r="X146" s="16" t="str">
        <f aca="false">IF(C146="","",IF(K146="",0,IF(K146&gt;=0.15,2,IF(K146&gt;=0.1,1,0)))+IF(L146="",0,IF(L146&gt;=0.12,2,IF(L146&gt;=0.08,1,0)))+(AND(N146&lt;&gt;"",N(N146)&gt;=0.15))+(AND(M146&lt;&gt;"",N(M146)&gt;=0.4)))</f>
        <v/>
      </c>
      <c r="Y146" s="16" t="str">
        <f aca="false">IF(C146="","",IF(Q146="",0,IF(Q146&gt;=0.1,2,IF(Q146&gt;=0.05,1,0)))+IF(R146="",0,IF(R146&gt;=0.08,2,IF(R146&gt;=0.04,1,0))))</f>
        <v/>
      </c>
      <c r="Z146" s="16" t="str">
        <f aca="false">IF(C146="","",IF(O146="",0,IF(O146&lt;=0.5,2,IF(O146&lt;=1,1,0)))+(AND(P146&lt;&gt;"",N(P146)&gt;=1.2)))</f>
        <v/>
      </c>
      <c r="AA146" s="16" t="str">
        <f aca="false">IF(C146="","",IF(H146="",0,IF(AND(H146&gt;0,H146&lt;=20),2,IF(AND(H146&gt;0,H146&lt;=30),1,0)))+IF(J146="",0,IF(AND(J146&gt;0,J146&lt;=20),2,IF(AND(J146&gt;0,J146&lt;=30),1,0))))</f>
        <v/>
      </c>
      <c r="AB146" s="16" t="str">
        <f aca="false">IF(C146="","",IF(OR(N(T146)&gt;=0.01,N(S146)&gt;=0.02),1,0))</f>
        <v/>
      </c>
      <c r="AC146" s="16" t="str">
        <f aca="false">IF(C146="","",MIN(2,N(U146))+MIN(2,N(V146)))</f>
        <v/>
      </c>
      <c r="AD146" s="50" t="str">
        <f aca="false">IFERROR(IF(OR(W146="",F146="",N(F146)=0),"",W146/F146-1),"")</f>
        <v/>
      </c>
      <c r="AE146" s="16" t="str">
        <f aca="false">IF(C146="","",IF(AD146="",0,IF(AD146&gt;=0.25,2,IF(AD146&gt;=0.1,1,0))))</f>
        <v/>
      </c>
      <c r="AF146" s="23" t="str">
        <f aca="false">IF(C146="","",X146+Y146+Z146+AA146+AB146+AC146+AE146)</f>
        <v/>
      </c>
      <c r="AG146" s="24" t="str">
        <f aca="false">IF(C146="","",IF(AF146&gt;=18,"A",IF(AF146&gt;=13,"B","C")))</f>
        <v/>
      </c>
      <c r="AH146" s="14" t="str">
        <f aca="false">IF(C146="","",IF(OR(AI146="Sold",AI146="Rejected"),"Closed",IF(AI146="Owned",IF(AND(ISNUMBER(W146),ISNUMBER(AL146),AL146&gt;W146*1.2),"REVIEW — price 20%+ above fair value",IF(AF146&lt;13,"REVIEW — quality score fell below 13","HOLD — re-check thesis yearly")),IF(AG146="A","Full LRC Stock Analysis",IF(AG146="B","Watch — re-check next month","Reject")))))</f>
        <v/>
      </c>
      <c r="AI146" s="35"/>
      <c r="AJ146" s="35"/>
      <c r="AK146" s="19"/>
      <c r="AL146" s="26"/>
      <c r="AM146" s="41" t="str">
        <f aca="false">IFERROR(IF(OR(AL146="",F146="",N(F146)=0),"",AL146/F146-1),"")</f>
        <v/>
      </c>
      <c r="AN146" s="35"/>
      <c r="AP146" s="43" t="str">
        <f aca="false">IF(AND(C146&lt;&gt;"",A146=$C$4,ISNUMBER(AF146)),AF146+ROW()/100000,"")</f>
        <v/>
      </c>
    </row>
    <row r="147" customFormat="false" ht="15" hidden="false" customHeight="false" outlineLevel="0" collapsed="false">
      <c r="A147" s="19"/>
      <c r="B147" s="35"/>
      <c r="C147" s="35"/>
      <c r="D147" s="35"/>
      <c r="E147" s="35"/>
      <c r="F147" s="26"/>
      <c r="G147" s="26"/>
      <c r="H147" s="49"/>
      <c r="I147" s="38"/>
      <c r="J147" s="49"/>
      <c r="K147" s="21"/>
      <c r="L147" s="21"/>
      <c r="M147" s="21"/>
      <c r="N147" s="21"/>
      <c r="O147" s="38"/>
      <c r="P147" s="38"/>
      <c r="Q147" s="21"/>
      <c r="R147" s="21"/>
      <c r="S147" s="21"/>
      <c r="T147" s="21"/>
      <c r="U147" s="25"/>
      <c r="V147" s="25"/>
      <c r="W147" s="26"/>
      <c r="X147" s="16" t="str">
        <f aca="false">IF(C147="","",IF(K147="",0,IF(K147&gt;=0.15,2,IF(K147&gt;=0.1,1,0)))+IF(L147="",0,IF(L147&gt;=0.12,2,IF(L147&gt;=0.08,1,0)))+(AND(N147&lt;&gt;"",N(N147)&gt;=0.15))+(AND(M147&lt;&gt;"",N(M147)&gt;=0.4)))</f>
        <v/>
      </c>
      <c r="Y147" s="16" t="str">
        <f aca="false">IF(C147="","",IF(Q147="",0,IF(Q147&gt;=0.1,2,IF(Q147&gt;=0.05,1,0)))+IF(R147="",0,IF(R147&gt;=0.08,2,IF(R147&gt;=0.04,1,0))))</f>
        <v/>
      </c>
      <c r="Z147" s="16" t="str">
        <f aca="false">IF(C147="","",IF(O147="",0,IF(O147&lt;=0.5,2,IF(O147&lt;=1,1,0)))+(AND(P147&lt;&gt;"",N(P147)&gt;=1.2)))</f>
        <v/>
      </c>
      <c r="AA147" s="16" t="str">
        <f aca="false">IF(C147="","",IF(H147="",0,IF(AND(H147&gt;0,H147&lt;=20),2,IF(AND(H147&gt;0,H147&lt;=30),1,0)))+IF(J147="",0,IF(AND(J147&gt;0,J147&lt;=20),2,IF(AND(J147&gt;0,J147&lt;=30),1,0))))</f>
        <v/>
      </c>
      <c r="AB147" s="16" t="str">
        <f aca="false">IF(C147="","",IF(OR(N(T147)&gt;=0.01,N(S147)&gt;=0.02),1,0))</f>
        <v/>
      </c>
      <c r="AC147" s="16" t="str">
        <f aca="false">IF(C147="","",MIN(2,N(U147))+MIN(2,N(V147)))</f>
        <v/>
      </c>
      <c r="AD147" s="50" t="str">
        <f aca="false">IFERROR(IF(OR(W147="",F147="",N(F147)=0),"",W147/F147-1),"")</f>
        <v/>
      </c>
      <c r="AE147" s="16" t="str">
        <f aca="false">IF(C147="","",IF(AD147="",0,IF(AD147&gt;=0.25,2,IF(AD147&gt;=0.1,1,0))))</f>
        <v/>
      </c>
      <c r="AF147" s="23" t="str">
        <f aca="false">IF(C147="","",X147+Y147+Z147+AA147+AB147+AC147+AE147)</f>
        <v/>
      </c>
      <c r="AG147" s="24" t="str">
        <f aca="false">IF(C147="","",IF(AF147&gt;=18,"A",IF(AF147&gt;=13,"B","C")))</f>
        <v/>
      </c>
      <c r="AH147" s="14" t="str">
        <f aca="false">IF(C147="","",IF(OR(AI147="Sold",AI147="Rejected"),"Closed",IF(AI147="Owned",IF(AND(ISNUMBER(W147),ISNUMBER(AL147),AL147&gt;W147*1.2),"REVIEW — price 20%+ above fair value",IF(AF147&lt;13,"REVIEW — quality score fell below 13","HOLD — re-check thesis yearly")),IF(AG147="A","Full LRC Stock Analysis",IF(AG147="B","Watch — re-check next month","Reject")))))</f>
        <v/>
      </c>
      <c r="AI147" s="35"/>
      <c r="AJ147" s="35"/>
      <c r="AK147" s="19"/>
      <c r="AL147" s="26"/>
      <c r="AM147" s="41" t="str">
        <f aca="false">IFERROR(IF(OR(AL147="",F147="",N(F147)=0),"",AL147/F147-1),"")</f>
        <v/>
      </c>
      <c r="AN147" s="35"/>
      <c r="AP147" s="43" t="str">
        <f aca="false">IF(AND(C147&lt;&gt;"",A147=$C$4,ISNUMBER(AF147)),AF147+ROW()/100000,"")</f>
        <v/>
      </c>
    </row>
    <row r="148" customFormat="false" ht="15" hidden="false" customHeight="false" outlineLevel="0" collapsed="false">
      <c r="A148" s="19"/>
      <c r="B148" s="35"/>
      <c r="C148" s="35"/>
      <c r="D148" s="35"/>
      <c r="E148" s="35"/>
      <c r="F148" s="26"/>
      <c r="G148" s="26"/>
      <c r="H148" s="49"/>
      <c r="I148" s="38"/>
      <c r="J148" s="49"/>
      <c r="K148" s="21"/>
      <c r="L148" s="21"/>
      <c r="M148" s="21"/>
      <c r="N148" s="21"/>
      <c r="O148" s="38"/>
      <c r="P148" s="38"/>
      <c r="Q148" s="21"/>
      <c r="R148" s="21"/>
      <c r="S148" s="21"/>
      <c r="T148" s="21"/>
      <c r="U148" s="25"/>
      <c r="V148" s="25"/>
      <c r="W148" s="26"/>
      <c r="X148" s="16" t="str">
        <f aca="false">IF(C148="","",IF(K148="",0,IF(K148&gt;=0.15,2,IF(K148&gt;=0.1,1,0)))+IF(L148="",0,IF(L148&gt;=0.12,2,IF(L148&gt;=0.08,1,0)))+(AND(N148&lt;&gt;"",N(N148)&gt;=0.15))+(AND(M148&lt;&gt;"",N(M148)&gt;=0.4)))</f>
        <v/>
      </c>
      <c r="Y148" s="16" t="str">
        <f aca="false">IF(C148="","",IF(Q148="",0,IF(Q148&gt;=0.1,2,IF(Q148&gt;=0.05,1,0)))+IF(R148="",0,IF(R148&gt;=0.08,2,IF(R148&gt;=0.04,1,0))))</f>
        <v/>
      </c>
      <c r="Z148" s="16" t="str">
        <f aca="false">IF(C148="","",IF(O148="",0,IF(O148&lt;=0.5,2,IF(O148&lt;=1,1,0)))+(AND(P148&lt;&gt;"",N(P148)&gt;=1.2)))</f>
        <v/>
      </c>
      <c r="AA148" s="16" t="str">
        <f aca="false">IF(C148="","",IF(H148="",0,IF(AND(H148&gt;0,H148&lt;=20),2,IF(AND(H148&gt;0,H148&lt;=30),1,0)))+IF(J148="",0,IF(AND(J148&gt;0,J148&lt;=20),2,IF(AND(J148&gt;0,J148&lt;=30),1,0))))</f>
        <v/>
      </c>
      <c r="AB148" s="16" t="str">
        <f aca="false">IF(C148="","",IF(OR(N(T148)&gt;=0.01,N(S148)&gt;=0.02),1,0))</f>
        <v/>
      </c>
      <c r="AC148" s="16" t="str">
        <f aca="false">IF(C148="","",MIN(2,N(U148))+MIN(2,N(V148)))</f>
        <v/>
      </c>
      <c r="AD148" s="50" t="str">
        <f aca="false">IFERROR(IF(OR(W148="",F148="",N(F148)=0),"",W148/F148-1),"")</f>
        <v/>
      </c>
      <c r="AE148" s="16" t="str">
        <f aca="false">IF(C148="","",IF(AD148="",0,IF(AD148&gt;=0.25,2,IF(AD148&gt;=0.1,1,0))))</f>
        <v/>
      </c>
      <c r="AF148" s="23" t="str">
        <f aca="false">IF(C148="","",X148+Y148+Z148+AA148+AB148+AC148+AE148)</f>
        <v/>
      </c>
      <c r="AG148" s="24" t="str">
        <f aca="false">IF(C148="","",IF(AF148&gt;=18,"A",IF(AF148&gt;=13,"B","C")))</f>
        <v/>
      </c>
      <c r="AH148" s="14" t="str">
        <f aca="false">IF(C148="","",IF(OR(AI148="Sold",AI148="Rejected"),"Closed",IF(AI148="Owned",IF(AND(ISNUMBER(W148),ISNUMBER(AL148),AL148&gt;W148*1.2),"REVIEW — price 20%+ above fair value",IF(AF148&lt;13,"REVIEW — quality score fell below 13","HOLD — re-check thesis yearly")),IF(AG148="A","Full LRC Stock Analysis",IF(AG148="B","Watch — re-check next month","Reject")))))</f>
        <v/>
      </c>
      <c r="AI148" s="35"/>
      <c r="AJ148" s="35"/>
      <c r="AK148" s="19"/>
      <c r="AL148" s="26"/>
      <c r="AM148" s="41" t="str">
        <f aca="false">IFERROR(IF(OR(AL148="",F148="",N(F148)=0),"",AL148/F148-1),"")</f>
        <v/>
      </c>
      <c r="AN148" s="35"/>
      <c r="AP148" s="43" t="str">
        <f aca="false">IF(AND(C148&lt;&gt;"",A148=$C$4,ISNUMBER(AF148)),AF148+ROW()/100000,"")</f>
        <v/>
      </c>
    </row>
    <row r="149" customFormat="false" ht="15" hidden="false" customHeight="false" outlineLevel="0" collapsed="false">
      <c r="A149" s="19"/>
      <c r="B149" s="35"/>
      <c r="C149" s="35"/>
      <c r="D149" s="35"/>
      <c r="E149" s="35"/>
      <c r="F149" s="26"/>
      <c r="G149" s="26"/>
      <c r="H149" s="49"/>
      <c r="I149" s="38"/>
      <c r="J149" s="49"/>
      <c r="K149" s="21"/>
      <c r="L149" s="21"/>
      <c r="M149" s="21"/>
      <c r="N149" s="21"/>
      <c r="O149" s="38"/>
      <c r="P149" s="38"/>
      <c r="Q149" s="21"/>
      <c r="R149" s="21"/>
      <c r="S149" s="21"/>
      <c r="T149" s="21"/>
      <c r="U149" s="25"/>
      <c r="V149" s="25"/>
      <c r="W149" s="26"/>
      <c r="X149" s="16" t="str">
        <f aca="false">IF(C149="","",IF(K149="",0,IF(K149&gt;=0.15,2,IF(K149&gt;=0.1,1,0)))+IF(L149="",0,IF(L149&gt;=0.12,2,IF(L149&gt;=0.08,1,0)))+(AND(N149&lt;&gt;"",N(N149)&gt;=0.15))+(AND(M149&lt;&gt;"",N(M149)&gt;=0.4)))</f>
        <v/>
      </c>
      <c r="Y149" s="16" t="str">
        <f aca="false">IF(C149="","",IF(Q149="",0,IF(Q149&gt;=0.1,2,IF(Q149&gt;=0.05,1,0)))+IF(R149="",0,IF(R149&gt;=0.08,2,IF(R149&gt;=0.04,1,0))))</f>
        <v/>
      </c>
      <c r="Z149" s="16" t="str">
        <f aca="false">IF(C149="","",IF(O149="",0,IF(O149&lt;=0.5,2,IF(O149&lt;=1,1,0)))+(AND(P149&lt;&gt;"",N(P149)&gt;=1.2)))</f>
        <v/>
      </c>
      <c r="AA149" s="16" t="str">
        <f aca="false">IF(C149="","",IF(H149="",0,IF(AND(H149&gt;0,H149&lt;=20),2,IF(AND(H149&gt;0,H149&lt;=30),1,0)))+IF(J149="",0,IF(AND(J149&gt;0,J149&lt;=20),2,IF(AND(J149&gt;0,J149&lt;=30),1,0))))</f>
        <v/>
      </c>
      <c r="AB149" s="16" t="str">
        <f aca="false">IF(C149="","",IF(OR(N(T149)&gt;=0.01,N(S149)&gt;=0.02),1,0))</f>
        <v/>
      </c>
      <c r="AC149" s="16" t="str">
        <f aca="false">IF(C149="","",MIN(2,N(U149))+MIN(2,N(V149)))</f>
        <v/>
      </c>
      <c r="AD149" s="50" t="str">
        <f aca="false">IFERROR(IF(OR(W149="",F149="",N(F149)=0),"",W149/F149-1),"")</f>
        <v/>
      </c>
      <c r="AE149" s="16" t="str">
        <f aca="false">IF(C149="","",IF(AD149="",0,IF(AD149&gt;=0.25,2,IF(AD149&gt;=0.1,1,0))))</f>
        <v/>
      </c>
      <c r="AF149" s="23" t="str">
        <f aca="false">IF(C149="","",X149+Y149+Z149+AA149+AB149+AC149+AE149)</f>
        <v/>
      </c>
      <c r="AG149" s="24" t="str">
        <f aca="false">IF(C149="","",IF(AF149&gt;=18,"A",IF(AF149&gt;=13,"B","C")))</f>
        <v/>
      </c>
      <c r="AH149" s="14" t="str">
        <f aca="false">IF(C149="","",IF(OR(AI149="Sold",AI149="Rejected"),"Closed",IF(AI149="Owned",IF(AND(ISNUMBER(W149),ISNUMBER(AL149),AL149&gt;W149*1.2),"REVIEW — price 20%+ above fair value",IF(AF149&lt;13,"REVIEW — quality score fell below 13","HOLD — re-check thesis yearly")),IF(AG149="A","Full LRC Stock Analysis",IF(AG149="B","Watch — re-check next month","Reject")))))</f>
        <v/>
      </c>
      <c r="AI149" s="35"/>
      <c r="AJ149" s="35"/>
      <c r="AK149" s="19"/>
      <c r="AL149" s="26"/>
      <c r="AM149" s="41" t="str">
        <f aca="false">IFERROR(IF(OR(AL149="",F149="",N(F149)=0),"",AL149/F149-1),"")</f>
        <v/>
      </c>
      <c r="AN149" s="35"/>
      <c r="AP149" s="43" t="str">
        <f aca="false">IF(AND(C149&lt;&gt;"",A149=$C$4,ISNUMBER(AF149)),AF149+ROW()/100000,"")</f>
        <v/>
      </c>
    </row>
    <row r="150" customFormat="false" ht="15" hidden="false" customHeight="false" outlineLevel="0" collapsed="false">
      <c r="A150" s="19"/>
      <c r="B150" s="35"/>
      <c r="C150" s="35"/>
      <c r="D150" s="35"/>
      <c r="E150" s="35"/>
      <c r="F150" s="26"/>
      <c r="G150" s="26"/>
      <c r="H150" s="49"/>
      <c r="I150" s="38"/>
      <c r="J150" s="49"/>
      <c r="K150" s="21"/>
      <c r="L150" s="21"/>
      <c r="M150" s="21"/>
      <c r="N150" s="21"/>
      <c r="O150" s="38"/>
      <c r="P150" s="38"/>
      <c r="Q150" s="21"/>
      <c r="R150" s="21"/>
      <c r="S150" s="21"/>
      <c r="T150" s="21"/>
      <c r="U150" s="25"/>
      <c r="V150" s="25"/>
      <c r="W150" s="26"/>
      <c r="X150" s="16" t="str">
        <f aca="false">IF(C150="","",IF(K150="",0,IF(K150&gt;=0.15,2,IF(K150&gt;=0.1,1,0)))+IF(L150="",0,IF(L150&gt;=0.12,2,IF(L150&gt;=0.08,1,0)))+(AND(N150&lt;&gt;"",N(N150)&gt;=0.15))+(AND(M150&lt;&gt;"",N(M150)&gt;=0.4)))</f>
        <v/>
      </c>
      <c r="Y150" s="16" t="str">
        <f aca="false">IF(C150="","",IF(Q150="",0,IF(Q150&gt;=0.1,2,IF(Q150&gt;=0.05,1,0)))+IF(R150="",0,IF(R150&gt;=0.08,2,IF(R150&gt;=0.04,1,0))))</f>
        <v/>
      </c>
      <c r="Z150" s="16" t="str">
        <f aca="false">IF(C150="","",IF(O150="",0,IF(O150&lt;=0.5,2,IF(O150&lt;=1,1,0)))+(AND(P150&lt;&gt;"",N(P150)&gt;=1.2)))</f>
        <v/>
      </c>
      <c r="AA150" s="16" t="str">
        <f aca="false">IF(C150="","",IF(H150="",0,IF(AND(H150&gt;0,H150&lt;=20),2,IF(AND(H150&gt;0,H150&lt;=30),1,0)))+IF(J150="",0,IF(AND(J150&gt;0,J150&lt;=20),2,IF(AND(J150&gt;0,J150&lt;=30),1,0))))</f>
        <v/>
      </c>
      <c r="AB150" s="16" t="str">
        <f aca="false">IF(C150="","",IF(OR(N(T150)&gt;=0.01,N(S150)&gt;=0.02),1,0))</f>
        <v/>
      </c>
      <c r="AC150" s="16" t="str">
        <f aca="false">IF(C150="","",MIN(2,N(U150))+MIN(2,N(V150)))</f>
        <v/>
      </c>
      <c r="AD150" s="50" t="str">
        <f aca="false">IFERROR(IF(OR(W150="",F150="",N(F150)=0),"",W150/F150-1),"")</f>
        <v/>
      </c>
      <c r="AE150" s="16" t="str">
        <f aca="false">IF(C150="","",IF(AD150="",0,IF(AD150&gt;=0.25,2,IF(AD150&gt;=0.1,1,0))))</f>
        <v/>
      </c>
      <c r="AF150" s="23" t="str">
        <f aca="false">IF(C150="","",X150+Y150+Z150+AA150+AB150+AC150+AE150)</f>
        <v/>
      </c>
      <c r="AG150" s="24" t="str">
        <f aca="false">IF(C150="","",IF(AF150&gt;=18,"A",IF(AF150&gt;=13,"B","C")))</f>
        <v/>
      </c>
      <c r="AH150" s="14" t="str">
        <f aca="false">IF(C150="","",IF(OR(AI150="Sold",AI150="Rejected"),"Closed",IF(AI150="Owned",IF(AND(ISNUMBER(W150),ISNUMBER(AL150),AL150&gt;W150*1.2),"REVIEW — price 20%+ above fair value",IF(AF150&lt;13,"REVIEW — quality score fell below 13","HOLD — re-check thesis yearly")),IF(AG150="A","Full LRC Stock Analysis",IF(AG150="B","Watch — re-check next month","Reject")))))</f>
        <v/>
      </c>
      <c r="AI150" s="35"/>
      <c r="AJ150" s="35"/>
      <c r="AK150" s="19"/>
      <c r="AL150" s="26"/>
      <c r="AM150" s="41" t="str">
        <f aca="false">IFERROR(IF(OR(AL150="",F150="",N(F150)=0),"",AL150/F150-1),"")</f>
        <v/>
      </c>
      <c r="AN150" s="35"/>
      <c r="AP150" s="43" t="str">
        <f aca="false">IF(AND(C150&lt;&gt;"",A150=$C$4,ISNUMBER(AF150)),AF150+ROW()/100000,"")</f>
        <v/>
      </c>
    </row>
    <row r="151" customFormat="false" ht="15" hidden="false" customHeight="false" outlineLevel="0" collapsed="false">
      <c r="A151" s="19"/>
      <c r="B151" s="35"/>
      <c r="C151" s="35"/>
      <c r="D151" s="35"/>
      <c r="E151" s="35"/>
      <c r="F151" s="26"/>
      <c r="G151" s="26"/>
      <c r="H151" s="49"/>
      <c r="I151" s="38"/>
      <c r="J151" s="49"/>
      <c r="K151" s="21"/>
      <c r="L151" s="21"/>
      <c r="M151" s="21"/>
      <c r="N151" s="21"/>
      <c r="O151" s="38"/>
      <c r="P151" s="38"/>
      <c r="Q151" s="21"/>
      <c r="R151" s="21"/>
      <c r="S151" s="21"/>
      <c r="T151" s="21"/>
      <c r="U151" s="25"/>
      <c r="V151" s="25"/>
      <c r="W151" s="26"/>
      <c r="X151" s="16" t="str">
        <f aca="false">IF(C151="","",IF(K151="",0,IF(K151&gt;=0.15,2,IF(K151&gt;=0.1,1,0)))+IF(L151="",0,IF(L151&gt;=0.12,2,IF(L151&gt;=0.08,1,0)))+(AND(N151&lt;&gt;"",N(N151)&gt;=0.15))+(AND(M151&lt;&gt;"",N(M151)&gt;=0.4)))</f>
        <v/>
      </c>
      <c r="Y151" s="16" t="str">
        <f aca="false">IF(C151="","",IF(Q151="",0,IF(Q151&gt;=0.1,2,IF(Q151&gt;=0.05,1,0)))+IF(R151="",0,IF(R151&gt;=0.08,2,IF(R151&gt;=0.04,1,0))))</f>
        <v/>
      </c>
      <c r="Z151" s="16" t="str">
        <f aca="false">IF(C151="","",IF(O151="",0,IF(O151&lt;=0.5,2,IF(O151&lt;=1,1,0)))+(AND(P151&lt;&gt;"",N(P151)&gt;=1.2)))</f>
        <v/>
      </c>
      <c r="AA151" s="16" t="str">
        <f aca="false">IF(C151="","",IF(H151="",0,IF(AND(H151&gt;0,H151&lt;=20),2,IF(AND(H151&gt;0,H151&lt;=30),1,0)))+IF(J151="",0,IF(AND(J151&gt;0,J151&lt;=20),2,IF(AND(J151&gt;0,J151&lt;=30),1,0))))</f>
        <v/>
      </c>
      <c r="AB151" s="16" t="str">
        <f aca="false">IF(C151="","",IF(OR(N(T151)&gt;=0.01,N(S151)&gt;=0.02),1,0))</f>
        <v/>
      </c>
      <c r="AC151" s="16" t="str">
        <f aca="false">IF(C151="","",MIN(2,N(U151))+MIN(2,N(V151)))</f>
        <v/>
      </c>
      <c r="AD151" s="50" t="str">
        <f aca="false">IFERROR(IF(OR(W151="",F151="",N(F151)=0),"",W151/F151-1),"")</f>
        <v/>
      </c>
      <c r="AE151" s="16" t="str">
        <f aca="false">IF(C151="","",IF(AD151="",0,IF(AD151&gt;=0.25,2,IF(AD151&gt;=0.1,1,0))))</f>
        <v/>
      </c>
      <c r="AF151" s="23" t="str">
        <f aca="false">IF(C151="","",X151+Y151+Z151+AA151+AB151+AC151+AE151)</f>
        <v/>
      </c>
      <c r="AG151" s="24" t="str">
        <f aca="false">IF(C151="","",IF(AF151&gt;=18,"A",IF(AF151&gt;=13,"B","C")))</f>
        <v/>
      </c>
      <c r="AH151" s="14" t="str">
        <f aca="false">IF(C151="","",IF(OR(AI151="Sold",AI151="Rejected"),"Closed",IF(AI151="Owned",IF(AND(ISNUMBER(W151),ISNUMBER(AL151),AL151&gt;W151*1.2),"REVIEW — price 20%+ above fair value",IF(AF151&lt;13,"REVIEW — quality score fell below 13","HOLD — re-check thesis yearly")),IF(AG151="A","Full LRC Stock Analysis",IF(AG151="B","Watch — re-check next month","Reject")))))</f>
        <v/>
      </c>
      <c r="AI151" s="35"/>
      <c r="AJ151" s="35"/>
      <c r="AK151" s="19"/>
      <c r="AL151" s="26"/>
      <c r="AM151" s="41" t="str">
        <f aca="false">IFERROR(IF(OR(AL151="",F151="",N(F151)=0),"",AL151/F151-1),"")</f>
        <v/>
      </c>
      <c r="AN151" s="35"/>
      <c r="AP151" s="43" t="str">
        <f aca="false">IF(AND(C151&lt;&gt;"",A151=$C$4,ISNUMBER(AF151)),AF151+ROW()/100000,"")</f>
        <v/>
      </c>
    </row>
    <row r="152" customFormat="false" ht="15" hidden="false" customHeight="false" outlineLevel="0" collapsed="false">
      <c r="A152" s="19"/>
      <c r="B152" s="35"/>
      <c r="C152" s="35"/>
      <c r="D152" s="35"/>
      <c r="E152" s="35"/>
      <c r="F152" s="26"/>
      <c r="G152" s="26"/>
      <c r="H152" s="49"/>
      <c r="I152" s="38"/>
      <c r="J152" s="49"/>
      <c r="K152" s="21"/>
      <c r="L152" s="21"/>
      <c r="M152" s="21"/>
      <c r="N152" s="21"/>
      <c r="O152" s="38"/>
      <c r="P152" s="38"/>
      <c r="Q152" s="21"/>
      <c r="R152" s="21"/>
      <c r="S152" s="21"/>
      <c r="T152" s="21"/>
      <c r="U152" s="25"/>
      <c r="V152" s="25"/>
      <c r="W152" s="26"/>
      <c r="X152" s="16" t="str">
        <f aca="false">IF(C152="","",IF(K152="",0,IF(K152&gt;=0.15,2,IF(K152&gt;=0.1,1,0)))+IF(L152="",0,IF(L152&gt;=0.12,2,IF(L152&gt;=0.08,1,0)))+(AND(N152&lt;&gt;"",N(N152)&gt;=0.15))+(AND(M152&lt;&gt;"",N(M152)&gt;=0.4)))</f>
        <v/>
      </c>
      <c r="Y152" s="16" t="str">
        <f aca="false">IF(C152="","",IF(Q152="",0,IF(Q152&gt;=0.1,2,IF(Q152&gt;=0.05,1,0)))+IF(R152="",0,IF(R152&gt;=0.08,2,IF(R152&gt;=0.04,1,0))))</f>
        <v/>
      </c>
      <c r="Z152" s="16" t="str">
        <f aca="false">IF(C152="","",IF(O152="",0,IF(O152&lt;=0.5,2,IF(O152&lt;=1,1,0)))+(AND(P152&lt;&gt;"",N(P152)&gt;=1.2)))</f>
        <v/>
      </c>
      <c r="AA152" s="16" t="str">
        <f aca="false">IF(C152="","",IF(H152="",0,IF(AND(H152&gt;0,H152&lt;=20),2,IF(AND(H152&gt;0,H152&lt;=30),1,0)))+IF(J152="",0,IF(AND(J152&gt;0,J152&lt;=20),2,IF(AND(J152&gt;0,J152&lt;=30),1,0))))</f>
        <v/>
      </c>
      <c r="AB152" s="16" t="str">
        <f aca="false">IF(C152="","",IF(OR(N(T152)&gt;=0.01,N(S152)&gt;=0.02),1,0))</f>
        <v/>
      </c>
      <c r="AC152" s="16" t="str">
        <f aca="false">IF(C152="","",MIN(2,N(U152))+MIN(2,N(V152)))</f>
        <v/>
      </c>
      <c r="AD152" s="50" t="str">
        <f aca="false">IFERROR(IF(OR(W152="",F152="",N(F152)=0),"",W152/F152-1),"")</f>
        <v/>
      </c>
      <c r="AE152" s="16" t="str">
        <f aca="false">IF(C152="","",IF(AD152="",0,IF(AD152&gt;=0.25,2,IF(AD152&gt;=0.1,1,0))))</f>
        <v/>
      </c>
      <c r="AF152" s="23" t="str">
        <f aca="false">IF(C152="","",X152+Y152+Z152+AA152+AB152+AC152+AE152)</f>
        <v/>
      </c>
      <c r="AG152" s="24" t="str">
        <f aca="false">IF(C152="","",IF(AF152&gt;=18,"A",IF(AF152&gt;=13,"B","C")))</f>
        <v/>
      </c>
      <c r="AH152" s="14" t="str">
        <f aca="false">IF(C152="","",IF(OR(AI152="Sold",AI152="Rejected"),"Closed",IF(AI152="Owned",IF(AND(ISNUMBER(W152),ISNUMBER(AL152),AL152&gt;W152*1.2),"REVIEW — price 20%+ above fair value",IF(AF152&lt;13,"REVIEW — quality score fell below 13","HOLD — re-check thesis yearly")),IF(AG152="A","Full LRC Stock Analysis",IF(AG152="B","Watch — re-check next month","Reject")))))</f>
        <v/>
      </c>
      <c r="AI152" s="35"/>
      <c r="AJ152" s="35"/>
      <c r="AK152" s="19"/>
      <c r="AL152" s="26"/>
      <c r="AM152" s="41" t="str">
        <f aca="false">IFERROR(IF(OR(AL152="",F152="",N(F152)=0),"",AL152/F152-1),"")</f>
        <v/>
      </c>
      <c r="AN152" s="35"/>
      <c r="AP152" s="43" t="str">
        <f aca="false">IF(AND(C152&lt;&gt;"",A152=$C$4,ISNUMBER(AF152)),AF152+ROW()/100000,"")</f>
        <v/>
      </c>
    </row>
    <row r="153" customFormat="false" ht="15" hidden="false" customHeight="false" outlineLevel="0" collapsed="false">
      <c r="A153" s="19"/>
      <c r="B153" s="35"/>
      <c r="C153" s="35"/>
      <c r="D153" s="35"/>
      <c r="E153" s="35"/>
      <c r="F153" s="26"/>
      <c r="G153" s="26"/>
      <c r="H153" s="49"/>
      <c r="I153" s="38"/>
      <c r="J153" s="49"/>
      <c r="K153" s="21"/>
      <c r="L153" s="21"/>
      <c r="M153" s="21"/>
      <c r="N153" s="21"/>
      <c r="O153" s="38"/>
      <c r="P153" s="38"/>
      <c r="Q153" s="21"/>
      <c r="R153" s="21"/>
      <c r="S153" s="21"/>
      <c r="T153" s="21"/>
      <c r="U153" s="25"/>
      <c r="V153" s="25"/>
      <c r="W153" s="26"/>
      <c r="X153" s="16" t="str">
        <f aca="false">IF(C153="","",IF(K153="",0,IF(K153&gt;=0.15,2,IF(K153&gt;=0.1,1,0)))+IF(L153="",0,IF(L153&gt;=0.12,2,IF(L153&gt;=0.08,1,0)))+(AND(N153&lt;&gt;"",N(N153)&gt;=0.15))+(AND(M153&lt;&gt;"",N(M153)&gt;=0.4)))</f>
        <v/>
      </c>
      <c r="Y153" s="16" t="str">
        <f aca="false">IF(C153="","",IF(Q153="",0,IF(Q153&gt;=0.1,2,IF(Q153&gt;=0.05,1,0)))+IF(R153="",0,IF(R153&gt;=0.08,2,IF(R153&gt;=0.04,1,0))))</f>
        <v/>
      </c>
      <c r="Z153" s="16" t="str">
        <f aca="false">IF(C153="","",IF(O153="",0,IF(O153&lt;=0.5,2,IF(O153&lt;=1,1,0)))+(AND(P153&lt;&gt;"",N(P153)&gt;=1.2)))</f>
        <v/>
      </c>
      <c r="AA153" s="16" t="str">
        <f aca="false">IF(C153="","",IF(H153="",0,IF(AND(H153&gt;0,H153&lt;=20),2,IF(AND(H153&gt;0,H153&lt;=30),1,0)))+IF(J153="",0,IF(AND(J153&gt;0,J153&lt;=20),2,IF(AND(J153&gt;0,J153&lt;=30),1,0))))</f>
        <v/>
      </c>
      <c r="AB153" s="16" t="str">
        <f aca="false">IF(C153="","",IF(OR(N(T153)&gt;=0.01,N(S153)&gt;=0.02),1,0))</f>
        <v/>
      </c>
      <c r="AC153" s="16" t="str">
        <f aca="false">IF(C153="","",MIN(2,N(U153))+MIN(2,N(V153)))</f>
        <v/>
      </c>
      <c r="AD153" s="50" t="str">
        <f aca="false">IFERROR(IF(OR(W153="",F153="",N(F153)=0),"",W153/F153-1),"")</f>
        <v/>
      </c>
      <c r="AE153" s="16" t="str">
        <f aca="false">IF(C153="","",IF(AD153="",0,IF(AD153&gt;=0.25,2,IF(AD153&gt;=0.1,1,0))))</f>
        <v/>
      </c>
      <c r="AF153" s="23" t="str">
        <f aca="false">IF(C153="","",X153+Y153+Z153+AA153+AB153+AC153+AE153)</f>
        <v/>
      </c>
      <c r="AG153" s="24" t="str">
        <f aca="false">IF(C153="","",IF(AF153&gt;=18,"A",IF(AF153&gt;=13,"B","C")))</f>
        <v/>
      </c>
      <c r="AH153" s="14" t="str">
        <f aca="false">IF(C153="","",IF(OR(AI153="Sold",AI153="Rejected"),"Closed",IF(AI153="Owned",IF(AND(ISNUMBER(W153),ISNUMBER(AL153),AL153&gt;W153*1.2),"REVIEW — price 20%+ above fair value",IF(AF153&lt;13,"REVIEW — quality score fell below 13","HOLD — re-check thesis yearly")),IF(AG153="A","Full LRC Stock Analysis",IF(AG153="B","Watch — re-check next month","Reject")))))</f>
        <v/>
      </c>
      <c r="AI153" s="35"/>
      <c r="AJ153" s="35"/>
      <c r="AK153" s="19"/>
      <c r="AL153" s="26"/>
      <c r="AM153" s="41" t="str">
        <f aca="false">IFERROR(IF(OR(AL153="",F153="",N(F153)=0),"",AL153/F153-1),"")</f>
        <v/>
      </c>
      <c r="AN153" s="35"/>
      <c r="AP153" s="43" t="str">
        <f aca="false">IF(AND(C153&lt;&gt;"",A153=$C$4,ISNUMBER(AF153)),AF153+ROW()/100000,"")</f>
        <v/>
      </c>
    </row>
    <row r="154" customFormat="false" ht="15" hidden="false" customHeight="false" outlineLevel="0" collapsed="false">
      <c r="A154" s="19"/>
      <c r="B154" s="35"/>
      <c r="C154" s="35"/>
      <c r="D154" s="35"/>
      <c r="E154" s="35"/>
      <c r="F154" s="26"/>
      <c r="G154" s="26"/>
      <c r="H154" s="49"/>
      <c r="I154" s="38"/>
      <c r="J154" s="49"/>
      <c r="K154" s="21"/>
      <c r="L154" s="21"/>
      <c r="M154" s="21"/>
      <c r="N154" s="21"/>
      <c r="O154" s="38"/>
      <c r="P154" s="38"/>
      <c r="Q154" s="21"/>
      <c r="R154" s="21"/>
      <c r="S154" s="21"/>
      <c r="T154" s="21"/>
      <c r="U154" s="25"/>
      <c r="V154" s="25"/>
      <c r="W154" s="26"/>
      <c r="X154" s="16" t="str">
        <f aca="false">IF(C154="","",IF(K154="",0,IF(K154&gt;=0.15,2,IF(K154&gt;=0.1,1,0)))+IF(L154="",0,IF(L154&gt;=0.12,2,IF(L154&gt;=0.08,1,0)))+(AND(N154&lt;&gt;"",N(N154)&gt;=0.15))+(AND(M154&lt;&gt;"",N(M154)&gt;=0.4)))</f>
        <v/>
      </c>
      <c r="Y154" s="16" t="str">
        <f aca="false">IF(C154="","",IF(Q154="",0,IF(Q154&gt;=0.1,2,IF(Q154&gt;=0.05,1,0)))+IF(R154="",0,IF(R154&gt;=0.08,2,IF(R154&gt;=0.04,1,0))))</f>
        <v/>
      </c>
      <c r="Z154" s="16" t="str">
        <f aca="false">IF(C154="","",IF(O154="",0,IF(O154&lt;=0.5,2,IF(O154&lt;=1,1,0)))+(AND(P154&lt;&gt;"",N(P154)&gt;=1.2)))</f>
        <v/>
      </c>
      <c r="AA154" s="16" t="str">
        <f aca="false">IF(C154="","",IF(H154="",0,IF(AND(H154&gt;0,H154&lt;=20),2,IF(AND(H154&gt;0,H154&lt;=30),1,0)))+IF(J154="",0,IF(AND(J154&gt;0,J154&lt;=20),2,IF(AND(J154&gt;0,J154&lt;=30),1,0))))</f>
        <v/>
      </c>
      <c r="AB154" s="16" t="str">
        <f aca="false">IF(C154="","",IF(OR(N(T154)&gt;=0.01,N(S154)&gt;=0.02),1,0))</f>
        <v/>
      </c>
      <c r="AC154" s="16" t="str">
        <f aca="false">IF(C154="","",MIN(2,N(U154))+MIN(2,N(V154)))</f>
        <v/>
      </c>
      <c r="AD154" s="50" t="str">
        <f aca="false">IFERROR(IF(OR(W154="",F154="",N(F154)=0),"",W154/F154-1),"")</f>
        <v/>
      </c>
      <c r="AE154" s="16" t="str">
        <f aca="false">IF(C154="","",IF(AD154="",0,IF(AD154&gt;=0.25,2,IF(AD154&gt;=0.1,1,0))))</f>
        <v/>
      </c>
      <c r="AF154" s="23" t="str">
        <f aca="false">IF(C154="","",X154+Y154+Z154+AA154+AB154+AC154+AE154)</f>
        <v/>
      </c>
      <c r="AG154" s="24" t="str">
        <f aca="false">IF(C154="","",IF(AF154&gt;=18,"A",IF(AF154&gt;=13,"B","C")))</f>
        <v/>
      </c>
      <c r="AH154" s="14" t="str">
        <f aca="false">IF(C154="","",IF(OR(AI154="Sold",AI154="Rejected"),"Closed",IF(AI154="Owned",IF(AND(ISNUMBER(W154),ISNUMBER(AL154),AL154&gt;W154*1.2),"REVIEW — price 20%+ above fair value",IF(AF154&lt;13,"REVIEW — quality score fell below 13","HOLD — re-check thesis yearly")),IF(AG154="A","Full LRC Stock Analysis",IF(AG154="B","Watch — re-check next month","Reject")))))</f>
        <v/>
      </c>
      <c r="AI154" s="35"/>
      <c r="AJ154" s="35"/>
      <c r="AK154" s="19"/>
      <c r="AL154" s="26"/>
      <c r="AM154" s="41" t="str">
        <f aca="false">IFERROR(IF(OR(AL154="",F154="",N(F154)=0),"",AL154/F154-1),"")</f>
        <v/>
      </c>
      <c r="AN154" s="35"/>
      <c r="AP154" s="43" t="str">
        <f aca="false">IF(AND(C154&lt;&gt;"",A154=$C$4,ISNUMBER(AF154)),AF154+ROW()/100000,"")</f>
        <v/>
      </c>
    </row>
    <row r="155" customFormat="false" ht="15" hidden="false" customHeight="false" outlineLevel="0" collapsed="false">
      <c r="A155" s="19"/>
      <c r="B155" s="35"/>
      <c r="C155" s="35"/>
      <c r="D155" s="35"/>
      <c r="E155" s="35"/>
      <c r="F155" s="26"/>
      <c r="G155" s="26"/>
      <c r="H155" s="49"/>
      <c r="I155" s="38"/>
      <c r="J155" s="49"/>
      <c r="K155" s="21"/>
      <c r="L155" s="21"/>
      <c r="M155" s="21"/>
      <c r="N155" s="21"/>
      <c r="O155" s="38"/>
      <c r="P155" s="38"/>
      <c r="Q155" s="21"/>
      <c r="R155" s="21"/>
      <c r="S155" s="21"/>
      <c r="T155" s="21"/>
      <c r="U155" s="25"/>
      <c r="V155" s="25"/>
      <c r="W155" s="26"/>
      <c r="X155" s="16" t="str">
        <f aca="false">IF(C155="","",IF(K155="",0,IF(K155&gt;=0.15,2,IF(K155&gt;=0.1,1,0)))+IF(L155="",0,IF(L155&gt;=0.12,2,IF(L155&gt;=0.08,1,0)))+(AND(N155&lt;&gt;"",N(N155)&gt;=0.15))+(AND(M155&lt;&gt;"",N(M155)&gt;=0.4)))</f>
        <v/>
      </c>
      <c r="Y155" s="16" t="str">
        <f aca="false">IF(C155="","",IF(Q155="",0,IF(Q155&gt;=0.1,2,IF(Q155&gt;=0.05,1,0)))+IF(R155="",0,IF(R155&gt;=0.08,2,IF(R155&gt;=0.04,1,0))))</f>
        <v/>
      </c>
      <c r="Z155" s="16" t="str">
        <f aca="false">IF(C155="","",IF(O155="",0,IF(O155&lt;=0.5,2,IF(O155&lt;=1,1,0)))+(AND(P155&lt;&gt;"",N(P155)&gt;=1.2)))</f>
        <v/>
      </c>
      <c r="AA155" s="16" t="str">
        <f aca="false">IF(C155="","",IF(H155="",0,IF(AND(H155&gt;0,H155&lt;=20),2,IF(AND(H155&gt;0,H155&lt;=30),1,0)))+IF(J155="",0,IF(AND(J155&gt;0,J155&lt;=20),2,IF(AND(J155&gt;0,J155&lt;=30),1,0))))</f>
        <v/>
      </c>
      <c r="AB155" s="16" t="str">
        <f aca="false">IF(C155="","",IF(OR(N(T155)&gt;=0.01,N(S155)&gt;=0.02),1,0))</f>
        <v/>
      </c>
      <c r="AC155" s="16" t="str">
        <f aca="false">IF(C155="","",MIN(2,N(U155))+MIN(2,N(V155)))</f>
        <v/>
      </c>
      <c r="AD155" s="50" t="str">
        <f aca="false">IFERROR(IF(OR(W155="",F155="",N(F155)=0),"",W155/F155-1),"")</f>
        <v/>
      </c>
      <c r="AE155" s="16" t="str">
        <f aca="false">IF(C155="","",IF(AD155="",0,IF(AD155&gt;=0.25,2,IF(AD155&gt;=0.1,1,0))))</f>
        <v/>
      </c>
      <c r="AF155" s="23" t="str">
        <f aca="false">IF(C155="","",X155+Y155+Z155+AA155+AB155+AC155+AE155)</f>
        <v/>
      </c>
      <c r="AG155" s="24" t="str">
        <f aca="false">IF(C155="","",IF(AF155&gt;=18,"A",IF(AF155&gt;=13,"B","C")))</f>
        <v/>
      </c>
      <c r="AH155" s="14" t="str">
        <f aca="false">IF(C155="","",IF(OR(AI155="Sold",AI155="Rejected"),"Closed",IF(AI155="Owned",IF(AND(ISNUMBER(W155),ISNUMBER(AL155),AL155&gt;W155*1.2),"REVIEW — price 20%+ above fair value",IF(AF155&lt;13,"REVIEW — quality score fell below 13","HOLD — re-check thesis yearly")),IF(AG155="A","Full LRC Stock Analysis",IF(AG155="B","Watch — re-check next month","Reject")))))</f>
        <v/>
      </c>
      <c r="AI155" s="35"/>
      <c r="AJ155" s="35"/>
      <c r="AK155" s="19"/>
      <c r="AL155" s="26"/>
      <c r="AM155" s="41" t="str">
        <f aca="false">IFERROR(IF(OR(AL155="",F155="",N(F155)=0),"",AL155/F155-1),"")</f>
        <v/>
      </c>
      <c r="AN155" s="35"/>
      <c r="AP155" s="43" t="str">
        <f aca="false">IF(AND(C155&lt;&gt;"",A155=$C$4,ISNUMBER(AF155)),AF155+ROW()/100000,"")</f>
        <v/>
      </c>
    </row>
    <row r="156" customFormat="false" ht="15" hidden="false" customHeight="false" outlineLevel="0" collapsed="false">
      <c r="A156" s="19"/>
      <c r="B156" s="35"/>
      <c r="C156" s="35"/>
      <c r="D156" s="35"/>
      <c r="E156" s="35"/>
      <c r="F156" s="26"/>
      <c r="G156" s="26"/>
      <c r="H156" s="49"/>
      <c r="I156" s="38"/>
      <c r="J156" s="49"/>
      <c r="K156" s="21"/>
      <c r="L156" s="21"/>
      <c r="M156" s="21"/>
      <c r="N156" s="21"/>
      <c r="O156" s="38"/>
      <c r="P156" s="38"/>
      <c r="Q156" s="21"/>
      <c r="R156" s="21"/>
      <c r="S156" s="21"/>
      <c r="T156" s="21"/>
      <c r="U156" s="25"/>
      <c r="V156" s="25"/>
      <c r="W156" s="26"/>
      <c r="X156" s="16" t="str">
        <f aca="false">IF(C156="","",IF(K156="",0,IF(K156&gt;=0.15,2,IF(K156&gt;=0.1,1,0)))+IF(L156="",0,IF(L156&gt;=0.12,2,IF(L156&gt;=0.08,1,0)))+(AND(N156&lt;&gt;"",N(N156)&gt;=0.15))+(AND(M156&lt;&gt;"",N(M156)&gt;=0.4)))</f>
        <v/>
      </c>
      <c r="Y156" s="16" t="str">
        <f aca="false">IF(C156="","",IF(Q156="",0,IF(Q156&gt;=0.1,2,IF(Q156&gt;=0.05,1,0)))+IF(R156="",0,IF(R156&gt;=0.08,2,IF(R156&gt;=0.04,1,0))))</f>
        <v/>
      </c>
      <c r="Z156" s="16" t="str">
        <f aca="false">IF(C156="","",IF(O156="",0,IF(O156&lt;=0.5,2,IF(O156&lt;=1,1,0)))+(AND(P156&lt;&gt;"",N(P156)&gt;=1.2)))</f>
        <v/>
      </c>
      <c r="AA156" s="16" t="str">
        <f aca="false">IF(C156="","",IF(H156="",0,IF(AND(H156&gt;0,H156&lt;=20),2,IF(AND(H156&gt;0,H156&lt;=30),1,0)))+IF(J156="",0,IF(AND(J156&gt;0,J156&lt;=20),2,IF(AND(J156&gt;0,J156&lt;=30),1,0))))</f>
        <v/>
      </c>
      <c r="AB156" s="16" t="str">
        <f aca="false">IF(C156="","",IF(OR(N(T156)&gt;=0.01,N(S156)&gt;=0.02),1,0))</f>
        <v/>
      </c>
      <c r="AC156" s="16" t="str">
        <f aca="false">IF(C156="","",MIN(2,N(U156))+MIN(2,N(V156)))</f>
        <v/>
      </c>
      <c r="AD156" s="50" t="str">
        <f aca="false">IFERROR(IF(OR(W156="",F156="",N(F156)=0),"",W156/F156-1),"")</f>
        <v/>
      </c>
      <c r="AE156" s="16" t="str">
        <f aca="false">IF(C156="","",IF(AD156="",0,IF(AD156&gt;=0.25,2,IF(AD156&gt;=0.1,1,0))))</f>
        <v/>
      </c>
      <c r="AF156" s="23" t="str">
        <f aca="false">IF(C156="","",X156+Y156+Z156+AA156+AB156+AC156+AE156)</f>
        <v/>
      </c>
      <c r="AG156" s="24" t="str">
        <f aca="false">IF(C156="","",IF(AF156&gt;=18,"A",IF(AF156&gt;=13,"B","C")))</f>
        <v/>
      </c>
      <c r="AH156" s="14" t="str">
        <f aca="false">IF(C156="","",IF(OR(AI156="Sold",AI156="Rejected"),"Closed",IF(AI156="Owned",IF(AND(ISNUMBER(W156),ISNUMBER(AL156),AL156&gt;W156*1.2),"REVIEW — price 20%+ above fair value",IF(AF156&lt;13,"REVIEW — quality score fell below 13","HOLD — re-check thesis yearly")),IF(AG156="A","Full LRC Stock Analysis",IF(AG156="B","Watch — re-check next month","Reject")))))</f>
        <v/>
      </c>
      <c r="AI156" s="35"/>
      <c r="AJ156" s="35"/>
      <c r="AK156" s="19"/>
      <c r="AL156" s="26"/>
      <c r="AM156" s="41" t="str">
        <f aca="false">IFERROR(IF(OR(AL156="",F156="",N(F156)=0),"",AL156/F156-1),"")</f>
        <v/>
      </c>
      <c r="AN156" s="35"/>
      <c r="AP156" s="43" t="str">
        <f aca="false">IF(AND(C156&lt;&gt;"",A156=$C$4,ISNUMBER(AF156)),AF156+ROW()/100000,"")</f>
        <v/>
      </c>
    </row>
    <row r="157" customFormat="false" ht="15" hidden="false" customHeight="false" outlineLevel="0" collapsed="false">
      <c r="A157" s="19"/>
      <c r="B157" s="35"/>
      <c r="C157" s="35"/>
      <c r="D157" s="35"/>
      <c r="E157" s="35"/>
      <c r="F157" s="26"/>
      <c r="G157" s="26"/>
      <c r="H157" s="49"/>
      <c r="I157" s="38"/>
      <c r="J157" s="49"/>
      <c r="K157" s="21"/>
      <c r="L157" s="21"/>
      <c r="M157" s="21"/>
      <c r="N157" s="21"/>
      <c r="O157" s="38"/>
      <c r="P157" s="38"/>
      <c r="Q157" s="21"/>
      <c r="R157" s="21"/>
      <c r="S157" s="21"/>
      <c r="T157" s="21"/>
      <c r="U157" s="25"/>
      <c r="V157" s="25"/>
      <c r="W157" s="26"/>
      <c r="X157" s="16" t="str">
        <f aca="false">IF(C157="","",IF(K157="",0,IF(K157&gt;=0.15,2,IF(K157&gt;=0.1,1,0)))+IF(L157="",0,IF(L157&gt;=0.12,2,IF(L157&gt;=0.08,1,0)))+(AND(N157&lt;&gt;"",N(N157)&gt;=0.15))+(AND(M157&lt;&gt;"",N(M157)&gt;=0.4)))</f>
        <v/>
      </c>
      <c r="Y157" s="16" t="str">
        <f aca="false">IF(C157="","",IF(Q157="",0,IF(Q157&gt;=0.1,2,IF(Q157&gt;=0.05,1,0)))+IF(R157="",0,IF(R157&gt;=0.08,2,IF(R157&gt;=0.04,1,0))))</f>
        <v/>
      </c>
      <c r="Z157" s="16" t="str">
        <f aca="false">IF(C157="","",IF(O157="",0,IF(O157&lt;=0.5,2,IF(O157&lt;=1,1,0)))+(AND(P157&lt;&gt;"",N(P157)&gt;=1.2)))</f>
        <v/>
      </c>
      <c r="AA157" s="16" t="str">
        <f aca="false">IF(C157="","",IF(H157="",0,IF(AND(H157&gt;0,H157&lt;=20),2,IF(AND(H157&gt;0,H157&lt;=30),1,0)))+IF(J157="",0,IF(AND(J157&gt;0,J157&lt;=20),2,IF(AND(J157&gt;0,J157&lt;=30),1,0))))</f>
        <v/>
      </c>
      <c r="AB157" s="16" t="str">
        <f aca="false">IF(C157="","",IF(OR(N(T157)&gt;=0.01,N(S157)&gt;=0.02),1,0))</f>
        <v/>
      </c>
      <c r="AC157" s="16" t="str">
        <f aca="false">IF(C157="","",MIN(2,N(U157))+MIN(2,N(V157)))</f>
        <v/>
      </c>
      <c r="AD157" s="50" t="str">
        <f aca="false">IFERROR(IF(OR(W157="",F157="",N(F157)=0),"",W157/F157-1),"")</f>
        <v/>
      </c>
      <c r="AE157" s="16" t="str">
        <f aca="false">IF(C157="","",IF(AD157="",0,IF(AD157&gt;=0.25,2,IF(AD157&gt;=0.1,1,0))))</f>
        <v/>
      </c>
      <c r="AF157" s="23" t="str">
        <f aca="false">IF(C157="","",X157+Y157+Z157+AA157+AB157+AC157+AE157)</f>
        <v/>
      </c>
      <c r="AG157" s="24" t="str">
        <f aca="false">IF(C157="","",IF(AF157&gt;=18,"A",IF(AF157&gt;=13,"B","C")))</f>
        <v/>
      </c>
      <c r="AH157" s="14" t="str">
        <f aca="false">IF(C157="","",IF(OR(AI157="Sold",AI157="Rejected"),"Closed",IF(AI157="Owned",IF(AND(ISNUMBER(W157),ISNUMBER(AL157),AL157&gt;W157*1.2),"REVIEW — price 20%+ above fair value",IF(AF157&lt;13,"REVIEW — quality score fell below 13","HOLD — re-check thesis yearly")),IF(AG157="A","Full LRC Stock Analysis",IF(AG157="B","Watch — re-check next month","Reject")))))</f>
        <v/>
      </c>
      <c r="AI157" s="35"/>
      <c r="AJ157" s="35"/>
      <c r="AK157" s="19"/>
      <c r="AL157" s="26"/>
      <c r="AM157" s="41" t="str">
        <f aca="false">IFERROR(IF(OR(AL157="",F157="",N(F157)=0),"",AL157/F157-1),"")</f>
        <v/>
      </c>
      <c r="AN157" s="35"/>
      <c r="AP157" s="43" t="str">
        <f aca="false">IF(AND(C157&lt;&gt;"",A157=$C$4,ISNUMBER(AF157)),AF157+ROW()/100000,"")</f>
        <v/>
      </c>
    </row>
    <row r="158" customFormat="false" ht="15" hidden="false" customHeight="false" outlineLevel="0" collapsed="false">
      <c r="A158" s="19"/>
      <c r="B158" s="35"/>
      <c r="C158" s="35"/>
      <c r="D158" s="35"/>
      <c r="E158" s="35"/>
      <c r="F158" s="26"/>
      <c r="G158" s="26"/>
      <c r="H158" s="49"/>
      <c r="I158" s="38"/>
      <c r="J158" s="49"/>
      <c r="K158" s="21"/>
      <c r="L158" s="21"/>
      <c r="M158" s="21"/>
      <c r="N158" s="21"/>
      <c r="O158" s="38"/>
      <c r="P158" s="38"/>
      <c r="Q158" s="21"/>
      <c r="R158" s="21"/>
      <c r="S158" s="21"/>
      <c r="T158" s="21"/>
      <c r="U158" s="25"/>
      <c r="V158" s="25"/>
      <c r="W158" s="26"/>
      <c r="X158" s="16" t="str">
        <f aca="false">IF(C158="","",IF(K158="",0,IF(K158&gt;=0.15,2,IF(K158&gt;=0.1,1,0)))+IF(L158="",0,IF(L158&gt;=0.12,2,IF(L158&gt;=0.08,1,0)))+(AND(N158&lt;&gt;"",N(N158)&gt;=0.15))+(AND(M158&lt;&gt;"",N(M158)&gt;=0.4)))</f>
        <v/>
      </c>
      <c r="Y158" s="16" t="str">
        <f aca="false">IF(C158="","",IF(Q158="",0,IF(Q158&gt;=0.1,2,IF(Q158&gt;=0.05,1,0)))+IF(R158="",0,IF(R158&gt;=0.08,2,IF(R158&gt;=0.04,1,0))))</f>
        <v/>
      </c>
      <c r="Z158" s="16" t="str">
        <f aca="false">IF(C158="","",IF(O158="",0,IF(O158&lt;=0.5,2,IF(O158&lt;=1,1,0)))+(AND(P158&lt;&gt;"",N(P158)&gt;=1.2)))</f>
        <v/>
      </c>
      <c r="AA158" s="16" t="str">
        <f aca="false">IF(C158="","",IF(H158="",0,IF(AND(H158&gt;0,H158&lt;=20),2,IF(AND(H158&gt;0,H158&lt;=30),1,0)))+IF(J158="",0,IF(AND(J158&gt;0,J158&lt;=20),2,IF(AND(J158&gt;0,J158&lt;=30),1,0))))</f>
        <v/>
      </c>
      <c r="AB158" s="16" t="str">
        <f aca="false">IF(C158="","",IF(OR(N(T158)&gt;=0.01,N(S158)&gt;=0.02),1,0))</f>
        <v/>
      </c>
      <c r="AC158" s="16" t="str">
        <f aca="false">IF(C158="","",MIN(2,N(U158))+MIN(2,N(V158)))</f>
        <v/>
      </c>
      <c r="AD158" s="50" t="str">
        <f aca="false">IFERROR(IF(OR(W158="",F158="",N(F158)=0),"",W158/F158-1),"")</f>
        <v/>
      </c>
      <c r="AE158" s="16" t="str">
        <f aca="false">IF(C158="","",IF(AD158="",0,IF(AD158&gt;=0.25,2,IF(AD158&gt;=0.1,1,0))))</f>
        <v/>
      </c>
      <c r="AF158" s="23" t="str">
        <f aca="false">IF(C158="","",X158+Y158+Z158+AA158+AB158+AC158+AE158)</f>
        <v/>
      </c>
      <c r="AG158" s="24" t="str">
        <f aca="false">IF(C158="","",IF(AF158&gt;=18,"A",IF(AF158&gt;=13,"B","C")))</f>
        <v/>
      </c>
      <c r="AH158" s="14" t="str">
        <f aca="false">IF(C158="","",IF(OR(AI158="Sold",AI158="Rejected"),"Closed",IF(AI158="Owned",IF(AND(ISNUMBER(W158),ISNUMBER(AL158),AL158&gt;W158*1.2),"REVIEW — price 20%+ above fair value",IF(AF158&lt;13,"REVIEW — quality score fell below 13","HOLD — re-check thesis yearly")),IF(AG158="A","Full LRC Stock Analysis",IF(AG158="B","Watch — re-check next month","Reject")))))</f>
        <v/>
      </c>
      <c r="AI158" s="35"/>
      <c r="AJ158" s="35"/>
      <c r="AK158" s="19"/>
      <c r="AL158" s="26"/>
      <c r="AM158" s="41" t="str">
        <f aca="false">IFERROR(IF(OR(AL158="",F158="",N(F158)=0),"",AL158/F158-1),"")</f>
        <v/>
      </c>
      <c r="AN158" s="35"/>
      <c r="AP158" s="43" t="str">
        <f aca="false">IF(AND(C158&lt;&gt;"",A158=$C$4,ISNUMBER(AF158)),AF158+ROW()/100000,"")</f>
        <v/>
      </c>
    </row>
  </sheetData>
  <autoFilter ref="A8:AN158"/>
  <mergeCells count="12">
    <mergeCell ref="C1:AN1"/>
    <mergeCell ref="A2:AN2"/>
    <mergeCell ref="A4:B4"/>
    <mergeCell ref="D4:G4"/>
    <mergeCell ref="J4:K4"/>
    <mergeCell ref="M4:O4"/>
    <mergeCell ref="A5:B5"/>
    <mergeCell ref="D5:G5"/>
    <mergeCell ref="J5:K5"/>
    <mergeCell ref="A7:W7"/>
    <mergeCell ref="X7:AG7"/>
    <mergeCell ref="AI7:AN7"/>
  </mergeCells>
  <conditionalFormatting sqref="AG9:AG158">
    <cfRule type="expression" priority="2" aboveAverage="0" equalAverage="0" bottom="0" percent="0" rank="0" text="" dxfId="2">
      <formula>AG9="A"</formula>
    </cfRule>
    <cfRule type="expression" priority="3" aboveAverage="0" equalAverage="0" bottom="0" percent="0" rank="0" text="" dxfId="3">
      <formula>AG9="B"</formula>
    </cfRule>
    <cfRule type="expression" priority="4" aboveAverage="0" equalAverage="0" bottom="0" percent="0" rank="0" text="" dxfId="4">
      <formula>AG9="C"</formula>
    </cfRule>
  </conditionalFormatting>
  <conditionalFormatting sqref="AH9:AH158">
    <cfRule type="expression" priority="5" aboveAverage="0" equalAverage="0" bottom="0" percent="0" rank="0" text="" dxfId="3">
      <formula>LEFT(AH9,6)="REVIEW"</formula>
    </cfRule>
    <cfRule type="expression" priority="6" aboveAverage="0" equalAverage="0" bottom="0" percent="0" rank="0" text="" dxfId="0">
      <formula>LEFT(AH9,4)="HOLD"</formula>
    </cfRule>
    <cfRule type="expression" priority="7" aboveAverage="0" equalAverage="0" bottom="0" percent="0" rank="0" text="" dxfId="0">
      <formula>LEFT(AH9,4)="Full"</formula>
    </cfRule>
    <cfRule type="expression" priority="8" aboveAverage="0" equalAverage="0" bottom="0" percent="0" rank="0" text="" dxfId="1">
      <formula>LEFT(AH9,6)="Reject"</formula>
    </cfRule>
  </conditionalFormatting>
  <conditionalFormatting sqref="A9:A158">
    <cfRule type="expression" priority="9" aboveAverage="0" equalAverage="0" bottom="0" percent="0" rank="0" text="" dxfId="27">
      <formula>AND(ISNUMBER(A9),A9=$C$4)</formula>
    </cfRule>
  </conditionalFormatting>
  <conditionalFormatting sqref="M4">
    <cfRule type="expression" priority="10" aboveAverage="0" equalAverage="0" bottom="0" percent="0" rank="0" text="" dxfId="0">
      <formula>LEFT(M4,1)="✔"</formula>
    </cfRule>
    <cfRule type="expression" priority="11" aboveAverage="0" equalAverage="0" bottom="0" percent="0" rank="0" text="" dxfId="1">
      <formula>LEFT(M4,1)="⚠"</formula>
    </cfRule>
  </conditionalFormatting>
  <dataValidations count="4">
    <dataValidation allowBlank="true" errorStyle="stop" operator="between" showDropDown="false" showErrorMessage="false" showInputMessage="false" sqref="B9:B158" type="list">
      <formula1>Lists!$A$4:$A$30</formula1>
      <formula2>0</formula2>
    </dataValidation>
    <dataValidation allowBlank="true" errorStyle="stop" operator="between" showDropDown="false" showErrorMessage="false" showInputMessage="false" sqref="AI9:AI158" type="list">
      <formula1>Lists!$E$4:$E$30</formula1>
      <formula2>0</formula2>
    </dataValidation>
    <dataValidation allowBlank="true" errorStyle="stop" operator="between" showDropDown="false" showErrorMessage="false" showInputMessage="false" sqref="E9:E158" type="list">
      <formula1>Lists!$H$4:$H$30</formula1>
      <formula2>0</formula2>
    </dataValidation>
    <dataValidation allowBlank="true" errorStyle="stop" operator="between" showDropDown="false" showErrorMessage="false" showInputMessage="false" sqref="U9:V158" type="list">
      <formula1>Lists!$G$4:$G$30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28"/>
    <col collapsed="false" customWidth="true" hidden="false" outlineLevel="0" max="5" min="5" style="1" width="30"/>
    <col collapsed="false" customWidth="true" hidden="false" outlineLevel="0" max="6" min="6" style="1" width="34"/>
    <col collapsed="false" customWidth="true" hidden="false" outlineLevel="0" max="7" min="7" style="1" width="36"/>
  </cols>
  <sheetData>
    <row r="1" customFormat="false" ht="51.75" hidden="false" customHeight="true" outlineLevel="0" collapsed="false">
      <c r="C1" s="2" t="s">
        <v>381</v>
      </c>
      <c r="D1" s="2"/>
      <c r="E1" s="2"/>
      <c r="F1" s="2"/>
      <c r="G1" s="2"/>
    </row>
    <row r="2" customFormat="false" ht="30" hidden="false" customHeight="true" outlineLevel="0" collapsed="false">
      <c r="A2" s="3" t="s">
        <v>382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256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44" t="s">
        <v>383</v>
      </c>
      <c r="B5" s="44"/>
      <c r="C5" s="44"/>
      <c r="D5" s="44"/>
      <c r="E5" s="44"/>
      <c r="F5" s="44"/>
      <c r="G5" s="45" t="s">
        <v>258</v>
      </c>
    </row>
    <row r="6" customFormat="false" ht="15" hidden="false" customHeight="false" outlineLevel="0" collapsed="false">
      <c r="A6" s="44" t="s">
        <v>384</v>
      </c>
      <c r="B6" s="44"/>
      <c r="C6" s="44"/>
      <c r="D6" s="44"/>
      <c r="E6" s="44"/>
      <c r="F6" s="44"/>
      <c r="G6" s="45" t="s">
        <v>258</v>
      </c>
    </row>
    <row r="7" customFormat="false" ht="15" hidden="false" customHeight="false" outlineLevel="0" collapsed="false">
      <c r="A7" s="44" t="s">
        <v>385</v>
      </c>
      <c r="B7" s="44"/>
      <c r="C7" s="44"/>
      <c r="D7" s="44"/>
      <c r="E7" s="44"/>
      <c r="F7" s="44"/>
      <c r="G7" s="45" t="s">
        <v>258</v>
      </c>
    </row>
    <row r="8" customFormat="false" ht="15" hidden="false" customHeight="false" outlineLevel="0" collapsed="false">
      <c r="A8" s="44" t="s">
        <v>386</v>
      </c>
      <c r="B8" s="44"/>
      <c r="C8" s="44"/>
      <c r="D8" s="44"/>
      <c r="E8" s="44"/>
      <c r="F8" s="44"/>
      <c r="G8" s="45" t="s">
        <v>258</v>
      </c>
    </row>
    <row r="9" customFormat="false" ht="15" hidden="false" customHeight="false" outlineLevel="0" collapsed="false">
      <c r="A9" s="44" t="s">
        <v>387</v>
      </c>
      <c r="B9" s="44"/>
      <c r="C9" s="44"/>
      <c r="D9" s="44"/>
      <c r="E9" s="44"/>
      <c r="F9" s="44"/>
      <c r="G9" s="45" t="s">
        <v>258</v>
      </c>
    </row>
    <row r="10" customFormat="false" ht="15" hidden="false" customHeight="false" outlineLevel="0" collapsed="false">
      <c r="A10" s="44" t="s">
        <v>388</v>
      </c>
      <c r="B10" s="44"/>
      <c r="C10" s="44"/>
      <c r="D10" s="44"/>
      <c r="E10" s="44"/>
      <c r="F10" s="44"/>
      <c r="G10" s="45" t="s">
        <v>258</v>
      </c>
    </row>
    <row r="11" customFormat="false" ht="15" hidden="false" customHeight="false" outlineLevel="0" collapsed="false">
      <c r="A11" s="44" t="s">
        <v>389</v>
      </c>
      <c r="B11" s="44"/>
      <c r="C11" s="44"/>
      <c r="D11" s="44"/>
      <c r="E11" s="44"/>
      <c r="F11" s="44"/>
      <c r="G11" s="45" t="s">
        <v>258</v>
      </c>
    </row>
    <row r="12" customFormat="false" ht="15" hidden="false" customHeight="false" outlineLevel="0" collapsed="false">
      <c r="A12" s="44" t="s">
        <v>390</v>
      </c>
      <c r="B12" s="44"/>
      <c r="C12" s="44"/>
      <c r="D12" s="44"/>
      <c r="E12" s="44"/>
      <c r="F12" s="44"/>
      <c r="G12" s="45" t="s">
        <v>391</v>
      </c>
    </row>
    <row r="13" customFormat="false" ht="15" hidden="false" customHeight="false" outlineLevel="0" collapsed="false">
      <c r="A13" s="44" t="s">
        <v>392</v>
      </c>
      <c r="B13" s="44"/>
      <c r="C13" s="44"/>
      <c r="D13" s="44"/>
      <c r="E13" s="44"/>
      <c r="F13" s="44"/>
      <c r="G13" s="45" t="s">
        <v>258</v>
      </c>
    </row>
    <row r="15" customFormat="false" ht="15" hidden="false" customHeight="false" outlineLevel="0" collapsed="false">
      <c r="A15" s="4" t="s">
        <v>267</v>
      </c>
      <c r="B15" s="4"/>
      <c r="C15" s="4"/>
      <c r="D15" s="4"/>
      <c r="E15" s="4"/>
      <c r="F15" s="4"/>
      <c r="G15" s="4"/>
    </row>
    <row r="16" customFormat="false" ht="33.75" hidden="false" customHeight="true" outlineLevel="0" collapsed="false">
      <c r="A16" s="31" t="s">
        <v>34</v>
      </c>
      <c r="B16" s="31" t="s">
        <v>35</v>
      </c>
      <c r="C16" s="31" t="s">
        <v>271</v>
      </c>
      <c r="D16" s="31" t="s">
        <v>43</v>
      </c>
      <c r="E16" s="31" t="s">
        <v>393</v>
      </c>
      <c r="F16" s="31" t="s">
        <v>394</v>
      </c>
      <c r="G16" s="31" t="s">
        <v>395</v>
      </c>
    </row>
    <row r="17" customFormat="false" ht="91" hidden="false" customHeight="false" outlineLevel="0" collapsed="false">
      <c r="A17" s="51" t="n">
        <v>46296</v>
      </c>
      <c r="B17" s="15" t="n">
        <f aca="false">IF(A17="","",COUNTIFS('Investment Watchlist'!$A$9:$A$158,A17,'Investment Watchlist'!$C$9:$C$158,"?*"))</f>
        <v>10</v>
      </c>
      <c r="C17" s="15" t="n">
        <f aca="false">IF(A17="","",COUNTIFS('Investment Watchlist'!$A$9:$A$158,A17,'Investment Watchlist'!$AG$9:$AG$158,"A"))</f>
        <v>5</v>
      </c>
      <c r="D17" s="47" t="s">
        <v>396</v>
      </c>
      <c r="E17" s="47" t="s">
        <v>397</v>
      </c>
      <c r="F17" s="47" t="s">
        <v>398</v>
      </c>
      <c r="G17" s="47" t="s">
        <v>399</v>
      </c>
    </row>
    <row r="18" customFormat="false" ht="15" hidden="false" customHeight="false" outlineLevel="0" collapsed="false">
      <c r="A18" s="51"/>
      <c r="B18" s="15" t="str">
        <f aca="false">IF(A18="","",COUNTIFS('Investment Watchlist'!$A$9:$A$158,A18,'Investment Watchlist'!$C$9:$C$158,"?*"))</f>
        <v/>
      </c>
      <c r="C18" s="15" t="str">
        <f aca="false">IF(A18="","",COUNTIFS('Investment Watchlist'!$A$9:$A$158,A18,'Investment Watchlist'!$AG$9:$AG$158,"A"))</f>
        <v/>
      </c>
      <c r="D18" s="47"/>
      <c r="E18" s="47"/>
      <c r="F18" s="47"/>
      <c r="G18" s="47"/>
    </row>
    <row r="19" customFormat="false" ht="15" hidden="false" customHeight="false" outlineLevel="0" collapsed="false">
      <c r="A19" s="51"/>
      <c r="B19" s="15" t="str">
        <f aca="false">IF(A19="","",COUNTIFS('Investment Watchlist'!$A$9:$A$158,A19,'Investment Watchlist'!$C$9:$C$158,"?*"))</f>
        <v/>
      </c>
      <c r="C19" s="15" t="str">
        <f aca="false">IF(A19="","",COUNTIFS('Investment Watchlist'!$A$9:$A$158,A19,'Investment Watchlist'!$AG$9:$AG$158,"A"))</f>
        <v/>
      </c>
      <c r="D19" s="47"/>
      <c r="E19" s="47"/>
      <c r="F19" s="47"/>
      <c r="G19" s="47"/>
    </row>
    <row r="20" customFormat="false" ht="15" hidden="false" customHeight="false" outlineLevel="0" collapsed="false">
      <c r="A20" s="51"/>
      <c r="B20" s="15" t="str">
        <f aca="false">IF(A20="","",COUNTIFS('Investment Watchlist'!$A$9:$A$158,A20,'Investment Watchlist'!$C$9:$C$158,"?*"))</f>
        <v/>
      </c>
      <c r="C20" s="15" t="str">
        <f aca="false">IF(A20="","",COUNTIFS('Investment Watchlist'!$A$9:$A$158,A20,'Investment Watchlist'!$AG$9:$AG$158,"A"))</f>
        <v/>
      </c>
      <c r="D20" s="47"/>
      <c r="E20" s="47"/>
      <c r="F20" s="47"/>
      <c r="G20" s="47"/>
    </row>
    <row r="21" customFormat="false" ht="15" hidden="false" customHeight="false" outlineLevel="0" collapsed="false">
      <c r="A21" s="51"/>
      <c r="B21" s="15" t="str">
        <f aca="false">IF(A21="","",COUNTIFS('Investment Watchlist'!$A$9:$A$158,A21,'Investment Watchlist'!$C$9:$C$158,"?*"))</f>
        <v/>
      </c>
      <c r="C21" s="15" t="str">
        <f aca="false">IF(A21="","",COUNTIFS('Investment Watchlist'!$A$9:$A$158,A21,'Investment Watchlist'!$AG$9:$AG$158,"A"))</f>
        <v/>
      </c>
      <c r="D21" s="47"/>
      <c r="E21" s="47"/>
      <c r="F21" s="47"/>
      <c r="G21" s="47"/>
    </row>
    <row r="22" customFormat="false" ht="15" hidden="false" customHeight="false" outlineLevel="0" collapsed="false">
      <c r="A22" s="51"/>
      <c r="B22" s="15" t="str">
        <f aca="false">IF(A22="","",COUNTIFS('Investment Watchlist'!$A$9:$A$158,A22,'Investment Watchlist'!$C$9:$C$158,"?*"))</f>
        <v/>
      </c>
      <c r="C22" s="15" t="str">
        <f aca="false">IF(A22="","",COUNTIFS('Investment Watchlist'!$A$9:$A$158,A22,'Investment Watchlist'!$AG$9:$AG$158,"A"))</f>
        <v/>
      </c>
      <c r="D22" s="47"/>
      <c r="E22" s="47"/>
      <c r="F22" s="47"/>
      <c r="G22" s="47"/>
    </row>
    <row r="23" customFormat="false" ht="15" hidden="false" customHeight="false" outlineLevel="0" collapsed="false">
      <c r="A23" s="51"/>
      <c r="B23" s="15" t="str">
        <f aca="false">IF(A23="","",COUNTIFS('Investment Watchlist'!$A$9:$A$158,A23,'Investment Watchlist'!$C$9:$C$158,"?*"))</f>
        <v/>
      </c>
      <c r="C23" s="15" t="str">
        <f aca="false">IF(A23="","",COUNTIFS('Investment Watchlist'!$A$9:$A$158,A23,'Investment Watchlist'!$AG$9:$AG$158,"A"))</f>
        <v/>
      </c>
      <c r="D23" s="47"/>
      <c r="E23" s="47"/>
      <c r="F23" s="47"/>
      <c r="G23" s="47"/>
    </row>
    <row r="24" customFormat="false" ht="15" hidden="false" customHeight="false" outlineLevel="0" collapsed="false">
      <c r="A24" s="51"/>
      <c r="B24" s="15" t="str">
        <f aca="false">IF(A24="","",COUNTIFS('Investment Watchlist'!$A$9:$A$158,A24,'Investment Watchlist'!$C$9:$C$158,"?*"))</f>
        <v/>
      </c>
      <c r="C24" s="15" t="str">
        <f aca="false">IF(A24="","",COUNTIFS('Investment Watchlist'!$A$9:$A$158,A24,'Investment Watchlist'!$AG$9:$AG$158,"A"))</f>
        <v/>
      </c>
      <c r="D24" s="47"/>
      <c r="E24" s="47"/>
      <c r="F24" s="47"/>
      <c r="G24" s="47"/>
    </row>
    <row r="25" customFormat="false" ht="15" hidden="false" customHeight="false" outlineLevel="0" collapsed="false">
      <c r="A25" s="51"/>
      <c r="B25" s="15" t="str">
        <f aca="false">IF(A25="","",COUNTIFS('Investment Watchlist'!$A$9:$A$158,A25,'Investment Watchlist'!$C$9:$C$158,"?*"))</f>
        <v/>
      </c>
      <c r="C25" s="15" t="str">
        <f aca="false">IF(A25="","",COUNTIFS('Investment Watchlist'!$A$9:$A$158,A25,'Investment Watchlist'!$AG$9:$AG$158,"A"))</f>
        <v/>
      </c>
      <c r="D25" s="47"/>
      <c r="E25" s="47"/>
      <c r="F25" s="47"/>
      <c r="G25" s="47"/>
    </row>
    <row r="26" customFormat="false" ht="15" hidden="false" customHeight="false" outlineLevel="0" collapsed="false">
      <c r="A26" s="51"/>
      <c r="B26" s="15" t="str">
        <f aca="false">IF(A26="","",COUNTIFS('Investment Watchlist'!$A$9:$A$158,A26,'Investment Watchlist'!$C$9:$C$158,"?*"))</f>
        <v/>
      </c>
      <c r="C26" s="15" t="str">
        <f aca="false">IF(A26="","",COUNTIFS('Investment Watchlist'!$A$9:$A$158,A26,'Investment Watchlist'!$AG$9:$AG$158,"A"))</f>
        <v/>
      </c>
      <c r="D26" s="47"/>
      <c r="E26" s="47"/>
      <c r="F26" s="47"/>
      <c r="G26" s="47"/>
    </row>
    <row r="27" customFormat="false" ht="15" hidden="false" customHeight="false" outlineLevel="0" collapsed="false">
      <c r="A27" s="51"/>
      <c r="B27" s="15" t="str">
        <f aca="false">IF(A27="","",COUNTIFS('Investment Watchlist'!$A$9:$A$158,A27,'Investment Watchlist'!$C$9:$C$158,"?*"))</f>
        <v/>
      </c>
      <c r="C27" s="15" t="str">
        <f aca="false">IF(A27="","",COUNTIFS('Investment Watchlist'!$A$9:$A$158,A27,'Investment Watchlist'!$AG$9:$AG$158,"A"))</f>
        <v/>
      </c>
      <c r="D27" s="47"/>
      <c r="E27" s="47"/>
      <c r="F27" s="47"/>
      <c r="G27" s="47"/>
    </row>
    <row r="28" customFormat="false" ht="15" hidden="false" customHeight="false" outlineLevel="0" collapsed="false">
      <c r="A28" s="51"/>
      <c r="B28" s="15" t="str">
        <f aca="false">IF(A28="","",COUNTIFS('Investment Watchlist'!$A$9:$A$158,A28,'Investment Watchlist'!$C$9:$C$158,"?*"))</f>
        <v/>
      </c>
      <c r="C28" s="15" t="str">
        <f aca="false">IF(A28="","",COUNTIFS('Investment Watchlist'!$A$9:$A$158,A28,'Investment Watchlist'!$AG$9:$AG$158,"A"))</f>
        <v/>
      </c>
      <c r="D28" s="47"/>
      <c r="E28" s="47"/>
      <c r="F28" s="47"/>
      <c r="G28" s="47"/>
    </row>
    <row r="29" customFormat="false" ht="15" hidden="false" customHeight="false" outlineLevel="0" collapsed="false">
      <c r="A29" s="51"/>
      <c r="B29" s="15" t="str">
        <f aca="false">IF(A29="","",COUNTIFS('Investment Watchlist'!$A$9:$A$158,A29,'Investment Watchlist'!$C$9:$C$158,"?*"))</f>
        <v/>
      </c>
      <c r="C29" s="15" t="str">
        <f aca="false">IF(A29="","",COUNTIFS('Investment Watchlist'!$A$9:$A$158,A29,'Investment Watchlist'!$AG$9:$AG$158,"A"))</f>
        <v/>
      </c>
      <c r="D29" s="47"/>
      <c r="E29" s="47"/>
      <c r="F29" s="47"/>
      <c r="G29" s="47"/>
    </row>
    <row r="30" customFormat="false" ht="15" hidden="false" customHeight="false" outlineLevel="0" collapsed="false">
      <c r="A30" s="51"/>
      <c r="B30" s="15" t="str">
        <f aca="false">IF(A30="","",COUNTIFS('Investment Watchlist'!$A$9:$A$158,A30,'Investment Watchlist'!$C$9:$C$158,"?*"))</f>
        <v/>
      </c>
      <c r="C30" s="15" t="str">
        <f aca="false">IF(A30="","",COUNTIFS('Investment Watchlist'!$A$9:$A$158,A30,'Investment Watchlist'!$AG$9:$AG$158,"A"))</f>
        <v/>
      </c>
      <c r="D30" s="47"/>
      <c r="E30" s="47"/>
      <c r="F30" s="47"/>
      <c r="G30" s="47"/>
    </row>
    <row r="31" customFormat="false" ht="15" hidden="false" customHeight="false" outlineLevel="0" collapsed="false">
      <c r="A31" s="51"/>
      <c r="B31" s="15" t="str">
        <f aca="false">IF(A31="","",COUNTIFS('Investment Watchlist'!$A$9:$A$158,A31,'Investment Watchlist'!$C$9:$C$158,"?*"))</f>
        <v/>
      </c>
      <c r="C31" s="15" t="str">
        <f aca="false">IF(A31="","",COUNTIFS('Investment Watchlist'!$A$9:$A$158,A31,'Investment Watchlist'!$AG$9:$AG$158,"A"))</f>
        <v/>
      </c>
      <c r="D31" s="47"/>
      <c r="E31" s="47"/>
      <c r="F31" s="47"/>
      <c r="G31" s="47"/>
    </row>
    <row r="32" customFormat="false" ht="15" hidden="false" customHeight="false" outlineLevel="0" collapsed="false">
      <c r="A32" s="51"/>
      <c r="B32" s="15" t="str">
        <f aca="false">IF(A32="","",COUNTIFS('Investment Watchlist'!$A$9:$A$158,A32,'Investment Watchlist'!$C$9:$C$158,"?*"))</f>
        <v/>
      </c>
      <c r="C32" s="15" t="str">
        <f aca="false">IF(A32="","",COUNTIFS('Investment Watchlist'!$A$9:$A$158,A32,'Investment Watchlist'!$AG$9:$AG$158,"A"))</f>
        <v/>
      </c>
      <c r="D32" s="47"/>
      <c r="E32" s="47"/>
      <c r="F32" s="47"/>
      <c r="G32" s="47"/>
    </row>
    <row r="33" customFormat="false" ht="15" hidden="false" customHeight="false" outlineLevel="0" collapsed="false">
      <c r="A33" s="51"/>
      <c r="B33" s="15" t="str">
        <f aca="false">IF(A33="","",COUNTIFS('Investment Watchlist'!$A$9:$A$158,A33,'Investment Watchlist'!$C$9:$C$158,"?*"))</f>
        <v/>
      </c>
      <c r="C33" s="15" t="str">
        <f aca="false">IF(A33="","",COUNTIFS('Investment Watchlist'!$A$9:$A$158,A33,'Investment Watchlist'!$AG$9:$AG$158,"A"))</f>
        <v/>
      </c>
      <c r="D33" s="47"/>
      <c r="E33" s="47"/>
      <c r="F33" s="47"/>
      <c r="G33" s="47"/>
    </row>
    <row r="34" customFormat="false" ht="15" hidden="false" customHeight="false" outlineLevel="0" collapsed="false">
      <c r="A34" s="51"/>
      <c r="B34" s="15" t="str">
        <f aca="false">IF(A34="","",COUNTIFS('Investment Watchlist'!$A$9:$A$158,A34,'Investment Watchlist'!$C$9:$C$158,"?*"))</f>
        <v/>
      </c>
      <c r="C34" s="15" t="str">
        <f aca="false">IF(A34="","",COUNTIFS('Investment Watchlist'!$A$9:$A$158,A34,'Investment Watchlist'!$AG$9:$AG$158,"A"))</f>
        <v/>
      </c>
      <c r="D34" s="47"/>
      <c r="E34" s="47"/>
      <c r="F34" s="47"/>
      <c r="G34" s="47"/>
    </row>
    <row r="35" customFormat="false" ht="15" hidden="false" customHeight="false" outlineLevel="0" collapsed="false">
      <c r="A35" s="51"/>
      <c r="B35" s="15" t="str">
        <f aca="false">IF(A35="","",COUNTIFS('Investment Watchlist'!$A$9:$A$158,A35,'Investment Watchlist'!$C$9:$C$158,"?*"))</f>
        <v/>
      </c>
      <c r="C35" s="15" t="str">
        <f aca="false">IF(A35="","",COUNTIFS('Investment Watchlist'!$A$9:$A$158,A35,'Investment Watchlist'!$AG$9:$AG$158,"A"))</f>
        <v/>
      </c>
      <c r="D35" s="47"/>
      <c r="E35" s="47"/>
      <c r="F35" s="47"/>
      <c r="G35" s="47"/>
    </row>
    <row r="36" customFormat="false" ht="15" hidden="false" customHeight="false" outlineLevel="0" collapsed="false">
      <c r="A36" s="51"/>
      <c r="B36" s="15" t="str">
        <f aca="false">IF(A36="","",COUNTIFS('Investment Watchlist'!$A$9:$A$158,A36,'Investment Watchlist'!$C$9:$C$158,"?*"))</f>
        <v/>
      </c>
      <c r="C36" s="15" t="str">
        <f aca="false">IF(A36="","",COUNTIFS('Investment Watchlist'!$A$9:$A$158,A36,'Investment Watchlist'!$AG$9:$AG$158,"A"))</f>
        <v/>
      </c>
      <c r="D36" s="47"/>
      <c r="E36" s="47"/>
      <c r="F36" s="47"/>
      <c r="G36" s="47"/>
    </row>
    <row r="37" customFormat="false" ht="15" hidden="false" customHeight="false" outlineLevel="0" collapsed="false">
      <c r="A37" s="51"/>
      <c r="B37" s="15" t="str">
        <f aca="false">IF(A37="","",COUNTIFS('Investment Watchlist'!$A$9:$A$158,A37,'Investment Watchlist'!$C$9:$C$158,"?*"))</f>
        <v/>
      </c>
      <c r="C37" s="15" t="str">
        <f aca="false">IF(A37="","",COUNTIFS('Investment Watchlist'!$A$9:$A$158,A37,'Investment Watchlist'!$AG$9:$AG$158,"A"))</f>
        <v/>
      </c>
      <c r="D37" s="47"/>
      <c r="E37" s="47"/>
      <c r="F37" s="47"/>
      <c r="G37" s="47"/>
    </row>
    <row r="38" customFormat="false" ht="15" hidden="false" customHeight="false" outlineLevel="0" collapsed="false">
      <c r="A38" s="51"/>
      <c r="B38" s="15" t="str">
        <f aca="false">IF(A38="","",COUNTIFS('Investment Watchlist'!$A$9:$A$158,A38,'Investment Watchlist'!$C$9:$C$158,"?*"))</f>
        <v/>
      </c>
      <c r="C38" s="15" t="str">
        <f aca="false">IF(A38="","",COUNTIFS('Investment Watchlist'!$A$9:$A$158,A38,'Investment Watchlist'!$AG$9:$AG$158,"A"))</f>
        <v/>
      </c>
      <c r="D38" s="47"/>
      <c r="E38" s="47"/>
      <c r="F38" s="47"/>
      <c r="G38" s="47"/>
    </row>
    <row r="39" customFormat="false" ht="15" hidden="false" customHeight="false" outlineLevel="0" collapsed="false">
      <c r="A39" s="51"/>
      <c r="B39" s="15" t="str">
        <f aca="false">IF(A39="","",COUNTIFS('Investment Watchlist'!$A$9:$A$158,A39,'Investment Watchlist'!$C$9:$C$158,"?*"))</f>
        <v/>
      </c>
      <c r="C39" s="15" t="str">
        <f aca="false">IF(A39="","",COUNTIFS('Investment Watchlist'!$A$9:$A$158,A39,'Investment Watchlist'!$AG$9:$AG$158,"A"))</f>
        <v/>
      </c>
      <c r="D39" s="47"/>
      <c r="E39" s="47"/>
      <c r="F39" s="47"/>
      <c r="G39" s="47"/>
    </row>
    <row r="40" customFormat="false" ht="15" hidden="false" customHeight="false" outlineLevel="0" collapsed="false">
      <c r="A40" s="51"/>
      <c r="B40" s="15" t="str">
        <f aca="false">IF(A40="","",COUNTIFS('Investment Watchlist'!$A$9:$A$158,A40,'Investment Watchlist'!$C$9:$C$158,"?*"))</f>
        <v/>
      </c>
      <c r="C40" s="15" t="str">
        <f aca="false">IF(A40="","",COUNTIFS('Investment Watchlist'!$A$9:$A$158,A40,'Investment Watchlist'!$AG$9:$AG$158,"A"))</f>
        <v/>
      </c>
      <c r="D40" s="47"/>
      <c r="E40" s="47"/>
      <c r="F40" s="47"/>
      <c r="G40" s="47"/>
    </row>
  </sheetData>
  <mergeCells count="13">
    <mergeCell ref="C1:G1"/>
    <mergeCell ref="A2:G2"/>
    <mergeCell ref="A4:G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5:G15"/>
  </mergeCells>
  <conditionalFormatting sqref="G5:G13">
    <cfRule type="expression" priority="2" aboveAverage="0" equalAverage="0" bottom="0" percent="0" rank="0" text="" dxfId="29">
      <formula>G5="✔"</formula>
    </cfRule>
  </conditionalFormatting>
  <dataValidations count="1">
    <dataValidation allowBlank="false" errorStyle="stop" operator="between" showDropDown="false" showErrorMessage="false" showInputMessage="false" sqref="G5:G13" type="list">
      <formula1>"☐,✔"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6" min="3" style="1" width="30"/>
  </cols>
  <sheetData>
    <row r="1" customFormat="false" ht="51.75" hidden="false" customHeight="true" outlineLevel="0" collapsed="false">
      <c r="C1" s="2" t="s">
        <v>400</v>
      </c>
      <c r="D1" s="2"/>
      <c r="E1" s="2"/>
      <c r="F1" s="2"/>
    </row>
    <row r="2" customFormat="false" ht="30" hidden="false" customHeight="true" outlineLevel="0" collapsed="false">
      <c r="A2" s="3" t="s">
        <v>401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402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31" t="s">
        <v>403</v>
      </c>
      <c r="B5" s="31" t="s">
        <v>404</v>
      </c>
      <c r="C5" s="31" t="s">
        <v>405</v>
      </c>
      <c r="D5" s="31" t="s">
        <v>406</v>
      </c>
      <c r="E5" s="31" t="s">
        <v>407</v>
      </c>
      <c r="F5" s="31" t="s">
        <v>408</v>
      </c>
    </row>
    <row r="6" customFormat="false" ht="15" hidden="false" customHeight="false" outlineLevel="0" collapsed="false">
      <c r="A6" s="52" t="s">
        <v>409</v>
      </c>
      <c r="B6" s="5" t="s">
        <v>410</v>
      </c>
      <c r="C6" s="52" t="s">
        <v>411</v>
      </c>
      <c r="D6" s="52" t="s">
        <v>411</v>
      </c>
      <c r="E6" s="52" t="s">
        <v>412</v>
      </c>
      <c r="F6" s="52" t="s">
        <v>413</v>
      </c>
    </row>
    <row r="7" customFormat="false" ht="15" hidden="false" customHeight="false" outlineLevel="0" collapsed="false">
      <c r="A7" s="52" t="s">
        <v>409</v>
      </c>
      <c r="B7" s="5" t="s">
        <v>414</v>
      </c>
      <c r="C7" s="52" t="s">
        <v>415</v>
      </c>
      <c r="D7" s="52" t="s">
        <v>416</v>
      </c>
      <c r="E7" s="52" t="s">
        <v>417</v>
      </c>
      <c r="F7" s="52" t="s">
        <v>418</v>
      </c>
    </row>
    <row r="8" customFormat="false" ht="15" hidden="false" customHeight="false" outlineLevel="0" collapsed="false">
      <c r="A8" s="52" t="s">
        <v>409</v>
      </c>
      <c r="B8" s="5" t="s">
        <v>145</v>
      </c>
      <c r="C8" s="52" t="s">
        <v>419</v>
      </c>
      <c r="D8" s="52" t="s">
        <v>419</v>
      </c>
      <c r="E8" s="52" t="s">
        <v>420</v>
      </c>
      <c r="F8" s="52" t="s">
        <v>421</v>
      </c>
    </row>
    <row r="9" customFormat="false" ht="15" hidden="false" customHeight="false" outlineLevel="0" collapsed="false">
      <c r="A9" s="52" t="s">
        <v>409</v>
      </c>
      <c r="B9" s="5" t="s">
        <v>422</v>
      </c>
      <c r="C9" s="52" t="s">
        <v>423</v>
      </c>
      <c r="D9" s="52" t="s">
        <v>423</v>
      </c>
      <c r="E9" s="52" t="s">
        <v>423</v>
      </c>
      <c r="F9" s="52" t="s">
        <v>424</v>
      </c>
    </row>
    <row r="10" customFormat="false" ht="15" hidden="false" customHeight="false" outlineLevel="0" collapsed="false">
      <c r="A10" s="52" t="s">
        <v>409</v>
      </c>
      <c r="B10" s="5" t="s">
        <v>425</v>
      </c>
      <c r="C10" s="52" t="s">
        <v>426</v>
      </c>
      <c r="D10" s="52" t="s">
        <v>427</v>
      </c>
      <c r="E10" s="52" t="s">
        <v>426</v>
      </c>
      <c r="F10" s="52" t="s">
        <v>428</v>
      </c>
    </row>
    <row r="11" customFormat="false" ht="15" hidden="false" customHeight="false" outlineLevel="0" collapsed="false">
      <c r="A11" s="52" t="s">
        <v>429</v>
      </c>
      <c r="B11" s="5" t="s">
        <v>430</v>
      </c>
      <c r="C11" s="52" t="s">
        <v>431</v>
      </c>
      <c r="D11" s="52" t="s">
        <v>432</v>
      </c>
      <c r="E11" s="52" t="s">
        <v>426</v>
      </c>
      <c r="F11" s="52" t="s">
        <v>433</v>
      </c>
    </row>
    <row r="12" customFormat="false" ht="23.85" hidden="false" customHeight="false" outlineLevel="0" collapsed="false">
      <c r="A12" s="52" t="s">
        <v>429</v>
      </c>
      <c r="B12" s="5" t="s">
        <v>434</v>
      </c>
      <c r="C12" s="52" t="s">
        <v>435</v>
      </c>
      <c r="D12" s="52" t="s">
        <v>432</v>
      </c>
      <c r="E12" s="52" t="s">
        <v>426</v>
      </c>
      <c r="F12" s="52" t="s">
        <v>436</v>
      </c>
    </row>
    <row r="13" customFormat="false" ht="15" hidden="false" customHeight="false" outlineLevel="0" collapsed="false">
      <c r="A13" s="52" t="s">
        <v>429</v>
      </c>
      <c r="B13" s="5" t="s">
        <v>437</v>
      </c>
      <c r="C13" s="52" t="s">
        <v>438</v>
      </c>
      <c r="D13" s="52" t="s">
        <v>432</v>
      </c>
      <c r="E13" s="52" t="s">
        <v>426</v>
      </c>
      <c r="F13" s="52" t="s">
        <v>439</v>
      </c>
    </row>
    <row r="14" customFormat="false" ht="15" hidden="false" customHeight="false" outlineLevel="0" collapsed="false">
      <c r="A14" s="52" t="s">
        <v>429</v>
      </c>
      <c r="B14" s="5" t="s">
        <v>440</v>
      </c>
      <c r="C14" s="52" t="s">
        <v>441</v>
      </c>
      <c r="D14" s="52" t="s">
        <v>442</v>
      </c>
      <c r="E14" s="52" t="s">
        <v>426</v>
      </c>
      <c r="F14" s="52" t="s">
        <v>443</v>
      </c>
    </row>
    <row r="15" customFormat="false" ht="23.85" hidden="false" customHeight="false" outlineLevel="0" collapsed="false">
      <c r="A15" s="52" t="s">
        <v>429</v>
      </c>
      <c r="B15" s="5" t="s">
        <v>444</v>
      </c>
      <c r="C15" s="52" t="s">
        <v>445</v>
      </c>
      <c r="D15" s="52" t="s">
        <v>446</v>
      </c>
      <c r="E15" s="52" t="s">
        <v>426</v>
      </c>
      <c r="F15" s="52" t="s">
        <v>447</v>
      </c>
    </row>
    <row r="16" customFormat="false" ht="15" hidden="false" customHeight="false" outlineLevel="0" collapsed="false">
      <c r="A16" s="52" t="s">
        <v>448</v>
      </c>
      <c r="B16" s="5" t="s">
        <v>449</v>
      </c>
      <c r="C16" s="52" t="s">
        <v>450</v>
      </c>
      <c r="D16" s="52" t="s">
        <v>426</v>
      </c>
      <c r="E16" s="52" t="s">
        <v>426</v>
      </c>
      <c r="F16" s="52" t="s">
        <v>451</v>
      </c>
    </row>
    <row r="17" customFormat="false" ht="15" hidden="false" customHeight="false" outlineLevel="0" collapsed="false">
      <c r="A17" s="52" t="s">
        <v>429</v>
      </c>
      <c r="B17" s="5" t="s">
        <v>452</v>
      </c>
      <c r="C17" s="52" t="s">
        <v>426</v>
      </c>
      <c r="D17" s="52" t="s">
        <v>426</v>
      </c>
      <c r="E17" s="52" t="s">
        <v>453</v>
      </c>
      <c r="F17" s="52" t="s">
        <v>454</v>
      </c>
    </row>
    <row r="18" customFormat="false" ht="15" hidden="false" customHeight="false" outlineLevel="0" collapsed="false">
      <c r="A18" s="52" t="s">
        <v>429</v>
      </c>
      <c r="B18" s="5" t="s">
        <v>455</v>
      </c>
      <c r="C18" s="52" t="s">
        <v>426</v>
      </c>
      <c r="D18" s="52" t="s">
        <v>426</v>
      </c>
      <c r="E18" s="52" t="s">
        <v>456</v>
      </c>
      <c r="F18" s="52" t="s">
        <v>457</v>
      </c>
    </row>
    <row r="19" customFormat="false" ht="15" hidden="false" customHeight="false" outlineLevel="0" collapsed="false">
      <c r="A19" s="52" t="s">
        <v>429</v>
      </c>
      <c r="B19" s="5" t="s">
        <v>458</v>
      </c>
      <c r="C19" s="52" t="s">
        <v>426</v>
      </c>
      <c r="D19" s="52" t="s">
        <v>426</v>
      </c>
      <c r="E19" s="52" t="s">
        <v>459</v>
      </c>
      <c r="F19" s="52" t="s">
        <v>460</v>
      </c>
    </row>
    <row r="20" customFormat="false" ht="15" hidden="false" customHeight="false" outlineLevel="0" collapsed="false">
      <c r="A20" s="52" t="s">
        <v>429</v>
      </c>
      <c r="B20" s="5" t="s">
        <v>461</v>
      </c>
      <c r="C20" s="52" t="s">
        <v>426</v>
      </c>
      <c r="D20" s="52" t="s">
        <v>426</v>
      </c>
      <c r="E20" s="52" t="s">
        <v>462</v>
      </c>
      <c r="F20" s="52" t="s">
        <v>463</v>
      </c>
    </row>
    <row r="21" customFormat="false" ht="15" hidden="false" customHeight="false" outlineLevel="0" collapsed="false">
      <c r="A21" s="52" t="s">
        <v>429</v>
      </c>
      <c r="B21" s="5" t="s">
        <v>464</v>
      </c>
      <c r="C21" s="52" t="s">
        <v>441</v>
      </c>
      <c r="D21" s="52" t="s">
        <v>442</v>
      </c>
      <c r="E21" s="52" t="s">
        <v>465</v>
      </c>
      <c r="F21" s="52" t="s">
        <v>466</v>
      </c>
    </row>
    <row r="22" customFormat="false" ht="15" hidden="false" customHeight="false" outlineLevel="0" collapsed="false">
      <c r="A22" s="52" t="s">
        <v>429</v>
      </c>
      <c r="B22" s="5" t="s">
        <v>467</v>
      </c>
      <c r="C22" s="52" t="s">
        <v>468</v>
      </c>
      <c r="D22" s="52" t="s">
        <v>469</v>
      </c>
      <c r="E22" s="52" t="s">
        <v>470</v>
      </c>
      <c r="F22" s="52" t="s">
        <v>471</v>
      </c>
    </row>
    <row r="23" customFormat="false" ht="15" hidden="false" customHeight="false" outlineLevel="0" collapsed="false">
      <c r="A23" s="52" t="s">
        <v>429</v>
      </c>
      <c r="B23" s="5" t="s">
        <v>472</v>
      </c>
      <c r="C23" s="52" t="s">
        <v>426</v>
      </c>
      <c r="D23" s="52" t="s">
        <v>426</v>
      </c>
      <c r="E23" s="52" t="s">
        <v>473</v>
      </c>
      <c r="F23" s="52" t="s">
        <v>474</v>
      </c>
    </row>
    <row r="24" customFormat="false" ht="23.85" hidden="false" customHeight="false" outlineLevel="0" collapsed="false">
      <c r="A24" s="52" t="s">
        <v>429</v>
      </c>
      <c r="B24" s="5" t="s">
        <v>334</v>
      </c>
      <c r="C24" s="52" t="s">
        <v>426</v>
      </c>
      <c r="D24" s="52" t="s">
        <v>426</v>
      </c>
      <c r="E24" s="52" t="s">
        <v>475</v>
      </c>
      <c r="F24" s="52" t="s">
        <v>476</v>
      </c>
    </row>
    <row r="25" customFormat="false" ht="15" hidden="false" customHeight="false" outlineLevel="0" collapsed="false">
      <c r="A25" s="52" t="s">
        <v>429</v>
      </c>
      <c r="B25" s="5" t="s">
        <v>477</v>
      </c>
      <c r="C25" s="52" t="s">
        <v>426</v>
      </c>
      <c r="D25" s="52" t="s">
        <v>426</v>
      </c>
      <c r="E25" s="52" t="s">
        <v>475</v>
      </c>
      <c r="F25" s="52" t="s">
        <v>478</v>
      </c>
    </row>
    <row r="26" customFormat="false" ht="15" hidden="false" customHeight="false" outlineLevel="0" collapsed="false">
      <c r="A26" s="52" t="s">
        <v>479</v>
      </c>
      <c r="B26" s="5" t="s">
        <v>480</v>
      </c>
      <c r="C26" s="52" t="s">
        <v>426</v>
      </c>
      <c r="D26" s="52" t="s">
        <v>481</v>
      </c>
      <c r="E26" s="52" t="s">
        <v>426</v>
      </c>
      <c r="F26" s="52" t="s">
        <v>482</v>
      </c>
    </row>
    <row r="27" customFormat="false" ht="15" hidden="false" customHeight="false" outlineLevel="0" collapsed="false">
      <c r="A27" s="52" t="s">
        <v>483</v>
      </c>
      <c r="B27" s="5" t="s">
        <v>484</v>
      </c>
      <c r="C27" s="52" t="s">
        <v>485</v>
      </c>
      <c r="D27" s="52" t="s">
        <v>486</v>
      </c>
      <c r="E27" s="52" t="s">
        <v>426</v>
      </c>
      <c r="F27" s="52" t="s">
        <v>487</v>
      </c>
    </row>
    <row r="28" customFormat="false" ht="15" hidden="false" customHeight="false" outlineLevel="0" collapsed="false">
      <c r="A28" s="52" t="s">
        <v>483</v>
      </c>
      <c r="B28" s="5" t="s">
        <v>488</v>
      </c>
      <c r="C28" s="52" t="s">
        <v>489</v>
      </c>
      <c r="D28" s="52" t="s">
        <v>490</v>
      </c>
      <c r="E28" s="52" t="s">
        <v>491</v>
      </c>
      <c r="F28" s="52" t="s">
        <v>492</v>
      </c>
    </row>
    <row r="29" customFormat="false" ht="15" hidden="false" customHeight="false" outlineLevel="0" collapsed="false">
      <c r="A29" s="52" t="s">
        <v>483</v>
      </c>
      <c r="B29" s="5" t="s">
        <v>493</v>
      </c>
      <c r="C29" s="52" t="s">
        <v>494</v>
      </c>
      <c r="D29" s="52" t="s">
        <v>495</v>
      </c>
      <c r="E29" s="52" t="s">
        <v>426</v>
      </c>
      <c r="F29" s="52" t="s">
        <v>496</v>
      </c>
    </row>
    <row r="30" customFormat="false" ht="15" hidden="false" customHeight="false" outlineLevel="0" collapsed="false">
      <c r="A30" s="52" t="s">
        <v>483</v>
      </c>
      <c r="B30" s="5" t="s">
        <v>497</v>
      </c>
      <c r="C30" s="52" t="s">
        <v>498</v>
      </c>
      <c r="D30" s="52" t="s">
        <v>499</v>
      </c>
      <c r="E30" s="52" t="s">
        <v>426</v>
      </c>
      <c r="F30" s="52" t="s">
        <v>500</v>
      </c>
    </row>
    <row r="31" customFormat="false" ht="23.85" hidden="false" customHeight="false" outlineLevel="0" collapsed="false">
      <c r="A31" s="52" t="s">
        <v>483</v>
      </c>
      <c r="B31" s="5" t="s">
        <v>152</v>
      </c>
      <c r="C31" s="52" t="s">
        <v>501</v>
      </c>
      <c r="D31" s="52" t="s">
        <v>502</v>
      </c>
      <c r="E31" s="52" t="s">
        <v>426</v>
      </c>
      <c r="F31" s="52" t="s">
        <v>503</v>
      </c>
    </row>
    <row r="32" customFormat="false" ht="15" hidden="false" customHeight="false" outlineLevel="0" collapsed="false">
      <c r="A32" s="52" t="s">
        <v>483</v>
      </c>
      <c r="B32" s="5" t="s">
        <v>504</v>
      </c>
      <c r="C32" s="52" t="s">
        <v>505</v>
      </c>
      <c r="D32" s="52" t="s">
        <v>506</v>
      </c>
      <c r="E32" s="52" t="s">
        <v>426</v>
      </c>
      <c r="F32" s="52" t="s">
        <v>507</v>
      </c>
    </row>
    <row r="33" customFormat="false" ht="23.85" hidden="false" customHeight="false" outlineLevel="0" collapsed="false">
      <c r="A33" s="52" t="s">
        <v>508</v>
      </c>
      <c r="B33" s="5" t="s">
        <v>509</v>
      </c>
      <c r="C33" s="52" t="s">
        <v>510</v>
      </c>
      <c r="D33" s="52" t="s">
        <v>511</v>
      </c>
      <c r="E33" s="52" t="s">
        <v>512</v>
      </c>
      <c r="F33" s="52" t="s">
        <v>513</v>
      </c>
    </row>
    <row r="34" customFormat="false" ht="30" hidden="false" customHeight="true" outlineLevel="0" collapsed="false">
      <c r="A34" s="53" t="s">
        <v>514</v>
      </c>
      <c r="B34" s="53"/>
      <c r="C34" s="53"/>
      <c r="D34" s="53"/>
      <c r="E34" s="53"/>
      <c r="F34" s="53"/>
    </row>
    <row r="36" customFormat="false" ht="15" hidden="false" customHeight="false" outlineLevel="0" collapsed="false">
      <c r="A36" s="4" t="s">
        <v>515</v>
      </c>
      <c r="B36" s="4"/>
      <c r="C36" s="4"/>
      <c r="D36" s="4"/>
      <c r="E36" s="4"/>
      <c r="F36" s="4"/>
    </row>
    <row r="37" customFormat="false" ht="30" hidden="false" customHeight="true" outlineLevel="0" collapsed="false">
      <c r="A37" s="54" t="s">
        <v>516</v>
      </c>
      <c r="B37" s="6" t="s">
        <v>517</v>
      </c>
      <c r="C37" s="6"/>
      <c r="D37" s="6"/>
      <c r="E37" s="6"/>
      <c r="F37" s="6"/>
    </row>
    <row r="38" customFormat="false" ht="30" hidden="false" customHeight="true" outlineLevel="0" collapsed="false">
      <c r="A38" s="54" t="s">
        <v>518</v>
      </c>
      <c r="B38" s="6" t="s">
        <v>519</v>
      </c>
      <c r="C38" s="6"/>
      <c r="D38" s="6"/>
      <c r="E38" s="6"/>
      <c r="F38" s="6"/>
    </row>
    <row r="40" customFormat="false" ht="15" hidden="false" customHeight="false" outlineLevel="0" collapsed="false">
      <c r="A40" s="4" t="s">
        <v>520</v>
      </c>
      <c r="B40" s="4"/>
      <c r="C40" s="4"/>
      <c r="D40" s="4"/>
      <c r="E40" s="4"/>
      <c r="F40" s="4"/>
    </row>
    <row r="41" customFormat="false" ht="15" hidden="false" customHeight="true" outlineLevel="0" collapsed="false">
      <c r="A41" s="31" t="s">
        <v>404</v>
      </c>
      <c r="B41" s="31"/>
      <c r="C41" s="31" t="s">
        <v>405</v>
      </c>
      <c r="D41" s="31" t="s">
        <v>406</v>
      </c>
      <c r="E41" s="31" t="s">
        <v>407</v>
      </c>
      <c r="F41" s="31" t="s">
        <v>408</v>
      </c>
    </row>
    <row r="42" customFormat="false" ht="15" hidden="false" customHeight="true" outlineLevel="0" collapsed="false">
      <c r="A42" s="55" t="s">
        <v>521</v>
      </c>
      <c r="B42" s="55"/>
      <c r="C42" s="52" t="s">
        <v>522</v>
      </c>
      <c r="D42" s="52" t="s">
        <v>523</v>
      </c>
      <c r="E42" s="52" t="s">
        <v>523</v>
      </c>
      <c r="F42" s="52" t="s">
        <v>524</v>
      </c>
    </row>
    <row r="43" customFormat="false" ht="23.85" hidden="false" customHeight="true" outlineLevel="0" collapsed="false">
      <c r="A43" s="55" t="s">
        <v>525</v>
      </c>
      <c r="B43" s="55"/>
      <c r="C43" s="52" t="s">
        <v>526</v>
      </c>
      <c r="D43" s="52" t="s">
        <v>527</v>
      </c>
      <c r="E43" s="52" t="s">
        <v>528</v>
      </c>
      <c r="F43" s="52" t="s">
        <v>529</v>
      </c>
    </row>
    <row r="44" customFormat="false" ht="15" hidden="false" customHeight="true" outlineLevel="0" collapsed="false">
      <c r="A44" s="55" t="s">
        <v>530</v>
      </c>
      <c r="B44" s="55"/>
      <c r="C44" s="52" t="s">
        <v>531</v>
      </c>
      <c r="D44" s="52" t="s">
        <v>532</v>
      </c>
      <c r="E44" s="52" t="s">
        <v>533</v>
      </c>
      <c r="F44" s="52" t="s">
        <v>534</v>
      </c>
    </row>
    <row r="45" customFormat="false" ht="15" hidden="false" customHeight="true" outlineLevel="0" collapsed="false">
      <c r="A45" s="55" t="s">
        <v>535</v>
      </c>
      <c r="B45" s="55"/>
      <c r="C45" s="52" t="s">
        <v>536</v>
      </c>
      <c r="D45" s="52" t="s">
        <v>537</v>
      </c>
      <c r="E45" s="52" t="s">
        <v>426</v>
      </c>
      <c r="F45" s="52" t="s">
        <v>538</v>
      </c>
    </row>
    <row r="46" customFormat="false" ht="15" hidden="false" customHeight="true" outlineLevel="0" collapsed="false">
      <c r="A46" s="55" t="s">
        <v>152</v>
      </c>
      <c r="B46" s="55"/>
      <c r="C46" s="52" t="s">
        <v>539</v>
      </c>
      <c r="D46" s="52" t="s">
        <v>540</v>
      </c>
      <c r="E46" s="52" t="s">
        <v>426</v>
      </c>
      <c r="F46" s="52" t="s">
        <v>541</v>
      </c>
    </row>
    <row r="47" customFormat="false" ht="23.85" hidden="false" customHeight="true" outlineLevel="0" collapsed="false">
      <c r="A47" s="55" t="s">
        <v>542</v>
      </c>
      <c r="B47" s="55"/>
      <c r="C47" s="52" t="s">
        <v>543</v>
      </c>
      <c r="D47" s="52" t="s">
        <v>544</v>
      </c>
      <c r="E47" s="52" t="s">
        <v>426</v>
      </c>
      <c r="F47" s="52" t="s">
        <v>545</v>
      </c>
    </row>
    <row r="48" customFormat="false" ht="23.85" hidden="false" customHeight="true" outlineLevel="0" collapsed="false">
      <c r="A48" s="55" t="s">
        <v>546</v>
      </c>
      <c r="B48" s="55"/>
      <c r="C48" s="52" t="s">
        <v>547</v>
      </c>
      <c r="D48" s="52" t="s">
        <v>544</v>
      </c>
      <c r="E48" s="52" t="s">
        <v>426</v>
      </c>
      <c r="F48" s="52" t="s">
        <v>548</v>
      </c>
    </row>
    <row r="49" customFormat="false" ht="15" hidden="false" customHeight="true" outlineLevel="0" collapsed="false">
      <c r="A49" s="55" t="s">
        <v>549</v>
      </c>
      <c r="B49" s="55"/>
      <c r="C49" s="52" t="s">
        <v>426</v>
      </c>
      <c r="D49" s="52" t="s">
        <v>426</v>
      </c>
      <c r="E49" s="52" t="s">
        <v>550</v>
      </c>
      <c r="F49" s="52" t="s">
        <v>551</v>
      </c>
    </row>
    <row r="50" customFormat="false" ht="15" hidden="false" customHeight="true" outlineLevel="0" collapsed="false">
      <c r="A50" s="55" t="s">
        <v>552</v>
      </c>
      <c r="B50" s="55"/>
      <c r="C50" s="52" t="s">
        <v>553</v>
      </c>
      <c r="D50" s="52" t="s">
        <v>554</v>
      </c>
      <c r="E50" s="52" t="s">
        <v>555</v>
      </c>
      <c r="F50" s="52" t="s">
        <v>556</v>
      </c>
    </row>
    <row r="51" customFormat="false" ht="15" hidden="false" customHeight="true" outlineLevel="0" collapsed="false">
      <c r="A51" s="55" t="s">
        <v>557</v>
      </c>
      <c r="B51" s="55"/>
      <c r="C51" s="52" t="s">
        <v>426</v>
      </c>
      <c r="D51" s="52" t="s">
        <v>426</v>
      </c>
      <c r="E51" s="52" t="s">
        <v>558</v>
      </c>
      <c r="F51" s="52" t="s">
        <v>559</v>
      </c>
    </row>
    <row r="52" customFormat="false" ht="23.85" hidden="false" customHeight="true" outlineLevel="0" collapsed="false">
      <c r="A52" s="55" t="s">
        <v>560</v>
      </c>
      <c r="B52" s="55"/>
      <c r="C52" s="52" t="s">
        <v>561</v>
      </c>
      <c r="D52" s="52" t="s">
        <v>562</v>
      </c>
      <c r="E52" s="52" t="s">
        <v>563</v>
      </c>
      <c r="F52" s="52" t="s">
        <v>564</v>
      </c>
    </row>
    <row r="53" customFormat="false" ht="35.05" hidden="false" customHeight="true" outlineLevel="0" collapsed="false">
      <c r="A53" s="55" t="s">
        <v>356</v>
      </c>
      <c r="B53" s="55"/>
      <c r="C53" s="52" t="s">
        <v>565</v>
      </c>
      <c r="D53" s="52" t="s">
        <v>566</v>
      </c>
      <c r="E53" s="52" t="s">
        <v>567</v>
      </c>
      <c r="F53" s="52"/>
    </row>
  </sheetData>
  <mergeCells count="21">
    <mergeCell ref="C1:F1"/>
    <mergeCell ref="A2:F2"/>
    <mergeCell ref="A4:F4"/>
    <mergeCell ref="A34:F34"/>
    <mergeCell ref="A36:F36"/>
    <mergeCell ref="B37:F37"/>
    <mergeCell ref="B38:F38"/>
    <mergeCell ref="A40:F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24"/>
  </cols>
  <sheetData>
    <row r="1" customFormat="false" ht="15" hidden="false" customHeight="false" outlineLevel="0" collapsed="false">
      <c r="A1" s="56" t="s">
        <v>568</v>
      </c>
    </row>
    <row r="3" customFormat="false" ht="15" hidden="false" customHeight="false" outlineLevel="0" collapsed="false">
      <c r="A3" s="57" t="s">
        <v>569</v>
      </c>
      <c r="B3" s="57" t="s">
        <v>570</v>
      </c>
      <c r="C3" s="57" t="s">
        <v>571</v>
      </c>
      <c r="D3" s="57" t="s">
        <v>144</v>
      </c>
      <c r="E3" s="57" t="s">
        <v>572</v>
      </c>
      <c r="F3" s="57" t="s">
        <v>573</v>
      </c>
      <c r="G3" s="57" t="s">
        <v>574</v>
      </c>
      <c r="H3" s="57" t="s">
        <v>575</v>
      </c>
    </row>
    <row r="4" customFormat="false" ht="15" hidden="false" customHeight="false" outlineLevel="0" collapsed="false">
      <c r="A4" s="58" t="s">
        <v>179</v>
      </c>
      <c r="B4" s="58" t="s">
        <v>576</v>
      </c>
      <c r="C4" s="58" t="s">
        <v>192</v>
      </c>
      <c r="D4" s="58" t="s">
        <v>183</v>
      </c>
      <c r="E4" s="58" t="s">
        <v>577</v>
      </c>
      <c r="F4" s="58" t="s">
        <v>275</v>
      </c>
      <c r="G4" s="58" t="s">
        <v>578</v>
      </c>
      <c r="H4" s="58" t="s">
        <v>182</v>
      </c>
    </row>
    <row r="5" customFormat="false" ht="15" hidden="false" customHeight="false" outlineLevel="0" collapsed="false">
      <c r="A5" s="58" t="s">
        <v>579</v>
      </c>
      <c r="B5" s="58" t="s">
        <v>184</v>
      </c>
      <c r="C5" s="58" t="s">
        <v>199</v>
      </c>
      <c r="D5" s="58" t="s">
        <v>190</v>
      </c>
      <c r="E5" s="58" t="s">
        <v>192</v>
      </c>
      <c r="F5" s="58" t="s">
        <v>276</v>
      </c>
      <c r="G5" s="58" t="s">
        <v>580</v>
      </c>
      <c r="H5" s="58" t="s">
        <v>581</v>
      </c>
    </row>
    <row r="6" customFormat="false" ht="15" hidden="false" customHeight="false" outlineLevel="0" collapsed="false">
      <c r="B6" s="58" t="s">
        <v>582</v>
      </c>
      <c r="C6" s="58" t="s">
        <v>583</v>
      </c>
      <c r="E6" s="58" t="s">
        <v>357</v>
      </c>
      <c r="G6" s="58" t="s">
        <v>584</v>
      </c>
      <c r="H6" s="58" t="s">
        <v>585</v>
      </c>
    </row>
    <row r="7" customFormat="false" ht="15" hidden="false" customHeight="false" outlineLevel="0" collapsed="false">
      <c r="B7" s="58" t="s">
        <v>586</v>
      </c>
      <c r="C7" s="58" t="s">
        <v>587</v>
      </c>
      <c r="E7" s="58" t="s">
        <v>41</v>
      </c>
      <c r="H7" s="58" t="s">
        <v>207</v>
      </c>
    </row>
    <row r="8" customFormat="false" ht="15" hidden="false" customHeight="false" outlineLevel="0" collapsed="false">
      <c r="B8" s="58" t="s">
        <v>203</v>
      </c>
      <c r="C8" s="58" t="s">
        <v>185</v>
      </c>
      <c r="E8" s="58" t="s">
        <v>588</v>
      </c>
      <c r="H8" s="58" t="s">
        <v>589</v>
      </c>
    </row>
    <row r="9" customFormat="false" ht="15" hidden="false" customHeight="false" outlineLevel="0" collapsed="false">
      <c r="B9" s="58" t="s">
        <v>191</v>
      </c>
      <c r="E9" s="58" t="s">
        <v>370</v>
      </c>
      <c r="H9" s="58" t="s">
        <v>189</v>
      </c>
    </row>
    <row r="10" customFormat="false" ht="15" hidden="false" customHeight="false" outlineLevel="0" collapsed="false">
      <c r="B10" s="58" t="s">
        <v>590</v>
      </c>
      <c r="H10" s="58" t="s">
        <v>591</v>
      </c>
    </row>
    <row r="11" customFormat="false" ht="15" hidden="false" customHeight="false" outlineLevel="0" collapsed="false">
      <c r="B11" s="58" t="s">
        <v>211</v>
      </c>
      <c r="H11" s="58" t="s">
        <v>592</v>
      </c>
    </row>
    <row r="12" customFormat="false" ht="15" hidden="false" customHeight="false" outlineLevel="0" collapsed="false">
      <c r="B12" s="58" t="s">
        <v>593</v>
      </c>
      <c r="H12" s="58" t="s">
        <v>367</v>
      </c>
    </row>
    <row r="13" customFormat="false" ht="15" hidden="false" customHeight="false" outlineLevel="0" collapsed="false">
      <c r="B13" s="58" t="s">
        <v>213</v>
      </c>
      <c r="H13" s="58" t="s">
        <v>594</v>
      </c>
    </row>
    <row r="14" customFormat="false" ht="15" hidden="false" customHeight="false" outlineLevel="0" collapsed="false">
      <c r="H14" s="58" t="s">
        <v>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2026-10-04T01:59:25Z</dcterms:created>
  <dc:creator>openpyxl</dc:creator>
  <dc:description/>
  <dc:language>en-US</dc:language>
  <cp:lastModifiedBy/>
  <dcterms:modified xsi:type="dcterms:W3CDTF">2026-10-23T01:10:22Z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